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errerobohorquez.6\Downloads\Infracciones On Time\"/>
    </mc:Choice>
  </mc:AlternateContent>
  <xr:revisionPtr revIDLastSave="0" documentId="13_ncr:1_{579AB350-6615-472B-80E9-07B95CD1E2D3}" xr6:coauthVersionLast="47" xr6:coauthVersionMax="47" xr10:uidLastSave="{00000000-0000-0000-0000-000000000000}"/>
  <bookViews>
    <workbookView xWindow="-28935" yWindow="1695" windowWidth="29070" windowHeight="15750" activeTab="2" xr2:uid="{00000000-000D-0000-FFFF-FFFF00000000}"/>
  </bookViews>
  <sheets>
    <sheet name="VpsClientes" sheetId="3" r:id="rId1"/>
    <sheet name="ColombiaJustificaciones" sheetId="1" r:id="rId2"/>
    <sheet name="ColombiaClientes" sheetId="2" r:id="rId3"/>
    <sheet name="PeruJustificaciones" sheetId="4" r:id="rId4"/>
    <sheet name="PeruClien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94" i="2" l="1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1194" i="5"/>
  <c r="A1195" i="5"/>
  <c r="A1196" i="5"/>
  <c r="A1197" i="5"/>
  <c r="A1199" i="5"/>
  <c r="A1202" i="5"/>
  <c r="A1203" i="5"/>
  <c r="A1206" i="5"/>
  <c r="A1207" i="5"/>
  <c r="A1209" i="5"/>
  <c r="A1212" i="5"/>
  <c r="A1217" i="5"/>
  <c r="A1225" i="5"/>
  <c r="A1154" i="5"/>
  <c r="A1155" i="5"/>
  <c r="A1156" i="5"/>
  <c r="A1158" i="5"/>
  <c r="A1159" i="5"/>
  <c r="A1163" i="5"/>
  <c r="A1166" i="5"/>
  <c r="A1168" i="5"/>
  <c r="A1171" i="5"/>
  <c r="A1173" i="5"/>
  <c r="A1175" i="5"/>
  <c r="A1178" i="5"/>
  <c r="A1179" i="5"/>
  <c r="A1185" i="5"/>
  <c r="A1186" i="5"/>
  <c r="A1191" i="5"/>
  <c r="A1116" i="5"/>
  <c r="A1117" i="5"/>
  <c r="A1118" i="5"/>
  <c r="A1120" i="5"/>
  <c r="A1123" i="5"/>
  <c r="A1125" i="5"/>
  <c r="A1127" i="5"/>
  <c r="A1128" i="5"/>
  <c r="A1138" i="5"/>
  <c r="A1140" i="5"/>
  <c r="A1142" i="5"/>
  <c r="A1143" i="5"/>
  <c r="A1144" i="5"/>
  <c r="A1146" i="5"/>
  <c r="A1077" i="5"/>
  <c r="A1078" i="5"/>
  <c r="A1079" i="5"/>
  <c r="A1080" i="5"/>
  <c r="A1081" i="5"/>
  <c r="A1085" i="5"/>
  <c r="A1090" i="5"/>
  <c r="A1091" i="5"/>
  <c r="A1096" i="5"/>
  <c r="A1099" i="5"/>
  <c r="A1102" i="5"/>
  <c r="A1103" i="5"/>
  <c r="A1104" i="5"/>
  <c r="A1112" i="5"/>
  <c r="A1039" i="5"/>
  <c r="A1040" i="5"/>
  <c r="A1041" i="5"/>
  <c r="A1042" i="5"/>
  <c r="A1043" i="5"/>
  <c r="A1047" i="5"/>
  <c r="A1049" i="5"/>
  <c r="A1053" i="5"/>
  <c r="A1054" i="5"/>
  <c r="A1058" i="5"/>
  <c r="A1062" i="5"/>
  <c r="A1064" i="5"/>
  <c r="A1071" i="5"/>
  <c r="A1072" i="5"/>
  <c r="A1076" i="5"/>
  <c r="A1001" i="5"/>
  <c r="A1002" i="5"/>
  <c r="A1003" i="5"/>
  <c r="A1006" i="5"/>
  <c r="A1007" i="5"/>
  <c r="A1009" i="5"/>
  <c r="A1011" i="5"/>
  <c r="A1012" i="5"/>
  <c r="A1018" i="5"/>
  <c r="A1022" i="5"/>
  <c r="A1023" i="5"/>
  <c r="A1026" i="5"/>
  <c r="A1027" i="5"/>
  <c r="A1038" i="5"/>
  <c r="A966" i="5"/>
  <c r="A967" i="5"/>
  <c r="A968" i="5"/>
  <c r="A969" i="5"/>
  <c r="A970" i="5"/>
  <c r="A974" i="5"/>
  <c r="A975" i="5"/>
  <c r="A983" i="5"/>
  <c r="A984" i="5"/>
  <c r="A985" i="5"/>
  <c r="A987" i="5"/>
  <c r="A997" i="5"/>
  <c r="A1000" i="5"/>
  <c r="A932" i="5"/>
  <c r="A933" i="5"/>
  <c r="A934" i="5"/>
  <c r="A935" i="5"/>
  <c r="A936" i="5"/>
  <c r="A939" i="5"/>
  <c r="A940" i="5"/>
  <c r="A944" i="5"/>
  <c r="A947" i="5"/>
  <c r="A952" i="5"/>
  <c r="A960" i="5"/>
  <c r="A962" i="5"/>
  <c r="A891" i="5"/>
  <c r="A893" i="5"/>
  <c r="A894" i="5"/>
  <c r="A895" i="5"/>
  <c r="A899" i="5"/>
  <c r="A902" i="5"/>
  <c r="A904" i="5"/>
  <c r="A905" i="5"/>
  <c r="A908" i="5"/>
  <c r="A911" i="5"/>
  <c r="A912" i="5"/>
  <c r="A915" i="5"/>
  <c r="A917" i="5"/>
  <c r="A921" i="5"/>
  <c r="A923" i="5"/>
  <c r="A925" i="5"/>
  <c r="A930" i="5"/>
  <c r="A850" i="5"/>
  <c r="A852" i="5"/>
  <c r="A853" i="5"/>
  <c r="A854" i="5"/>
  <c r="A855" i="5"/>
  <c r="A857" i="5"/>
  <c r="A862" i="5"/>
  <c r="A863" i="5"/>
  <c r="A866" i="5"/>
  <c r="A869" i="5"/>
  <c r="A871" i="5"/>
  <c r="A873" i="5"/>
  <c r="A876" i="5"/>
  <c r="A881" i="5"/>
  <c r="A887" i="5"/>
  <c r="A890" i="5"/>
  <c r="A809" i="5"/>
  <c r="A811" i="5"/>
  <c r="A812" i="5"/>
  <c r="A813" i="5"/>
  <c r="A815" i="5"/>
  <c r="A817" i="5"/>
  <c r="A821" i="5"/>
  <c r="A822" i="5"/>
  <c r="A824" i="5"/>
  <c r="A825" i="5"/>
  <c r="A833" i="5"/>
  <c r="A834" i="5"/>
  <c r="A835" i="5"/>
  <c r="A842" i="5"/>
  <c r="A843" i="5"/>
  <c r="A769" i="5"/>
  <c r="A771" i="5"/>
  <c r="A772" i="5"/>
  <c r="A773" i="5"/>
  <c r="A776" i="5"/>
  <c r="A777" i="5"/>
  <c r="A778" i="5"/>
  <c r="A781" i="5"/>
  <c r="A782" i="5"/>
  <c r="A783" i="5"/>
  <c r="A791" i="5"/>
  <c r="A794" i="5"/>
  <c r="A796" i="5"/>
  <c r="A798" i="5"/>
  <c r="A804" i="5"/>
  <c r="A730" i="5"/>
  <c r="A732" i="5"/>
  <c r="A733" i="5"/>
  <c r="A734" i="5"/>
  <c r="A737" i="5"/>
  <c r="A739" i="5"/>
  <c r="A741" i="5"/>
  <c r="A743" i="5"/>
  <c r="A744" i="5"/>
  <c r="A746" i="5"/>
  <c r="A747" i="5"/>
  <c r="A749" i="5"/>
  <c r="A754" i="5"/>
  <c r="A758" i="5"/>
  <c r="A764" i="5"/>
  <c r="A692" i="5"/>
  <c r="A693" i="5"/>
  <c r="A695" i="5"/>
  <c r="A697" i="5"/>
  <c r="A698" i="5"/>
  <c r="A701" i="5"/>
  <c r="A702" i="5"/>
  <c r="A704" i="5"/>
  <c r="A705" i="5"/>
  <c r="A708" i="5"/>
  <c r="A712" i="5"/>
  <c r="A715" i="5"/>
  <c r="A719" i="5"/>
  <c r="A722" i="5"/>
  <c r="A657" i="5"/>
  <c r="A658" i="5"/>
  <c r="A660" i="5"/>
  <c r="A661" i="5"/>
  <c r="A662" i="5"/>
  <c r="A664" i="5"/>
  <c r="A668" i="5"/>
  <c r="A669" i="5"/>
  <c r="A672" i="5"/>
  <c r="A674" i="5"/>
  <c r="A679" i="5"/>
  <c r="A685" i="5"/>
  <c r="A688" i="5"/>
  <c r="A624" i="5"/>
  <c r="A625" i="5"/>
  <c r="A626" i="5"/>
  <c r="A628" i="5"/>
  <c r="A633" i="5"/>
  <c r="A634" i="5"/>
  <c r="A635" i="5"/>
  <c r="A638" i="5"/>
  <c r="A640" i="5"/>
  <c r="A643" i="5"/>
  <c r="A650" i="5"/>
  <c r="A623" i="5"/>
  <c r="A584" i="5"/>
  <c r="A587" i="5"/>
  <c r="A589" i="5"/>
  <c r="A591" i="5"/>
  <c r="A593" i="5"/>
  <c r="A597" i="5"/>
  <c r="A600" i="5"/>
  <c r="A601" i="5"/>
  <c r="A602" i="5"/>
  <c r="A603" i="5"/>
  <c r="A605" i="5"/>
  <c r="A608" i="5"/>
  <c r="A611" i="5"/>
  <c r="A612" i="5"/>
  <c r="A615" i="5"/>
  <c r="A619" i="5"/>
  <c r="A582" i="5"/>
  <c r="A542" i="5"/>
  <c r="A545" i="5"/>
  <c r="A546" i="5"/>
  <c r="A547" i="5"/>
  <c r="A550" i="5"/>
  <c r="A551" i="5"/>
  <c r="A555" i="5"/>
  <c r="A556" i="5"/>
  <c r="A559" i="5"/>
  <c r="A561" i="5"/>
  <c r="A565" i="5"/>
  <c r="A570" i="5"/>
  <c r="A571" i="5"/>
  <c r="A574" i="5"/>
  <c r="A578" i="5"/>
  <c r="A581" i="5"/>
  <c r="A501" i="5"/>
  <c r="A503" i="5"/>
  <c r="A504" i="5"/>
  <c r="A505" i="5"/>
  <c r="A509" i="5"/>
  <c r="A513" i="5"/>
  <c r="A515" i="5"/>
  <c r="A517" i="5"/>
  <c r="A518" i="5"/>
  <c r="A519" i="5"/>
  <c r="A520" i="5"/>
  <c r="A527" i="5"/>
  <c r="A533" i="5"/>
  <c r="A535" i="5"/>
  <c r="A536" i="5"/>
  <c r="A460" i="5"/>
  <c r="A461" i="5"/>
  <c r="A462" i="5"/>
  <c r="A464" i="5"/>
  <c r="A467" i="5"/>
  <c r="A472" i="5"/>
  <c r="A473" i="5"/>
  <c r="A475" i="5"/>
  <c r="A476" i="5"/>
  <c r="A478" i="5"/>
  <c r="A485" i="5"/>
  <c r="A490" i="5"/>
  <c r="A491" i="5"/>
  <c r="A496" i="5"/>
  <c r="A497" i="5"/>
  <c r="A421" i="5"/>
  <c r="A423" i="5"/>
  <c r="A424" i="5"/>
  <c r="A425" i="5"/>
  <c r="A428" i="5"/>
  <c r="A430" i="5"/>
  <c r="A432" i="5"/>
  <c r="A435" i="5"/>
  <c r="A437" i="5"/>
  <c r="A441" i="5"/>
  <c r="A445" i="5"/>
  <c r="A449" i="5"/>
  <c r="A450" i="5"/>
  <c r="A456" i="5"/>
  <c r="A457" i="5"/>
  <c r="A383" i="5"/>
  <c r="A385" i="5"/>
  <c r="A386" i="5"/>
  <c r="A387" i="5"/>
  <c r="A390" i="5"/>
  <c r="A391" i="5"/>
  <c r="A394" i="5"/>
  <c r="A395" i="5"/>
  <c r="A396" i="5"/>
  <c r="A400" i="5"/>
  <c r="A405" i="5"/>
  <c r="A406" i="5"/>
  <c r="A410" i="5"/>
  <c r="A414" i="5"/>
  <c r="A348" i="5"/>
  <c r="A349" i="5"/>
  <c r="A350" i="5"/>
  <c r="A351" i="5"/>
  <c r="A356" i="5"/>
  <c r="A357" i="5"/>
  <c r="A358" i="5"/>
  <c r="A361" i="5"/>
  <c r="A363" i="5"/>
  <c r="A364" i="5"/>
  <c r="A376" i="5"/>
  <c r="A377" i="5"/>
  <c r="A346" i="5"/>
  <c r="A312" i="5"/>
  <c r="A314" i="5"/>
  <c r="A315" i="5"/>
  <c r="A316" i="5"/>
  <c r="A317" i="5"/>
  <c r="A322" i="5"/>
  <c r="A323" i="5"/>
  <c r="A324" i="5"/>
  <c r="A325" i="5"/>
  <c r="A329" i="5"/>
  <c r="A331" i="5"/>
  <c r="A337" i="5"/>
  <c r="A273" i="5"/>
  <c r="A274" i="5"/>
  <c r="A275" i="5"/>
  <c r="A277" i="5"/>
  <c r="A278" i="5"/>
  <c r="A281" i="5"/>
  <c r="A284" i="5"/>
  <c r="A289" i="5"/>
  <c r="A290" i="5"/>
  <c r="A293" i="5"/>
  <c r="A295" i="5"/>
  <c r="A301" i="5"/>
  <c r="A304" i="5"/>
  <c r="A305" i="5"/>
  <c r="A307" i="5"/>
  <c r="A308" i="5"/>
  <c r="A233" i="5"/>
  <c r="A234" i="5"/>
  <c r="A236" i="5"/>
  <c r="A237" i="5"/>
  <c r="A239" i="5"/>
  <c r="A241" i="5"/>
  <c r="A243" i="5"/>
  <c r="A248" i="5"/>
  <c r="A249" i="5"/>
  <c r="A251" i="5"/>
  <c r="A253" i="5"/>
  <c r="A254" i="5"/>
  <c r="A258" i="5"/>
  <c r="A263" i="5"/>
  <c r="A268" i="5"/>
  <c r="A272" i="5"/>
  <c r="A194" i="5"/>
  <c r="A195" i="5"/>
  <c r="A196" i="5"/>
  <c r="A197" i="5"/>
  <c r="A198" i="5"/>
  <c r="A203" i="5"/>
  <c r="A209" i="5"/>
  <c r="A210" i="5"/>
  <c r="A214" i="5"/>
  <c r="A216" i="5"/>
  <c r="A217" i="5"/>
  <c r="A218" i="5"/>
  <c r="A224" i="5"/>
  <c r="A227" i="5"/>
  <c r="A191" i="5"/>
  <c r="A153" i="5"/>
  <c r="A154" i="5"/>
  <c r="A155" i="5"/>
  <c r="A156" i="5"/>
  <c r="A158" i="5"/>
  <c r="A161" i="5"/>
  <c r="A166" i="5"/>
  <c r="A168" i="5"/>
  <c r="A169" i="5"/>
  <c r="A175" i="5"/>
  <c r="A176" i="5"/>
  <c r="A179" i="5"/>
  <c r="A181" i="5"/>
  <c r="A186" i="5"/>
  <c r="A150" i="5"/>
  <c r="A113" i="5"/>
  <c r="A114" i="5"/>
  <c r="A115" i="5"/>
  <c r="A116" i="5"/>
  <c r="A119" i="5"/>
  <c r="A123" i="5"/>
  <c r="A128" i="5"/>
  <c r="A131" i="5"/>
  <c r="A132" i="5"/>
  <c r="A133" i="5"/>
  <c r="A136" i="5"/>
  <c r="A137" i="5"/>
  <c r="A138" i="5"/>
  <c r="A141" i="5"/>
  <c r="A111" i="5"/>
  <c r="A73" i="5"/>
  <c r="A75" i="5"/>
  <c r="A76" i="5"/>
  <c r="A77" i="5"/>
  <c r="A78" i="5"/>
  <c r="A79" i="5"/>
  <c r="A85" i="5"/>
  <c r="A86" i="5"/>
  <c r="A91" i="5"/>
  <c r="A93" i="5"/>
  <c r="A97" i="5"/>
  <c r="A98" i="5"/>
  <c r="A104" i="5"/>
  <c r="A106" i="5"/>
  <c r="A37" i="5"/>
  <c r="A38" i="5"/>
  <c r="A39" i="5"/>
  <c r="A40" i="5"/>
  <c r="A41" i="5"/>
  <c r="A45" i="5"/>
  <c r="A46" i="5"/>
  <c r="A47" i="5"/>
  <c r="A48" i="5"/>
  <c r="A52" i="5"/>
  <c r="A59" i="5"/>
  <c r="A61" i="5"/>
  <c r="A62" i="5"/>
  <c r="A3" i="5"/>
  <c r="A4" i="5"/>
  <c r="A5" i="5"/>
  <c r="A6" i="5"/>
  <c r="A9" i="5"/>
  <c r="A10" i="5"/>
  <c r="A11" i="5"/>
  <c r="A17" i="5"/>
  <c r="A18" i="5"/>
  <c r="A24" i="5"/>
  <c r="A34" i="5"/>
  <c r="A2" i="5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722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965" i="5" l="1"/>
  <c r="A537" i="5"/>
  <c r="A438" i="5"/>
  <c r="A122" i="5"/>
  <c r="A292" i="5"/>
  <c r="A1014" i="5"/>
  <c r="A1061" i="5"/>
  <c r="A583" i="5"/>
  <c r="A340" i="5"/>
  <c r="A639" i="5"/>
  <c r="A799" i="5"/>
  <c r="A90" i="5"/>
  <c r="A797" i="5"/>
  <c r="A1005" i="5"/>
  <c r="A89" i="5"/>
  <c r="A795" i="5"/>
  <c r="A121" i="5"/>
  <c r="A189" i="5"/>
  <c r="A35" i="5"/>
  <c r="A373" i="5"/>
  <c r="A569" i="5"/>
  <c r="A330" i="5"/>
  <c r="A788" i="5"/>
  <c r="A327" i="5"/>
  <c r="A1108" i="5"/>
  <c r="A1037" i="5"/>
  <c r="A943" i="5"/>
  <c r="A26" i="5"/>
  <c r="A718" i="5"/>
  <c r="A810" i="5"/>
  <c r="A877" i="5"/>
  <c r="A560" i="5"/>
  <c r="A875" i="5"/>
  <c r="A775" i="5"/>
  <c r="A1150" i="5"/>
  <c r="A360" i="5"/>
  <c r="A898" i="5"/>
  <c r="A1031" i="5"/>
  <c r="A929" i="5"/>
  <c r="A355" i="5"/>
  <c r="A178" i="5"/>
  <c r="A1029" i="5"/>
  <c r="A401" i="5"/>
  <c r="A1093" i="5"/>
  <c r="A1024" i="5"/>
  <c r="A596" i="5"/>
  <c r="A541" i="5"/>
  <c r="A299" i="5"/>
  <c r="A814" i="5"/>
  <c r="A648" i="5"/>
  <c r="A1010" i="5"/>
  <c r="A839" i="5"/>
  <c r="A1153" i="5"/>
  <c r="A215" i="5"/>
  <c r="A979" i="5"/>
  <c r="A127" i="5"/>
  <c r="A864" i="5"/>
  <c r="A647" i="5"/>
  <c r="A1184" i="5"/>
  <c r="A750" i="5"/>
  <c r="A1086" i="5"/>
  <c r="A1132" i="5"/>
  <c r="A918" i="5"/>
  <c r="A1182" i="5"/>
  <c r="A1130" i="5"/>
  <c r="A687" i="5"/>
  <c r="A433" i="5"/>
  <c r="A686" i="5"/>
  <c r="A849" i="5"/>
  <c r="A848" i="5"/>
  <c r="A232" i="5"/>
  <c r="A847" i="5"/>
  <c r="A955" i="5"/>
  <c r="A231" i="5"/>
  <c r="A120" i="5"/>
  <c r="A1167" i="5"/>
  <c r="A1051" i="5"/>
  <c r="A372" i="5"/>
  <c r="A152" i="5"/>
  <c r="A726" i="5"/>
  <c r="A1211" i="5"/>
  <c r="A468" i="5"/>
  <c r="A567" i="5"/>
  <c r="A757" i="5"/>
  <c r="A1210" i="5"/>
  <c r="A620" i="5"/>
  <c r="A326" i="5"/>
  <c r="A368" i="5"/>
  <c r="A618" i="5"/>
  <c r="A321" i="5"/>
  <c r="A1073" i="5"/>
  <c r="A562" i="5"/>
  <c r="A142" i="5"/>
  <c r="A874" i="5"/>
  <c r="A756" i="5"/>
  <c r="A554" i="5"/>
  <c r="A139" i="5"/>
  <c r="A710" i="5"/>
  <c r="A1070" i="5"/>
  <c r="A447" i="5"/>
  <c r="A15" i="5"/>
  <c r="A820" i="5"/>
  <c r="A808" i="5"/>
  <c r="A352" i="5"/>
  <c r="A1137" i="5"/>
  <c r="A205" i="5"/>
  <c r="A889" i="5"/>
  <c r="A1136" i="5"/>
  <c r="A204" i="5"/>
  <c r="A1088" i="5"/>
  <c r="A56" i="5"/>
  <c r="A752" i="5"/>
  <c r="A341" i="5"/>
  <c r="A524" i="5"/>
  <c r="A23" i="5"/>
  <c r="A768" i="5"/>
  <c r="A174" i="5"/>
  <c r="A592" i="5"/>
  <c r="A101" i="5"/>
  <c r="A54" i="5"/>
  <c r="A1222" i="5"/>
  <c r="A1016" i="5"/>
  <c r="A171" i="5"/>
  <c r="A242" i="5"/>
  <c r="A291" i="5"/>
  <c r="A740" i="5"/>
  <c r="A49" i="5"/>
  <c r="A94" i="5"/>
  <c r="A339" i="5"/>
  <c r="A235" i="5"/>
  <c r="A286" i="5"/>
  <c r="A735" i="5"/>
  <c r="A954" i="5"/>
  <c r="A229" i="5"/>
  <c r="A996" i="5"/>
  <c r="A789" i="5"/>
  <c r="A1113" i="5"/>
  <c r="A82" i="5"/>
  <c r="A417" i="5"/>
  <c r="A29" i="5"/>
  <c r="A786" i="5"/>
  <c r="A1075" i="5"/>
  <c r="A837" i="5"/>
  <c r="A564" i="5"/>
  <c r="A146" i="5"/>
  <c r="A784" i="5"/>
  <c r="A71" i="5"/>
  <c r="A780" i="5"/>
  <c r="A455" i="5"/>
  <c r="A70" i="5"/>
  <c r="A716" i="5"/>
  <c r="A313" i="5"/>
  <c r="A1033" i="5"/>
  <c r="A774" i="5"/>
  <c r="A213" i="5"/>
  <c r="A827" i="5"/>
  <c r="A711" i="5"/>
  <c r="A448" i="5"/>
  <c r="A552" i="5"/>
  <c r="A1095" i="5"/>
  <c r="A1094" i="5"/>
  <c r="A177" i="5"/>
  <c r="A548" i="5"/>
  <c r="A870" i="5"/>
  <c r="A976" i="5"/>
  <c r="A868" i="5"/>
  <c r="A922" i="5"/>
  <c r="A126" i="5"/>
  <c r="A867" i="5"/>
  <c r="A8" i="5"/>
  <c r="A865" i="5"/>
  <c r="A919" i="5"/>
  <c r="A963" i="5"/>
  <c r="A422" i="5"/>
  <c r="A416" i="5"/>
  <c r="A1204" i="5"/>
  <c r="A68" i="5"/>
  <c r="A208" i="5"/>
  <c r="A543" i="5"/>
  <c r="A696" i="5"/>
  <c r="A487" i="5"/>
  <c r="A538" i="5"/>
  <c r="A439" i="5"/>
  <c r="A645" i="5"/>
  <c r="A916" i="5"/>
  <c r="A381" i="5"/>
  <c r="A689" i="5"/>
  <c r="A482" i="5"/>
  <c r="A288" i="5"/>
  <c r="A165" i="5"/>
  <c r="A800" i="5"/>
  <c r="A579" i="5"/>
  <c r="A338" i="5"/>
  <c r="A378" i="5"/>
  <c r="A1084" i="5"/>
  <c r="A682" i="5"/>
  <c r="A575" i="5"/>
  <c r="A230" i="5"/>
  <c r="A1169" i="5"/>
  <c r="A573" i="5"/>
  <c r="A951" i="5"/>
  <c r="A31" i="5"/>
  <c r="A840" i="5"/>
  <c r="A225" i="5"/>
  <c r="A1162" i="5"/>
  <c r="A675" i="5"/>
  <c r="A1110" i="5"/>
  <c r="A838" i="5"/>
  <c r="A1109" i="5"/>
  <c r="A147" i="5"/>
  <c r="A945" i="5"/>
  <c r="A563" i="5"/>
  <c r="A319" i="5"/>
  <c r="A988" i="5"/>
  <c r="A830" i="5"/>
  <c r="A219" i="5"/>
  <c r="A1101" i="5"/>
  <c r="A937" i="5"/>
  <c r="A872" i="5"/>
  <c r="A310" i="5"/>
  <c r="A212" i="5"/>
  <c r="A1030" i="5"/>
  <c r="A211" i="5"/>
  <c r="A64" i="5"/>
  <c r="A353" i="5"/>
  <c r="A653" i="5"/>
  <c r="A1139" i="5"/>
  <c r="A819" i="5"/>
  <c r="A652" i="5"/>
  <c r="A703" i="5"/>
  <c r="A442" i="5"/>
  <c r="A1021" i="5"/>
  <c r="A753" i="5"/>
  <c r="A202" i="5"/>
  <c r="A594" i="5"/>
  <c r="A1183" i="5"/>
  <c r="A631" i="5"/>
  <c r="A418" i="5"/>
  <c r="A512" i="5"/>
  <c r="A755" i="5"/>
  <c r="A924" i="5"/>
  <c r="A751" i="5"/>
  <c r="A1223" i="5"/>
  <c r="A343" i="5"/>
  <c r="A803" i="5"/>
  <c r="A802" i="5"/>
  <c r="A914" i="5"/>
  <c r="A884" i="5"/>
  <c r="A431" i="5"/>
  <c r="A480" i="5"/>
  <c r="A637" i="5"/>
  <c r="A1124" i="5"/>
  <c r="A683" i="5"/>
  <c r="A375" i="5"/>
  <c r="A283" i="5"/>
  <c r="A1170" i="5"/>
  <c r="A334" i="5"/>
  <c r="A188" i="5"/>
  <c r="A953" i="5"/>
  <c r="A727" i="5"/>
  <c r="A332" i="5"/>
  <c r="A83" i="5"/>
  <c r="A677" i="5"/>
  <c r="A276" i="5"/>
  <c r="A994" i="5"/>
  <c r="A724" i="5"/>
  <c r="A270" i="5"/>
  <c r="A369" i="5"/>
  <c r="A566" i="5"/>
  <c r="A413" i="5"/>
  <c r="A184" i="5"/>
  <c r="A617" i="5"/>
  <c r="A412" i="5"/>
  <c r="A717" i="5"/>
  <c r="A901" i="5"/>
  <c r="A1151" i="5"/>
  <c r="A986" i="5"/>
  <c r="A1200" i="5"/>
  <c r="A407" i="5"/>
  <c r="A452" i="5"/>
  <c r="A67" i="5"/>
  <c r="A260" i="5"/>
  <c r="A451" i="5"/>
  <c r="A19" i="5"/>
  <c r="A403" i="5"/>
  <c r="A180" i="5"/>
  <c r="A823" i="5"/>
  <c r="A549" i="5"/>
  <c r="A103" i="5"/>
  <c r="A446" i="5"/>
  <c r="A706" i="5"/>
  <c r="A250" i="5"/>
  <c r="A1087" i="5"/>
  <c r="A1131" i="5"/>
  <c r="A599" i="5"/>
  <c r="A488" i="5"/>
  <c r="A55" i="5"/>
  <c r="A1133" i="5"/>
  <c r="A344" i="5"/>
  <c r="A1065" i="5"/>
  <c r="A1221" i="5"/>
  <c r="A1181" i="5"/>
  <c r="A167" i="5"/>
  <c r="A380" i="5"/>
  <c r="A738" i="5"/>
  <c r="A379" i="5"/>
  <c r="A1059" i="5"/>
  <c r="A427" i="5"/>
  <c r="A1172" i="5"/>
  <c r="A576" i="5"/>
  <c r="A1121" i="5"/>
  <c r="A525" i="5"/>
  <c r="A1052" i="5"/>
  <c r="A420" i="5"/>
  <c r="A157" i="5"/>
  <c r="A523" i="5"/>
  <c r="A469" i="5"/>
  <c r="A627" i="5"/>
  <c r="A907" i="5"/>
  <c r="A949" i="5"/>
  <c r="A466" i="5"/>
  <c r="A80" i="5"/>
  <c r="A723" i="5"/>
  <c r="A511" i="5"/>
  <c r="A458" i="5"/>
  <c r="A109" i="5"/>
  <c r="A614" i="5"/>
  <c r="A318" i="5"/>
  <c r="A262" i="5"/>
  <c r="A22" i="5"/>
  <c r="A261" i="5"/>
  <c r="A659" i="5"/>
  <c r="A1098" i="5"/>
  <c r="A182" i="5"/>
  <c r="A607" i="5"/>
  <c r="A1097" i="5"/>
  <c r="A1193" i="5"/>
  <c r="A655" i="5"/>
  <c r="A105" i="5"/>
  <c r="A256" i="5"/>
  <c r="A498" i="5"/>
  <c r="A1141" i="5"/>
  <c r="A495" i="5"/>
  <c r="A302" i="5"/>
  <c r="A818" i="5"/>
  <c r="A761" i="5"/>
  <c r="A392" i="5"/>
  <c r="A851" i="5"/>
  <c r="A731" i="5"/>
  <c r="A1114" i="5"/>
  <c r="A1044" i="5"/>
  <c r="A900" i="5"/>
  <c r="A826" i="5"/>
  <c r="A493" i="5"/>
  <c r="A1019" i="5"/>
  <c r="A173" i="5"/>
  <c r="A694" i="5"/>
  <c r="A1066" i="5"/>
  <c r="A859" i="5"/>
  <c r="A586" i="5"/>
  <c r="A1063" i="5"/>
  <c r="A532" i="5"/>
  <c r="A50" i="5"/>
  <c r="A959" i="5"/>
  <c r="A580" i="5"/>
  <c r="A530" i="5"/>
  <c r="A957" i="5"/>
  <c r="A1174" i="5"/>
  <c r="A577" i="5"/>
  <c r="A528" i="5"/>
  <c r="A426" i="5"/>
  <c r="A681" i="5"/>
  <c r="A282" i="5"/>
  <c r="A680" i="5"/>
  <c r="A333" i="5"/>
  <c r="A84" i="5"/>
  <c r="A882" i="5"/>
  <c r="A522" i="5"/>
  <c r="A1048" i="5"/>
  <c r="A370" i="5"/>
  <c r="A149" i="5"/>
  <c r="A787" i="5"/>
  <c r="A117" i="5"/>
  <c r="A185" i="5"/>
  <c r="A1208" i="5"/>
  <c r="A222" i="5"/>
  <c r="A903" i="5"/>
  <c r="A1152" i="5"/>
  <c r="A1201" i="5"/>
  <c r="A409" i="5"/>
  <c r="A507" i="5"/>
  <c r="A982" i="5"/>
  <c r="A557" i="5"/>
  <c r="A502" i="5"/>
  <c r="A66" i="5"/>
  <c r="A107" i="5"/>
  <c r="A65" i="5"/>
  <c r="A928" i="5"/>
  <c r="A1145" i="5"/>
  <c r="A354" i="5"/>
  <c r="A927" i="5"/>
  <c r="A255" i="5"/>
  <c r="A1025" i="5"/>
  <c r="A494" i="5"/>
  <c r="A397" i="5"/>
  <c r="A540" i="5"/>
  <c r="A489" i="5"/>
  <c r="A1224" i="5"/>
  <c r="A296" i="5"/>
  <c r="A858" i="5"/>
  <c r="A529" i="5"/>
  <c r="A678" i="5"/>
  <c r="A1045" i="5"/>
  <c r="A510" i="5"/>
  <c r="A654" i="5"/>
  <c r="A1187" i="5"/>
  <c r="A297" i="5"/>
  <c r="A646" i="5"/>
  <c r="A590" i="5"/>
  <c r="A964" i="5"/>
  <c r="A691" i="5"/>
  <c r="A244" i="5"/>
  <c r="A342" i="5"/>
  <c r="A585" i="5"/>
  <c r="A434" i="5"/>
  <c r="A641" i="5"/>
  <c r="A238" i="5"/>
  <c r="A287" i="5"/>
  <c r="A92" i="5"/>
  <c r="A684" i="5"/>
  <c r="A1122" i="5"/>
  <c r="A632" i="5"/>
  <c r="A526" i="5"/>
  <c r="A88" i="5"/>
  <c r="A374" i="5"/>
  <c r="A159" i="5"/>
  <c r="A630" i="5"/>
  <c r="A280" i="5"/>
  <c r="A470" i="5"/>
  <c r="A790" i="5"/>
  <c r="A909" i="5"/>
  <c r="A841" i="5"/>
  <c r="A226" i="5"/>
  <c r="A271" i="5"/>
  <c r="A81" i="5"/>
  <c r="A621" i="5"/>
  <c r="A187" i="5"/>
  <c r="A269" i="5"/>
  <c r="A415" i="5"/>
  <c r="A785" i="5"/>
  <c r="A1157" i="5"/>
  <c r="A990" i="5"/>
  <c r="A183" i="5"/>
  <c r="A616" i="5"/>
  <c r="A989" i="5"/>
  <c r="A779" i="5"/>
  <c r="A1034" i="5"/>
  <c r="A613" i="5"/>
  <c r="A453" i="5"/>
  <c r="A311" i="5"/>
  <c r="A20" i="5"/>
  <c r="A259" i="5"/>
  <c r="A553" i="5"/>
  <c r="A606" i="5"/>
  <c r="A978" i="5"/>
  <c r="A926" i="5"/>
  <c r="A1189" i="5"/>
  <c r="A598" i="5"/>
  <c r="A443" i="5"/>
  <c r="A973" i="5"/>
  <c r="A1089" i="5"/>
  <c r="A247" i="5"/>
  <c r="A595" i="5"/>
  <c r="A1135" i="5"/>
  <c r="A1020" i="5"/>
  <c r="A298" i="5"/>
  <c r="A408" i="5"/>
  <c r="A931" i="5"/>
  <c r="A656" i="5"/>
  <c r="A257" i="5"/>
  <c r="A306" i="5"/>
  <c r="A1190" i="5"/>
  <c r="A303" i="5"/>
  <c r="A1092" i="5"/>
  <c r="A345" i="5"/>
  <c r="A201" i="5"/>
  <c r="A1017" i="5"/>
  <c r="A384" i="5"/>
  <c r="A193" i="5"/>
  <c r="A690" i="5"/>
  <c r="A96" i="5"/>
  <c r="A95" i="5"/>
  <c r="A801" i="5"/>
  <c r="A1176" i="5"/>
  <c r="A43" i="5"/>
  <c r="A1218" i="5"/>
  <c r="A1004" i="5"/>
  <c r="A729" i="5"/>
  <c r="A728" i="5"/>
  <c r="A1213" i="5"/>
  <c r="A279" i="5"/>
  <c r="A371" i="5"/>
  <c r="A1164" i="5"/>
  <c r="A879" i="5"/>
  <c r="A30" i="5"/>
  <c r="A993" i="5"/>
  <c r="A1161" i="5"/>
  <c r="A514" i="5"/>
  <c r="A267" i="5"/>
  <c r="A459" i="5"/>
  <c r="A670" i="5"/>
  <c r="A942" i="5"/>
  <c r="A411" i="5"/>
  <c r="A1035" i="5"/>
  <c r="A666" i="5"/>
  <c r="A665" i="5"/>
  <c r="A714" i="5"/>
  <c r="A828" i="5"/>
  <c r="A981" i="5"/>
  <c r="A359" i="5"/>
  <c r="A1147" i="5"/>
  <c r="A765" i="5"/>
  <c r="A896" i="5"/>
  <c r="A129" i="5"/>
  <c r="A892" i="5"/>
  <c r="A1188" i="5"/>
  <c r="A762" i="5"/>
  <c r="A12" i="5"/>
  <c r="A57" i="5"/>
  <c r="A393" i="5"/>
  <c r="A440" i="5"/>
  <c r="A760" i="5"/>
  <c r="A7" i="5"/>
  <c r="A1149" i="5"/>
  <c r="A1198" i="5"/>
  <c r="A499" i="5"/>
  <c r="A709" i="5"/>
  <c r="A707" i="5"/>
  <c r="A58" i="5"/>
  <c r="A972" i="5"/>
  <c r="A246" i="5"/>
  <c r="A807" i="5"/>
  <c r="A861" i="5"/>
  <c r="A806" i="5"/>
  <c r="A100" i="5"/>
  <c r="A172" i="5"/>
  <c r="A245" i="5"/>
  <c r="A99" i="5"/>
  <c r="A644" i="5"/>
  <c r="A1015" i="5"/>
  <c r="A1220" i="5"/>
  <c r="A1180" i="5"/>
  <c r="A1219" i="5"/>
  <c r="A1126" i="5"/>
  <c r="A883" i="5"/>
  <c r="A429" i="5"/>
  <c r="A163" i="5"/>
  <c r="A1057" i="5"/>
  <c r="A956" i="5"/>
  <c r="A477" i="5"/>
  <c r="A1056" i="5"/>
  <c r="A335" i="5"/>
  <c r="A160" i="5"/>
  <c r="A1215" i="5"/>
  <c r="A999" i="5"/>
  <c r="A910" i="5"/>
  <c r="A844" i="5"/>
  <c r="A32" i="5"/>
  <c r="A223" i="5"/>
  <c r="A991" i="5"/>
  <c r="A110" i="5"/>
  <c r="A1205" i="5"/>
  <c r="A145" i="5"/>
  <c r="A221" i="5"/>
  <c r="A264" i="5"/>
  <c r="A508" i="5"/>
  <c r="A389" i="5"/>
  <c r="A1068" i="5"/>
  <c r="A1067" i="5"/>
  <c r="A124" i="5"/>
  <c r="A860" i="5"/>
  <c r="A805" i="5"/>
  <c r="A382" i="5"/>
  <c r="A534" i="5"/>
  <c r="A170" i="5"/>
  <c r="A240" i="5"/>
  <c r="A1013" i="5"/>
  <c r="A1060" i="5"/>
  <c r="A44" i="5"/>
  <c r="A1008" i="5"/>
  <c r="A192" i="5"/>
  <c r="A36" i="5"/>
  <c r="A1055" i="5"/>
  <c r="A1119" i="5"/>
  <c r="A1214" i="5"/>
  <c r="A998" i="5"/>
  <c r="A228" i="5"/>
  <c r="A880" i="5"/>
  <c r="A995" i="5"/>
  <c r="A725" i="5"/>
  <c r="A521" i="5"/>
  <c r="A948" i="5"/>
  <c r="A465" i="5"/>
  <c r="A946" i="5"/>
  <c r="A463" i="5"/>
  <c r="A671" i="5"/>
  <c r="A27" i="5"/>
  <c r="A266" i="5"/>
  <c r="A320" i="5"/>
  <c r="A1036" i="5"/>
  <c r="A265" i="5"/>
  <c r="A144" i="5"/>
  <c r="A1105" i="5"/>
  <c r="A506" i="5"/>
  <c r="A140" i="5"/>
  <c r="A713" i="5"/>
  <c r="A108" i="5"/>
  <c r="A402" i="5"/>
  <c r="A897" i="5"/>
  <c r="A604" i="5"/>
  <c r="A1028" i="5"/>
  <c r="A444" i="5"/>
  <c r="A544" i="5"/>
  <c r="A398" i="5"/>
  <c r="A347" i="5"/>
  <c r="A649" i="5"/>
  <c r="A1134" i="5"/>
  <c r="A102" i="5"/>
  <c r="A200" i="5"/>
  <c r="A199" i="5"/>
  <c r="A748" i="5"/>
  <c r="A294" i="5"/>
  <c r="A51" i="5"/>
  <c r="A642" i="5"/>
  <c r="A742" i="5"/>
  <c r="A885" i="5"/>
  <c r="A531" i="5"/>
  <c r="A481" i="5"/>
  <c r="A958" i="5"/>
  <c r="A164" i="5"/>
  <c r="A759" i="5"/>
  <c r="A479" i="5"/>
  <c r="A42" i="5"/>
  <c r="A162" i="5"/>
  <c r="A1216" i="5"/>
  <c r="A1083" i="5"/>
  <c r="A474" i="5"/>
  <c r="A793" i="5"/>
  <c r="A913" i="5"/>
  <c r="A845" i="5"/>
  <c r="A118" i="5"/>
  <c r="A1115" i="5"/>
  <c r="A572" i="5"/>
  <c r="A629" i="5"/>
  <c r="A1050" i="5"/>
  <c r="A950" i="5"/>
  <c r="A622" i="5"/>
  <c r="A328" i="5"/>
  <c r="A1046" i="5"/>
  <c r="A992" i="5"/>
  <c r="A1160" i="5"/>
  <c r="A74" i="5"/>
  <c r="A1074" i="5"/>
  <c r="A367" i="5"/>
  <c r="A720" i="5"/>
  <c r="A1107" i="5"/>
  <c r="A366" i="5"/>
  <c r="A667" i="5"/>
  <c r="A1106" i="5"/>
  <c r="A941" i="5"/>
  <c r="A362" i="5"/>
  <c r="A938" i="5"/>
  <c r="A663" i="5"/>
  <c r="A21" i="5"/>
  <c r="A1032" i="5"/>
  <c r="A609" i="5"/>
  <c r="A1148" i="5"/>
  <c r="A135" i="5"/>
  <c r="A767" i="5"/>
  <c r="A309" i="5"/>
  <c r="A1192" i="5"/>
  <c r="A766" i="5"/>
  <c r="A130" i="5"/>
  <c r="A207" i="5"/>
  <c r="A14" i="5"/>
  <c r="A60" i="5"/>
  <c r="A763" i="5"/>
  <c r="A13" i="5"/>
  <c r="A651" i="5"/>
  <c r="A816" i="5"/>
  <c r="A492" i="5"/>
  <c r="A888" i="5"/>
  <c r="A393" i="2"/>
  <c r="A636" i="5"/>
  <c r="A792" i="5"/>
  <c r="A568" i="5"/>
  <c r="A831" i="5"/>
  <c r="A770" i="5"/>
  <c r="A539" i="5"/>
  <c r="A388" i="5"/>
  <c r="A486" i="5"/>
  <c r="A588" i="5"/>
  <c r="A53" i="5"/>
  <c r="A484" i="5"/>
  <c r="A745" i="5"/>
  <c r="A436" i="5"/>
  <c r="A483" i="5"/>
  <c r="A961" i="5"/>
  <c r="A856" i="5"/>
  <c r="A1129" i="5"/>
  <c r="A1177" i="5"/>
  <c r="A736" i="5"/>
  <c r="A285" i="5"/>
  <c r="A336" i="5"/>
  <c r="A190" i="5"/>
  <c r="A846" i="5"/>
  <c r="A1082" i="5"/>
  <c r="A471" i="5"/>
  <c r="A33" i="5"/>
  <c r="A419" i="5"/>
  <c r="A1165" i="5"/>
  <c r="A151" i="5"/>
  <c r="A676" i="5"/>
  <c r="A1111" i="5"/>
  <c r="A878" i="5"/>
  <c r="A516" i="5"/>
  <c r="A148" i="5"/>
  <c r="A673" i="5"/>
  <c r="A28" i="5"/>
  <c r="A721" i="5"/>
  <c r="A836" i="5"/>
  <c r="A72" i="5"/>
  <c r="A906" i="5"/>
  <c r="A832" i="5"/>
  <c r="A25" i="5"/>
  <c r="A365" i="5"/>
  <c r="A220" i="5"/>
  <c r="A454" i="5"/>
  <c r="A69" i="5"/>
  <c r="A558" i="5"/>
  <c r="A829" i="5"/>
  <c r="A610" i="5"/>
  <c r="A1100" i="5"/>
  <c r="A404" i="5"/>
  <c r="A500" i="5"/>
  <c r="A16" i="5"/>
  <c r="A134" i="5"/>
  <c r="A1069" i="5"/>
  <c r="A63" i="5"/>
  <c r="A977" i="5"/>
  <c r="A399" i="5"/>
  <c r="A252" i="5"/>
  <c r="A300" i="5"/>
  <c r="A700" i="5"/>
  <c r="A920" i="5"/>
  <c r="A125" i="5"/>
  <c r="A699" i="5"/>
  <c r="A886" i="5"/>
  <c r="A87" i="5"/>
  <c r="A112" i="5"/>
  <c r="A143" i="5"/>
  <c r="A980" i="5"/>
  <c r="A206" i="5"/>
  <c r="A971" i="5"/>
</calcChain>
</file>

<file path=xl/sharedStrings.xml><?xml version="1.0" encoding="utf-8"?>
<sst xmlns="http://schemas.openxmlformats.org/spreadsheetml/2006/main" count="24969" uniqueCount="282">
  <si>
    <t>VP</t>
  </si>
  <si>
    <t>Carlos Beltran Hernandez</t>
  </si>
  <si>
    <t>Hector Muraira Garza</t>
  </si>
  <si>
    <t>Ludy Torres Benitez</t>
  </si>
  <si>
    <t>Moises Saavedra Garcia</t>
  </si>
  <si>
    <t>Juan Granados Castillo</t>
  </si>
  <si>
    <t>Sandra Romero Zuluaga</t>
  </si>
  <si>
    <t>Martha Guzman Arango</t>
  </si>
  <si>
    <t>Jhonatan Izquierdo Rico</t>
  </si>
  <si>
    <t>Carlos Castillo Figueroa</t>
  </si>
  <si>
    <t>Client</t>
  </si>
  <si>
    <t>Mes</t>
  </si>
  <si>
    <t>Tipo de Infraccion</t>
  </si>
  <si>
    <t>Estado Infraccion</t>
  </si>
  <si>
    <t>Justificacion</t>
  </si>
  <si>
    <t>Horas Infraccion</t>
  </si>
  <si>
    <t>Pareto Justificaciones</t>
  </si>
  <si>
    <t>Forgotten login in payroll tool</t>
  </si>
  <si>
    <t>OPS Training</t>
  </si>
  <si>
    <t>Logged out Floor Support</t>
  </si>
  <si>
    <t>Service Now -  Temporary migration IT</t>
  </si>
  <si>
    <t>Forgotten login in OT</t>
  </si>
  <si>
    <t>Logged out Training TP</t>
  </si>
  <si>
    <t>Technical Problem - Client</t>
  </si>
  <si>
    <t>Client Training - Logged / Logged out</t>
  </si>
  <si>
    <t>Technical Problem Time Keeper</t>
  </si>
  <si>
    <t>Mandatory logout by TP</t>
  </si>
  <si>
    <t>Agent in Transfer Process</t>
  </si>
  <si>
    <t>Team Meeting TP - Logged / Logged out</t>
  </si>
  <si>
    <t>Logged out coaching</t>
  </si>
  <si>
    <t>HW Birthday</t>
  </si>
  <si>
    <t>Lunch auxiliary excess by mistake</t>
  </si>
  <si>
    <t>Incorrect login information</t>
  </si>
  <si>
    <t>Client users blocked</t>
  </si>
  <si>
    <t>Badge issues</t>
  </si>
  <si>
    <t>Team Meeting Client - Logged / Logged out</t>
  </si>
  <si>
    <t>Goods Strategy - PC in transit</t>
  </si>
  <si>
    <t>No PC to log into BMS</t>
  </si>
  <si>
    <t>Technical Problem - PC</t>
  </si>
  <si>
    <t>Mandatory logout by the Client</t>
  </si>
  <si>
    <t>Medical Appointment Leave OP</t>
  </si>
  <si>
    <t>The advisor forgot to follow his scheduled time</t>
  </si>
  <si>
    <t>Paid Benefit - Sales Compliance</t>
  </si>
  <si>
    <t>Transportation incident</t>
  </si>
  <si>
    <t>Incorrect schedule</t>
  </si>
  <si>
    <t>Internal interview</t>
  </si>
  <si>
    <t>Technical Problem - TP</t>
  </si>
  <si>
    <t>Internet failure</t>
  </si>
  <si>
    <t>Technical Problem - Peripheral</t>
  </si>
  <si>
    <t>HW Anniversary</t>
  </si>
  <si>
    <t>Uncoded Overtime</t>
  </si>
  <si>
    <t>Goods Strategy - Unassigned PC</t>
  </si>
  <si>
    <t>Seat unavailable</t>
  </si>
  <si>
    <t>Trip to site for TP implements</t>
  </si>
  <si>
    <t>Power failure</t>
  </si>
  <si>
    <t>Special Activity / Logged out floor support</t>
  </si>
  <si>
    <t>Post-payroll - Error agent did not manage</t>
  </si>
  <si>
    <t>School Summons Leave OP</t>
  </si>
  <si>
    <t>Post-payroll - Error supervisor did not manage</t>
  </si>
  <si>
    <t>TP users blocked</t>
  </si>
  <si>
    <t>Transition client training benefit</t>
  </si>
  <si>
    <t>Judicial Summons Leave OP</t>
  </si>
  <si>
    <t>Medical Appointment Leave NOP</t>
  </si>
  <si>
    <t>VPN Issues - IT</t>
  </si>
  <si>
    <t>Post-payroll - Error in reported hours</t>
  </si>
  <si>
    <t>Breastfeeding time</t>
  </si>
  <si>
    <t>HW Vacation Benefit
 For Quinquennium</t>
  </si>
  <si>
    <t>Voting time off for the First-Round Election - COL</t>
  </si>
  <si>
    <t>Error in Lilo Client transformation</t>
  </si>
  <si>
    <t>Post-payroll - Error OnTime did not worked</t>
  </si>
  <si>
    <t>Voting Leave 4 Hours OP</t>
  </si>
  <si>
    <t>Post-payroll - Error trainer did not manage</t>
  </si>
  <si>
    <t xml:space="preserve">Post-payroll - Error OnTime hierarchies </t>
  </si>
  <si>
    <t>Active Pause</t>
  </si>
  <si>
    <t>Masive failure - IT Outage</t>
  </si>
  <si>
    <t>Voting Leave 4 Hours NOP</t>
  </si>
  <si>
    <t>Technical Problem - Self-solution by the Agent</t>
  </si>
  <si>
    <t>HW Maternity Time</t>
  </si>
  <si>
    <t>School Summons Leave NOP</t>
  </si>
  <si>
    <t>HW Wedding Benefit</t>
  </si>
  <si>
    <t>TP Medical Exam</t>
  </si>
  <si>
    <t>Election Jury Summon</t>
  </si>
  <si>
    <t>Employee Afairs Leave</t>
  </si>
  <si>
    <t>HW Extended Mourning leave</t>
  </si>
  <si>
    <t>TP Escucha</t>
  </si>
  <si>
    <t>Election Jury Training (4 Hours)</t>
  </si>
  <si>
    <t>Judicial Summons Leave NOP</t>
  </si>
  <si>
    <t>HW Paternity Extended</t>
  </si>
  <si>
    <t>Technical Problem Citrix - Self-solution by the Agent</t>
  </si>
  <si>
    <t>VPN Issues - Self-solution</t>
  </si>
  <si>
    <t>Adiciones</t>
  </si>
  <si>
    <t>Aprobadas</t>
  </si>
  <si>
    <t>Enero</t>
  </si>
  <si>
    <t>Amazon</t>
  </si>
  <si>
    <t>Rebel LATAM</t>
  </si>
  <si>
    <t>LanguageLine Solutions</t>
  </si>
  <si>
    <t>Mercado Libre</t>
  </si>
  <si>
    <t>Cardif</t>
  </si>
  <si>
    <t>Liberty Latin América</t>
  </si>
  <si>
    <t>AT&amp;T</t>
  </si>
  <si>
    <t>Bancolombia</t>
  </si>
  <si>
    <t>Capital One</t>
  </si>
  <si>
    <t>AC</t>
  </si>
  <si>
    <t>Despegar.com</t>
  </si>
  <si>
    <t>Vodafone</t>
  </si>
  <si>
    <t>Facebook</t>
  </si>
  <si>
    <t>Stripe</t>
  </si>
  <si>
    <t>Didi Chuxing (formerly Didi Kuaidi)</t>
  </si>
  <si>
    <t>Sunrun</t>
  </si>
  <si>
    <t>ARP SURA</t>
  </si>
  <si>
    <t>Nordstrom.com</t>
  </si>
  <si>
    <t>Robinhood</t>
  </si>
  <si>
    <t>Jazztel</t>
  </si>
  <si>
    <t>Tik Tok</t>
  </si>
  <si>
    <t>EPS SURA</t>
  </si>
  <si>
    <t>Concora Credit Inc.</t>
  </si>
  <si>
    <t>Microsoft</t>
  </si>
  <si>
    <t>Securitas Direct España SAU</t>
  </si>
  <si>
    <t>IPS SURA</t>
  </si>
  <si>
    <t>Disney+</t>
  </si>
  <si>
    <t>Duke Energy Corporation</t>
  </si>
  <si>
    <t>LinkedIn Corporation</t>
  </si>
  <si>
    <t>Avianca</t>
  </si>
  <si>
    <t>Visa</t>
  </si>
  <si>
    <t>Cemex Colombia</t>
  </si>
  <si>
    <t>Vivint</t>
  </si>
  <si>
    <t>Orange</t>
  </si>
  <si>
    <t>Votre Passion SA (Leonisa Colombia)</t>
  </si>
  <si>
    <t>MASORANGE S.L</t>
  </si>
  <si>
    <t>Repsol</t>
  </si>
  <si>
    <t>Expedia</t>
  </si>
  <si>
    <t>Grupo Uribe</t>
  </si>
  <si>
    <t>Priceline</t>
  </si>
  <si>
    <t>UnitedHealth Group</t>
  </si>
  <si>
    <t>DoorDash</t>
  </si>
  <si>
    <t>Copa Airlines</t>
  </si>
  <si>
    <t>Sony</t>
  </si>
  <si>
    <t>Airbnb</t>
  </si>
  <si>
    <t>Naturgy</t>
  </si>
  <si>
    <t>Altice USA</t>
  </si>
  <si>
    <t>VRBO</t>
  </si>
  <si>
    <t>Shein</t>
  </si>
  <si>
    <t>Discord</t>
  </si>
  <si>
    <t>Davibank CFC</t>
  </si>
  <si>
    <t>HughesNet</t>
  </si>
  <si>
    <t>Fundacion Santafe de Bogota</t>
  </si>
  <si>
    <t>FRISBY S.A.</t>
  </si>
  <si>
    <t>Rappi</t>
  </si>
  <si>
    <t>Bavaria</t>
  </si>
  <si>
    <t>Epson</t>
  </si>
  <si>
    <t>PayPal</t>
  </si>
  <si>
    <t>MLB Advanced Media</t>
  </si>
  <si>
    <t>General Motors</t>
  </si>
  <si>
    <t>Banistmo</t>
  </si>
  <si>
    <t>ComOps</t>
  </si>
  <si>
    <t>Davivienda</t>
  </si>
  <si>
    <t>Aero Republica</t>
  </si>
  <si>
    <t>Zalando Customer Care International SE &amp; Co. KG</t>
  </si>
  <si>
    <t>Tinder</t>
  </si>
  <si>
    <t>Bnext</t>
  </si>
  <si>
    <t>Apple Leisure Group</t>
  </si>
  <si>
    <t>The Amynta Group</t>
  </si>
  <si>
    <t>Dinamica IPS</t>
  </si>
  <si>
    <t>Samsara</t>
  </si>
  <si>
    <t>Turo</t>
  </si>
  <si>
    <t>Hospital San Vicente Fundación</t>
  </si>
  <si>
    <t>Nubank</t>
  </si>
  <si>
    <t>ESA Management LLC</t>
  </si>
  <si>
    <t>Amway</t>
  </si>
  <si>
    <t>Philip Morris</t>
  </si>
  <si>
    <t>Samsung Electronics</t>
  </si>
  <si>
    <t>Credibanco</t>
  </si>
  <si>
    <t>Citigroup Inc.</t>
  </si>
  <si>
    <t>Ring Amazon</t>
  </si>
  <si>
    <t>Redeban</t>
  </si>
  <si>
    <t>Stanley Black &amp; Decker</t>
  </si>
  <si>
    <t>Hospital Pablo Tobon Uribe</t>
  </si>
  <si>
    <t>Iberdrola</t>
  </si>
  <si>
    <t>Southeastern Grocers</t>
  </si>
  <si>
    <t>Segway-Ninebot</t>
  </si>
  <si>
    <t>Colsubsidio</t>
  </si>
  <si>
    <t>Enel</t>
  </si>
  <si>
    <t>C.H. Robinson Worldwide, Inc.</t>
  </si>
  <si>
    <t>Arcos Dorados</t>
  </si>
  <si>
    <t>Booking EPS</t>
  </si>
  <si>
    <t>Coca Cola</t>
  </si>
  <si>
    <t>Hospital Universitario San Ignacio</t>
  </si>
  <si>
    <t>Kurt Geiger</t>
  </si>
  <si>
    <t>Comfenalco Antioquia</t>
  </si>
  <si>
    <t>Lenovo</t>
  </si>
  <si>
    <t>Verizon Wireless</t>
  </si>
  <si>
    <t>Febrero</t>
  </si>
  <si>
    <t>Marzo</t>
  </si>
  <si>
    <t xml:space="preserve">Election jury benefit </t>
  </si>
  <si>
    <t>Abril</t>
  </si>
  <si>
    <t>Target achievement benefit</t>
  </si>
  <si>
    <t>Bolt</t>
  </si>
  <si>
    <t>Servihabitat</t>
  </si>
  <si>
    <t>Relay Financial</t>
  </si>
  <si>
    <t>JetSMART</t>
  </si>
  <si>
    <t>Segurcaixa</t>
  </si>
  <si>
    <t>Acorns</t>
  </si>
  <si>
    <t>Mayo</t>
  </si>
  <si>
    <t>Junio</t>
  </si>
  <si>
    <t>Voting time off for the Second-Round Election - COL</t>
  </si>
  <si>
    <t>Julio</t>
  </si>
  <si>
    <t>Denegadas</t>
  </si>
  <si>
    <t>Ebay</t>
  </si>
  <si>
    <t>Teleperformance Colombia</t>
  </si>
  <si>
    <t>Google</t>
  </si>
  <si>
    <t>Unauthorized infraction 1st approver</t>
  </si>
  <si>
    <t>Unauthorized reviewed infraction</t>
  </si>
  <si>
    <t>Infracction without justification</t>
  </si>
  <si>
    <t>Infraction justified in BMS</t>
  </si>
  <si>
    <t>Unauthorized - 2nd approver</t>
  </si>
  <si>
    <t>Incorrect category - 2nd approver</t>
  </si>
  <si>
    <t>Inconsistent data - 2nd approver</t>
  </si>
  <si>
    <t>Incomplete documentation - 2nd approver</t>
  </si>
  <si>
    <t>Not defined</t>
  </si>
  <si>
    <t>Reducciones</t>
  </si>
  <si>
    <t>Approved by system</t>
  </si>
  <si>
    <t>Incorrect lilo client</t>
  </si>
  <si>
    <t>Logged Floor Support</t>
  </si>
  <si>
    <t>Long out of shift interaction</t>
  </si>
  <si>
    <t>Login in client tool loaded incomplete</t>
  </si>
  <si>
    <t>Logged coaching</t>
  </si>
  <si>
    <t>Supernumerary without client tool conection</t>
  </si>
  <si>
    <t>Uncoded Swap</t>
  </si>
  <si>
    <t>Swap denied</t>
  </si>
  <si>
    <t>Maria Forero Jara</t>
  </si>
  <si>
    <t>Ernesto Rico Zuluaga</t>
  </si>
  <si>
    <t>System System</t>
  </si>
  <si>
    <t>Sergio Gomez Perez</t>
  </si>
  <si>
    <t>Alejandro Rico Zuluaga</t>
  </si>
  <si>
    <t>Felipe Izquierdo Rico</t>
  </si>
  <si>
    <t>Claudia Alvarez Pereira</t>
  </si>
  <si>
    <t>Javier Orjuela Sarmiento</t>
  </si>
  <si>
    <t>Agosto</t>
  </si>
  <si>
    <t>The Go Daddy Group, Inc.</t>
  </si>
  <si>
    <t>Centene</t>
  </si>
  <si>
    <t>Beijing Bytedance Tech Group</t>
  </si>
  <si>
    <t>Marriott International, Inc</t>
  </si>
  <si>
    <t>Angie Homeservices</t>
  </si>
  <si>
    <t>Netflix</t>
  </si>
  <si>
    <t>Belong Home</t>
  </si>
  <si>
    <t>Conservice</t>
  </si>
  <si>
    <t>Proctor Financial</t>
  </si>
  <si>
    <t>Sirius XM Radio</t>
  </si>
  <si>
    <t>GoFundMe</t>
  </si>
  <si>
    <t>BetMGM LLC</t>
  </si>
  <si>
    <t>Noom Inc</t>
  </si>
  <si>
    <t>emma-sleep</t>
  </si>
  <si>
    <t>ecoATM Gazelle</t>
  </si>
  <si>
    <t>Getyourguide Deutschland GmbH</t>
  </si>
  <si>
    <t>PeopleConnect</t>
  </si>
  <si>
    <t>Earnin</t>
  </si>
  <si>
    <t>Sound United LLC</t>
  </si>
  <si>
    <t>Bridgeway</t>
  </si>
  <si>
    <t>ChowNow</t>
  </si>
  <si>
    <t>Blizzard Entertainment</t>
  </si>
  <si>
    <t>American Logistics</t>
  </si>
  <si>
    <t>Internet Failure - per</t>
  </si>
  <si>
    <t>Power Failure - PER</t>
  </si>
  <si>
    <t>Worked Holiday</t>
  </si>
  <si>
    <t>Booking.com</t>
  </si>
  <si>
    <t>Trade Republic Bank GmbH</t>
  </si>
  <si>
    <t>Voting Time Off PER</t>
  </si>
  <si>
    <t>Voting Time Off</t>
  </si>
  <si>
    <t>Voting in province - OP</t>
  </si>
  <si>
    <t>Banco BCI</t>
  </si>
  <si>
    <t>Belcorp</t>
  </si>
  <si>
    <t>Homeaway</t>
  </si>
  <si>
    <t>SiteRx</t>
  </si>
  <si>
    <t>Voting in province - NOP</t>
  </si>
  <si>
    <t>Juan Camilo Granados</t>
  </si>
  <si>
    <t>Alvaro Zamudio Rondon</t>
  </si>
  <si>
    <t>Edwin Gamboa</t>
  </si>
  <si>
    <t>Luis Vergel Gonzalez</t>
  </si>
  <si>
    <t>Angelica Tarantino Pavia</t>
  </si>
  <si>
    <t>Sebastian Rojas Fernandez</t>
  </si>
  <si>
    <t>Ander Penate Nunez</t>
  </si>
  <si>
    <t>Pablo Alvarado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</si>
</sst>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0%;\-0.00%;0.00%"/>
    </dxf>
    <dxf>
      <numFmt numFmtId="3" formatCode="#,##0"/>
    </dxf>
    <dxf>
      <numFmt numFmtId="164" formatCode="0.00%;\-0.00%;0.00%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D15263-5CE3-40DC-A0D3-8BBE5AE47ED4}" name="VpsClientes" displayName="VpsClientes" ref="A1:B136" totalsRowShown="0" headerRowDxfId="19" headerRowBorderDxfId="18" tableBorderDxfId="17" totalsRowBorderDxfId="16">
  <autoFilter ref="A1:B136" xr:uid="{4FD15263-5CE3-40DC-A0D3-8BBE5AE47ED4}"/>
  <tableColumns count="2">
    <tableColumn id="1" xr3:uid="{56D537E1-DFDA-46C7-8390-CCAF1664844C}" name="VP" dataDxfId="15" totalsRowDxfId="5"/>
    <tableColumn id="2" xr3:uid="{68F10068-51DD-4766-9043-1729BAE437E5}" name="Client" dataDxfId="14" totalsRow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86F72-7701-4621-95FE-CF2DD5CB03AA}" name="ColombiaJustificaciones" displayName="ColombiaJustificaciones" ref="A1:G1120" totalsRowShown="0">
  <autoFilter ref="A1:G1120" xr:uid="{6EB86F72-7701-4621-95FE-CF2DD5CB03AA}"/>
  <sortState xmlns:xlrd2="http://schemas.microsoft.com/office/spreadsheetml/2017/richdata2" ref="A2:G668">
    <sortCondition ref="C1:C1120"/>
  </sortState>
  <tableColumns count="7">
    <tableColumn id="1" xr3:uid="{468BADBB-4EB6-45C7-B776-A37688E8FBA5}" name="VP"/>
    <tableColumn id="3" xr3:uid="{CB87AD21-CF8A-4227-B935-D632ED599EAE}" name="Mes"/>
    <tableColumn id="4" xr3:uid="{799E19D5-F7CC-42D8-9D02-81C4409E9FF4}" name="Tipo de Infraccion"/>
    <tableColumn id="5" xr3:uid="{6AE00FF2-F755-4E7D-AF04-187B41B2DE1D}" name="Estado Infraccion"/>
    <tableColumn id="6" xr3:uid="{559586AF-64E4-4F37-9666-47AFD605D9E9}" name="Justificacion"/>
    <tableColumn id="7" xr3:uid="{EB993B79-7FD4-436E-A24B-DB7ABA5E6090}" name="Horas Infraccion" dataDxfId="7"/>
    <tableColumn id="8" xr3:uid="{7695308F-ABCE-4123-9319-2C155C07C70F}" name="Pareto Justificaciones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965985-AAC8-43A1-9521-AE9FCEF690A6}" name="ColombiaClientes" displayName="ColombiaClientes" ref="A1:F3076" totalsRowShown="0">
  <autoFilter ref="A1:F3076" xr:uid="{6EB86F72-7701-4621-95FE-CF2DD5CB03AA}"/>
  <tableColumns count="6">
    <tableColumn id="1" xr3:uid="{1468CF12-F833-409D-A81F-38FAE38D9276}" name="VP" dataDxfId="13">
      <calculatedColumnFormula>_xlfn.XLOOKUP(ColombiaClientes[[#This Row],[Client]],VpsClientes[Client],VpsClientes[VP],"",0)</calculatedColumnFormula>
    </tableColumn>
    <tableColumn id="2" xr3:uid="{FE625584-0887-4A46-89F5-1583A7597B77}" name="Client"/>
    <tableColumn id="3" xr3:uid="{5037226D-62C0-45B6-B352-6BD99A64148F}" name="Mes"/>
    <tableColumn id="4" xr3:uid="{15407093-77BD-4BA9-9538-EA23AA0F1F20}" name="Tipo de Infraccion"/>
    <tableColumn id="5" xr3:uid="{DA0049F6-9DBF-4FFC-B6A9-15DF8D3FAE3B}" name="Estado Infraccion"/>
    <tableColumn id="7" xr3:uid="{5292FD91-33D1-4707-972D-AC0C1A01876F}" name="Horas Infraccion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207FC8-0EBF-4DF7-9ECF-D208923B1A6B}" name="ColombiaJustificaciones5" displayName="ColombiaJustificaciones5" ref="A1:G753" totalsRowShown="0">
  <autoFilter ref="A1:G753" xr:uid="{6EB86F72-7701-4621-95FE-CF2DD5CB03AA}"/>
  <tableColumns count="7">
    <tableColumn id="1" xr3:uid="{6AE3047D-6C70-461F-A112-DFD743FD7B7C}" name="VP"/>
    <tableColumn id="3" xr3:uid="{D9AAF7A4-B835-4D18-BDCA-322D8EED8602}" name="Mes"/>
    <tableColumn id="4" xr3:uid="{B7849ABF-87BB-446B-927A-EAB8E0A20990}" name="Tipo de Infraccion"/>
    <tableColumn id="5" xr3:uid="{875ACDBC-0FA6-47DF-B3E6-E4E33DE0DA59}" name="Estado Infraccion"/>
    <tableColumn id="6" xr3:uid="{B1B397EE-3495-4381-B1A7-FFF3F5204C33}" name="Justificacion"/>
    <tableColumn id="7" xr3:uid="{2D5E7962-84F7-4933-8608-DA1FF2DC8D40}" name="Horas Infraccion" dataDxfId="11"/>
    <tableColumn id="8" xr3:uid="{7300F109-2AEB-4DDF-9CE8-0B43FD363801}" name="Pareto Justificaciones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D90B12-1A8B-4E8B-AA0D-D2E9EF333C3F}" name="ColombiaClientes6" displayName="ColombiaClientes6" ref="A1:F1225" totalsRowShown="0">
  <autoFilter ref="A1:F1225" xr:uid="{6EB86F72-7701-4621-95FE-CF2DD5CB03AA}">
    <filterColumn colId="0">
      <filters blank="1"/>
    </filterColumn>
  </autoFilter>
  <sortState xmlns:xlrd2="http://schemas.microsoft.com/office/spreadsheetml/2017/richdata2" ref="A7:F1224">
    <sortCondition ref="B1:B1225"/>
  </sortState>
  <tableColumns count="6">
    <tableColumn id="1" xr3:uid="{9ED94328-4674-48C7-B7F8-E018A1DA32F7}" name="VP" dataDxfId="10">
      <calculatedColumnFormula>_xlfn.XLOOKUP(ColombiaClientes6[[#This Row],[Client]],VpsClientes[Client],VpsClientes[VP],"",0)</calculatedColumnFormula>
    </tableColumn>
    <tableColumn id="2" xr3:uid="{1E17E27E-0F83-4657-B5BC-C39471A968BA}" name="Client"/>
    <tableColumn id="3" xr3:uid="{991FD655-4019-4C4E-B054-9257A3323047}" name="Mes"/>
    <tableColumn id="4" xr3:uid="{9D2DB008-6E9D-4C62-93B6-5336D97E99DB}" name="Tipo de Infraccion"/>
    <tableColumn id="5" xr3:uid="{7C6B5EC3-3D90-474D-8A15-28BF75C8CD18}" name="Estado Infraccion"/>
    <tableColumn id="7" xr3:uid="{CE1772B7-4026-4A01-B2A9-1E49BE8D5573}" name="Horas Infracc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7A33-D9D6-4347-9295-23CCFC03A9FC}">
  <sheetPr codeName="Hoja1"/>
  <dimension ref="A1:B136"/>
  <sheetViews>
    <sheetView workbookViewId="0">
      <selection activeCell="A107" sqref="A107"/>
    </sheetView>
  </sheetViews>
  <sheetFormatPr baseColWidth="10" defaultRowHeight="14.4" x14ac:dyDescent="0.3"/>
  <cols>
    <col min="1" max="1" width="27" customWidth="1"/>
    <col min="2" max="2" width="34.44140625" customWidth="1"/>
  </cols>
  <sheetData>
    <row r="1" spans="1:2" x14ac:dyDescent="0.3">
      <c r="A1" s="5" t="s">
        <v>0</v>
      </c>
      <c r="B1" s="5" t="s">
        <v>10</v>
      </c>
    </row>
    <row r="2" spans="1:2" x14ac:dyDescent="0.3">
      <c r="A2" s="3" t="s">
        <v>1</v>
      </c>
      <c r="B2" s="3" t="s">
        <v>93</v>
      </c>
    </row>
    <row r="3" spans="1:2" x14ac:dyDescent="0.3">
      <c r="A3" s="4" t="s">
        <v>7</v>
      </c>
      <c r="B3" s="4" t="s">
        <v>96</v>
      </c>
    </row>
    <row r="4" spans="1:2" x14ac:dyDescent="0.3">
      <c r="A4" s="3" t="s">
        <v>7</v>
      </c>
      <c r="B4" s="3" t="s">
        <v>98</v>
      </c>
    </row>
    <row r="5" spans="1:2" x14ac:dyDescent="0.3">
      <c r="A5" s="4" t="s">
        <v>1</v>
      </c>
      <c r="B5" s="4" t="s">
        <v>94</v>
      </c>
    </row>
    <row r="6" spans="1:2" x14ac:dyDescent="0.3">
      <c r="A6" s="3" t="s">
        <v>4</v>
      </c>
      <c r="B6" s="3" t="s">
        <v>99</v>
      </c>
    </row>
    <row r="7" spans="1:2" x14ac:dyDescent="0.3">
      <c r="A7" s="4" t="s">
        <v>8</v>
      </c>
      <c r="B7" s="4" t="s">
        <v>104</v>
      </c>
    </row>
    <row r="8" spans="1:2" x14ac:dyDescent="0.3">
      <c r="A8" s="3" t="s">
        <v>8</v>
      </c>
      <c r="B8" s="3" t="s">
        <v>112</v>
      </c>
    </row>
    <row r="9" spans="1:2" x14ac:dyDescent="0.3">
      <c r="A9" s="4" t="s">
        <v>8</v>
      </c>
      <c r="B9" s="4" t="s">
        <v>128</v>
      </c>
    </row>
    <row r="10" spans="1:2" x14ac:dyDescent="0.3">
      <c r="A10" s="3" t="s">
        <v>1</v>
      </c>
      <c r="B10" s="3" t="s">
        <v>102</v>
      </c>
    </row>
    <row r="11" spans="1:2" x14ac:dyDescent="0.3">
      <c r="A11" s="4" t="s">
        <v>7</v>
      </c>
      <c r="B11" s="4" t="s">
        <v>100</v>
      </c>
    </row>
    <row r="12" spans="1:2" x14ac:dyDescent="0.3">
      <c r="A12" s="3" t="s">
        <v>9</v>
      </c>
      <c r="B12" s="3" t="s">
        <v>105</v>
      </c>
    </row>
    <row r="13" spans="1:2" x14ac:dyDescent="0.3">
      <c r="A13" s="4" t="s">
        <v>229</v>
      </c>
      <c r="B13" s="4" t="s">
        <v>101</v>
      </c>
    </row>
    <row r="14" spans="1:2" x14ac:dyDescent="0.3">
      <c r="A14" s="3" t="s">
        <v>229</v>
      </c>
      <c r="B14" s="3" t="s">
        <v>123</v>
      </c>
    </row>
    <row r="15" spans="1:2" x14ac:dyDescent="0.3">
      <c r="A15" s="4" t="s">
        <v>8</v>
      </c>
      <c r="B15" s="4" t="s">
        <v>107</v>
      </c>
    </row>
    <row r="16" spans="1:2" x14ac:dyDescent="0.3">
      <c r="A16" s="3" t="s">
        <v>229</v>
      </c>
      <c r="B16" s="3" t="s">
        <v>125</v>
      </c>
    </row>
    <row r="17" spans="1:2" x14ac:dyDescent="0.3">
      <c r="A17" s="4" t="s">
        <v>7</v>
      </c>
      <c r="B17" s="4" t="s">
        <v>103</v>
      </c>
    </row>
    <row r="18" spans="1:2" x14ac:dyDescent="0.3">
      <c r="A18" s="3" t="s">
        <v>2</v>
      </c>
      <c r="B18" s="3" t="s">
        <v>140</v>
      </c>
    </row>
    <row r="19" spans="1:2" x14ac:dyDescent="0.3">
      <c r="A19" s="4" t="s">
        <v>3</v>
      </c>
      <c r="B19" s="4" t="s">
        <v>95</v>
      </c>
    </row>
    <row r="20" spans="1:2" x14ac:dyDescent="0.3">
      <c r="A20" s="3" t="s">
        <v>229</v>
      </c>
      <c r="B20" s="3" t="s">
        <v>108</v>
      </c>
    </row>
    <row r="21" spans="1:2" x14ac:dyDescent="0.3">
      <c r="A21" s="4" t="s">
        <v>4</v>
      </c>
      <c r="B21" s="4" t="s">
        <v>115</v>
      </c>
    </row>
    <row r="22" spans="1:2" x14ac:dyDescent="0.3">
      <c r="A22" s="3" t="s">
        <v>6</v>
      </c>
      <c r="B22" s="3" t="s">
        <v>113</v>
      </c>
    </row>
    <row r="23" spans="1:2" x14ac:dyDescent="0.3">
      <c r="A23" s="4" t="s">
        <v>7</v>
      </c>
      <c r="B23" s="4" t="s">
        <v>109</v>
      </c>
    </row>
    <row r="24" spans="1:2" x14ac:dyDescent="0.3">
      <c r="A24" s="3" t="s">
        <v>7</v>
      </c>
      <c r="B24" s="3" t="s">
        <v>97</v>
      </c>
    </row>
    <row r="25" spans="1:2" x14ac:dyDescent="0.3">
      <c r="A25" s="4" t="s">
        <v>7</v>
      </c>
      <c r="B25" s="4" t="s">
        <v>122</v>
      </c>
    </row>
    <row r="26" spans="1:2" x14ac:dyDescent="0.3">
      <c r="A26" s="3" t="s">
        <v>229</v>
      </c>
      <c r="B26" s="3" t="s">
        <v>139</v>
      </c>
    </row>
    <row r="27" spans="1:2" x14ac:dyDescent="0.3">
      <c r="A27" s="4" t="s">
        <v>230</v>
      </c>
      <c r="B27" s="4" t="s">
        <v>121</v>
      </c>
    </row>
    <row r="28" spans="1:2" x14ac:dyDescent="0.3">
      <c r="A28" s="3" t="s">
        <v>8</v>
      </c>
      <c r="B28" s="3" t="s">
        <v>126</v>
      </c>
    </row>
    <row r="29" spans="1:2" x14ac:dyDescent="0.3">
      <c r="A29" s="4" t="s">
        <v>230</v>
      </c>
      <c r="B29" s="4" t="s">
        <v>116</v>
      </c>
    </row>
    <row r="30" spans="1:2" x14ac:dyDescent="0.3">
      <c r="A30" s="3" t="s">
        <v>229</v>
      </c>
      <c r="B30" s="3" t="s">
        <v>106</v>
      </c>
    </row>
    <row r="31" spans="1:2" x14ac:dyDescent="0.3">
      <c r="A31" s="4" t="s">
        <v>4</v>
      </c>
      <c r="B31" s="4" t="s">
        <v>120</v>
      </c>
    </row>
    <row r="32" spans="1:2" x14ac:dyDescent="0.3">
      <c r="A32" s="3" t="s">
        <v>7</v>
      </c>
      <c r="B32" s="3" t="s">
        <v>114</v>
      </c>
    </row>
    <row r="33" spans="1:2" x14ac:dyDescent="0.3">
      <c r="A33" s="4" t="s">
        <v>2</v>
      </c>
      <c r="B33" s="4" t="s">
        <v>137</v>
      </c>
    </row>
    <row r="34" spans="1:2" x14ac:dyDescent="0.3">
      <c r="A34" s="3" t="s">
        <v>4</v>
      </c>
      <c r="B34" s="3" t="s">
        <v>110</v>
      </c>
    </row>
    <row r="35" spans="1:2" x14ac:dyDescent="0.3">
      <c r="A35" s="4" t="s">
        <v>7</v>
      </c>
      <c r="B35" s="4" t="s">
        <v>118</v>
      </c>
    </row>
    <row r="36" spans="1:2" x14ac:dyDescent="0.3">
      <c r="A36" s="3" t="s">
        <v>7</v>
      </c>
      <c r="B36" s="3" t="s">
        <v>143</v>
      </c>
    </row>
    <row r="37" spans="1:2" x14ac:dyDescent="0.3">
      <c r="A37" s="4" t="s">
        <v>5</v>
      </c>
      <c r="B37" s="4" t="s">
        <v>136</v>
      </c>
    </row>
    <row r="38" spans="1:2" x14ac:dyDescent="0.3">
      <c r="A38" s="3" t="s">
        <v>1</v>
      </c>
      <c r="B38" s="3" t="s">
        <v>119</v>
      </c>
    </row>
    <row r="39" spans="1:2" x14ac:dyDescent="0.3">
      <c r="A39" s="4" t="s">
        <v>4</v>
      </c>
      <c r="B39" s="4" t="s">
        <v>150</v>
      </c>
    </row>
    <row r="40" spans="1:2" x14ac:dyDescent="0.3">
      <c r="A40" s="3" t="s">
        <v>5</v>
      </c>
      <c r="B40" s="3" t="s">
        <v>134</v>
      </c>
    </row>
    <row r="41" spans="1:2" x14ac:dyDescent="0.3">
      <c r="A41" s="4" t="s">
        <v>2</v>
      </c>
      <c r="B41" s="4" t="s">
        <v>130</v>
      </c>
    </row>
    <row r="42" spans="1:2" x14ac:dyDescent="0.3">
      <c r="A42" s="3" t="s">
        <v>8</v>
      </c>
      <c r="B42" s="3" t="s">
        <v>138</v>
      </c>
    </row>
    <row r="43" spans="1:2" x14ac:dyDescent="0.3">
      <c r="A43" s="4" t="s">
        <v>7</v>
      </c>
      <c r="B43" s="4" t="s">
        <v>135</v>
      </c>
    </row>
    <row r="44" spans="1:2" x14ac:dyDescent="0.3">
      <c r="A44" s="3" t="s">
        <v>7</v>
      </c>
      <c r="B44" s="3" t="s">
        <v>168</v>
      </c>
    </row>
    <row r="45" spans="1:2" x14ac:dyDescent="0.3">
      <c r="A45" s="4" t="s">
        <v>8</v>
      </c>
      <c r="B45" s="4" t="s">
        <v>117</v>
      </c>
    </row>
    <row r="46" spans="1:2" x14ac:dyDescent="0.3">
      <c r="A46" s="3" t="s">
        <v>7</v>
      </c>
      <c r="B46" s="3" t="s">
        <v>124</v>
      </c>
    </row>
    <row r="47" spans="1:2" x14ac:dyDescent="0.3">
      <c r="A47" s="4" t="s">
        <v>7</v>
      </c>
      <c r="B47" s="4" t="s">
        <v>146</v>
      </c>
    </row>
    <row r="48" spans="1:2" x14ac:dyDescent="0.3">
      <c r="A48" s="3" t="s">
        <v>7</v>
      </c>
      <c r="B48" s="3" t="s">
        <v>148</v>
      </c>
    </row>
    <row r="49" spans="1:2" x14ac:dyDescent="0.3">
      <c r="A49" s="4" t="s">
        <v>7</v>
      </c>
      <c r="B49" s="4" t="s">
        <v>153</v>
      </c>
    </row>
    <row r="50" spans="1:2" x14ac:dyDescent="0.3">
      <c r="A50" s="3" t="s">
        <v>7</v>
      </c>
      <c r="B50" s="3" t="s">
        <v>152</v>
      </c>
    </row>
    <row r="51" spans="1:2" x14ac:dyDescent="0.3">
      <c r="A51" s="4" t="s">
        <v>7</v>
      </c>
      <c r="B51" s="4" t="s">
        <v>185</v>
      </c>
    </row>
    <row r="52" spans="1:2" x14ac:dyDescent="0.3">
      <c r="A52" s="3" t="s">
        <v>2</v>
      </c>
      <c r="B52" s="3" t="s">
        <v>154</v>
      </c>
    </row>
    <row r="53" spans="1:2" x14ac:dyDescent="0.3">
      <c r="A53" s="4" t="s">
        <v>7</v>
      </c>
      <c r="B53" s="4" t="s">
        <v>156</v>
      </c>
    </row>
    <row r="54" spans="1:2" x14ac:dyDescent="0.3">
      <c r="A54" s="3" t="s">
        <v>229</v>
      </c>
      <c r="B54" s="3" t="s">
        <v>111</v>
      </c>
    </row>
    <row r="55" spans="1:2" x14ac:dyDescent="0.3">
      <c r="A55" s="4" t="s">
        <v>1</v>
      </c>
      <c r="B55" s="4" t="s">
        <v>151</v>
      </c>
    </row>
    <row r="56" spans="1:2" x14ac:dyDescent="0.3">
      <c r="A56" s="3" t="s">
        <v>231</v>
      </c>
      <c r="B56" s="3" t="s">
        <v>208</v>
      </c>
    </row>
    <row r="57" spans="1:2" x14ac:dyDescent="0.3">
      <c r="A57" s="4" t="s">
        <v>2</v>
      </c>
      <c r="B57" s="4" t="s">
        <v>132</v>
      </c>
    </row>
    <row r="58" spans="1:2" x14ac:dyDescent="0.3">
      <c r="A58" s="3" t="s">
        <v>7</v>
      </c>
      <c r="B58" s="3" t="s">
        <v>145</v>
      </c>
    </row>
    <row r="59" spans="1:2" x14ac:dyDescent="0.3">
      <c r="A59" s="4" t="s">
        <v>8</v>
      </c>
      <c r="B59" s="4" t="s">
        <v>157</v>
      </c>
    </row>
    <row r="60" spans="1:2" x14ac:dyDescent="0.3">
      <c r="A60" s="3" t="s">
        <v>7</v>
      </c>
      <c r="B60" s="3" t="s">
        <v>166</v>
      </c>
    </row>
    <row r="61" spans="1:2" x14ac:dyDescent="0.3">
      <c r="A61" s="4" t="s">
        <v>229</v>
      </c>
      <c r="B61" s="4" t="s">
        <v>163</v>
      </c>
    </row>
    <row r="62" spans="1:2" x14ac:dyDescent="0.3">
      <c r="A62" s="3" t="s">
        <v>7</v>
      </c>
      <c r="B62" s="3" t="s">
        <v>162</v>
      </c>
    </row>
    <row r="63" spans="1:2" x14ac:dyDescent="0.3">
      <c r="A63" s="4" t="s">
        <v>8</v>
      </c>
      <c r="B63" s="4" t="s">
        <v>129</v>
      </c>
    </row>
    <row r="64" spans="1:2" x14ac:dyDescent="0.3">
      <c r="A64" s="3" t="s">
        <v>229</v>
      </c>
      <c r="B64" s="3" t="s">
        <v>144</v>
      </c>
    </row>
    <row r="65" spans="1:2" x14ac:dyDescent="0.3">
      <c r="A65" s="4" t="s">
        <v>4</v>
      </c>
      <c r="B65" s="4" t="s">
        <v>172</v>
      </c>
    </row>
    <row r="66" spans="1:2" x14ac:dyDescent="0.3">
      <c r="A66" s="3" t="s">
        <v>7</v>
      </c>
      <c r="B66" s="3" t="s">
        <v>199</v>
      </c>
    </row>
    <row r="67" spans="1:2" x14ac:dyDescent="0.3">
      <c r="A67" s="4" t="s">
        <v>5</v>
      </c>
      <c r="B67" s="4" t="s">
        <v>142</v>
      </c>
    </row>
    <row r="68" spans="1:2" x14ac:dyDescent="0.3">
      <c r="A68" s="3" t="s">
        <v>7</v>
      </c>
      <c r="B68" s="3" t="s">
        <v>165</v>
      </c>
    </row>
    <row r="69" spans="1:2" x14ac:dyDescent="0.3">
      <c r="A69" s="4" t="s">
        <v>7</v>
      </c>
      <c r="B69" s="4" t="s">
        <v>170</v>
      </c>
    </row>
    <row r="70" spans="1:2" x14ac:dyDescent="0.3">
      <c r="A70" s="3" t="s">
        <v>7</v>
      </c>
      <c r="B70" s="3" t="s">
        <v>174</v>
      </c>
    </row>
    <row r="71" spans="1:2" x14ac:dyDescent="0.3">
      <c r="A71" s="4" t="s">
        <v>1</v>
      </c>
      <c r="B71" s="4" t="s">
        <v>173</v>
      </c>
    </row>
    <row r="72" spans="1:2" x14ac:dyDescent="0.3">
      <c r="A72" s="3" t="s">
        <v>7</v>
      </c>
      <c r="B72" s="3" t="s">
        <v>180</v>
      </c>
    </row>
    <row r="73" spans="1:2" x14ac:dyDescent="0.3">
      <c r="A73" s="4" t="s">
        <v>7</v>
      </c>
      <c r="B73" s="4" t="s">
        <v>171</v>
      </c>
    </row>
    <row r="74" spans="1:2" x14ac:dyDescent="0.3">
      <c r="A74" s="3" t="s">
        <v>1</v>
      </c>
      <c r="B74" s="3" t="s">
        <v>158</v>
      </c>
    </row>
    <row r="75" spans="1:2" x14ac:dyDescent="0.3">
      <c r="A75" s="4" t="s">
        <v>229</v>
      </c>
      <c r="B75" s="4" t="s">
        <v>179</v>
      </c>
    </row>
    <row r="76" spans="1:2" x14ac:dyDescent="0.3">
      <c r="A76" s="3" t="s">
        <v>8</v>
      </c>
      <c r="B76" s="3" t="s">
        <v>196</v>
      </c>
    </row>
    <row r="77" spans="1:2" x14ac:dyDescent="0.3">
      <c r="A77" s="4" t="s">
        <v>5</v>
      </c>
      <c r="B77" s="4" t="s">
        <v>149</v>
      </c>
    </row>
    <row r="78" spans="1:2" x14ac:dyDescent="0.3">
      <c r="A78" s="3" t="s">
        <v>7</v>
      </c>
      <c r="B78" s="3" t="s">
        <v>131</v>
      </c>
    </row>
    <row r="79" spans="1:2" x14ac:dyDescent="0.3">
      <c r="A79" s="4" t="s">
        <v>229</v>
      </c>
      <c r="B79" s="4" t="s">
        <v>161</v>
      </c>
    </row>
    <row r="80" spans="1:2" x14ac:dyDescent="0.3">
      <c r="A80" s="3" t="s">
        <v>229</v>
      </c>
      <c r="B80" s="3" t="s">
        <v>198</v>
      </c>
    </row>
    <row r="81" spans="1:2" x14ac:dyDescent="0.3">
      <c r="A81" s="4" t="s">
        <v>8</v>
      </c>
      <c r="B81" s="4" t="s">
        <v>197</v>
      </c>
    </row>
    <row r="82" spans="1:2" x14ac:dyDescent="0.3">
      <c r="A82" s="3" t="s">
        <v>4</v>
      </c>
      <c r="B82" s="3" t="s">
        <v>175</v>
      </c>
    </row>
    <row r="83" spans="1:2" x14ac:dyDescent="0.3">
      <c r="A83" s="4" t="s">
        <v>7</v>
      </c>
      <c r="B83" s="4" t="s">
        <v>176</v>
      </c>
    </row>
    <row r="84" spans="1:2" x14ac:dyDescent="0.3">
      <c r="A84" s="3" t="s">
        <v>229</v>
      </c>
      <c r="B84" s="3" t="s">
        <v>182</v>
      </c>
    </row>
    <row r="85" spans="1:2" x14ac:dyDescent="0.3">
      <c r="A85" s="4" t="s">
        <v>7</v>
      </c>
      <c r="B85" s="4" t="s">
        <v>155</v>
      </c>
    </row>
    <row r="86" spans="1:2" x14ac:dyDescent="0.3">
      <c r="A86" s="3" t="s">
        <v>7</v>
      </c>
      <c r="B86" s="3" t="s">
        <v>183</v>
      </c>
    </row>
    <row r="87" spans="1:2" x14ac:dyDescent="0.3">
      <c r="A87" s="4" t="s">
        <v>2</v>
      </c>
      <c r="B87" s="4" t="s">
        <v>164</v>
      </c>
    </row>
    <row r="88" spans="1:2" x14ac:dyDescent="0.3">
      <c r="A88" s="3" t="s">
        <v>4</v>
      </c>
      <c r="B88" s="3" t="s">
        <v>190</v>
      </c>
    </row>
    <row r="89" spans="1:2" x14ac:dyDescent="0.3">
      <c r="A89" s="4" t="s">
        <v>7</v>
      </c>
      <c r="B89" s="4" t="s">
        <v>169</v>
      </c>
    </row>
    <row r="90" spans="1:2" x14ac:dyDescent="0.3">
      <c r="A90" s="3" t="s">
        <v>4</v>
      </c>
      <c r="B90" s="3" t="s">
        <v>187</v>
      </c>
    </row>
    <row r="91" spans="1:2" x14ac:dyDescent="0.3">
      <c r="A91" s="4" t="s">
        <v>7</v>
      </c>
      <c r="B91" s="4" t="s">
        <v>186</v>
      </c>
    </row>
    <row r="92" spans="1:2" x14ac:dyDescent="0.3">
      <c r="A92" s="3" t="s">
        <v>2</v>
      </c>
      <c r="B92" s="3" t="s">
        <v>167</v>
      </c>
    </row>
    <row r="93" spans="1:2" x14ac:dyDescent="0.3">
      <c r="A93" s="4" t="s">
        <v>8</v>
      </c>
      <c r="B93" s="4" t="s">
        <v>159</v>
      </c>
    </row>
    <row r="94" spans="1:2" x14ac:dyDescent="0.3">
      <c r="A94" s="3" t="s">
        <v>8</v>
      </c>
      <c r="B94" s="3" t="s">
        <v>200</v>
      </c>
    </row>
    <row r="95" spans="1:2" x14ac:dyDescent="0.3">
      <c r="A95" s="4" t="s">
        <v>4</v>
      </c>
      <c r="B95" s="4" t="s">
        <v>207</v>
      </c>
    </row>
    <row r="96" spans="1:2" x14ac:dyDescent="0.3">
      <c r="A96" s="3" t="s">
        <v>7</v>
      </c>
      <c r="B96" s="3" t="s">
        <v>188</v>
      </c>
    </row>
    <row r="97" spans="1:2" x14ac:dyDescent="0.3">
      <c r="A97" s="6" t="s">
        <v>7</v>
      </c>
      <c r="B97" s="6" t="s">
        <v>189</v>
      </c>
    </row>
    <row r="98" spans="1:2" x14ac:dyDescent="0.3">
      <c r="A98" s="6" t="s">
        <v>232</v>
      </c>
      <c r="B98" t="s">
        <v>160</v>
      </c>
    </row>
    <row r="99" spans="1:2" x14ac:dyDescent="0.3">
      <c r="A99" s="6" t="s">
        <v>4</v>
      </c>
      <c r="B99" s="6" t="s">
        <v>184</v>
      </c>
    </row>
    <row r="100" spans="1:2" x14ac:dyDescent="0.3">
      <c r="A100" s="6" t="s">
        <v>233</v>
      </c>
      <c r="B100" s="6" t="s">
        <v>209</v>
      </c>
    </row>
    <row r="101" spans="1:2" x14ac:dyDescent="0.3">
      <c r="A101" s="6" t="s">
        <v>234</v>
      </c>
      <c r="B101" s="6" t="s">
        <v>177</v>
      </c>
    </row>
    <row r="102" spans="1:2" x14ac:dyDescent="0.3">
      <c r="A102" s="6" t="s">
        <v>235</v>
      </c>
      <c r="B102" s="6" t="s">
        <v>127</v>
      </c>
    </row>
    <row r="103" spans="1:2" x14ac:dyDescent="0.3">
      <c r="A103" s="6" t="s">
        <v>2</v>
      </c>
      <c r="B103" s="6" t="s">
        <v>178</v>
      </c>
    </row>
    <row r="104" spans="1:2" x14ac:dyDescent="0.3">
      <c r="A104" s="6" t="s">
        <v>236</v>
      </c>
      <c r="B104" s="6" t="s">
        <v>133</v>
      </c>
    </row>
    <row r="105" spans="1:2" x14ac:dyDescent="0.3">
      <c r="A105" s="6" t="s">
        <v>4</v>
      </c>
      <c r="B105" s="6" t="s">
        <v>201</v>
      </c>
    </row>
    <row r="106" spans="1:2" x14ac:dyDescent="0.3">
      <c r="A106" s="4"/>
      <c r="B106" s="6" t="s">
        <v>141</v>
      </c>
    </row>
    <row r="107" spans="1:2" x14ac:dyDescent="0.3">
      <c r="A107" s="4"/>
      <c r="B107" s="6" t="s">
        <v>147</v>
      </c>
    </row>
    <row r="108" spans="1:2" x14ac:dyDescent="0.3">
      <c r="A108" s="4" t="s">
        <v>274</v>
      </c>
      <c r="B108" s="182" t="s">
        <v>260</v>
      </c>
    </row>
    <row r="109" spans="1:2" x14ac:dyDescent="0.3">
      <c r="A109" s="4" t="s">
        <v>276</v>
      </c>
      <c r="B109" s="182" t="s">
        <v>242</v>
      </c>
    </row>
    <row r="110" spans="1:2" x14ac:dyDescent="0.3">
      <c r="A110" s="4" t="s">
        <v>7</v>
      </c>
      <c r="B110" s="182" t="s">
        <v>269</v>
      </c>
    </row>
    <row r="111" spans="1:2" x14ac:dyDescent="0.3">
      <c r="A111" s="4" t="s">
        <v>275</v>
      </c>
      <c r="B111" s="182" t="s">
        <v>240</v>
      </c>
    </row>
    <row r="112" spans="1:2" x14ac:dyDescent="0.3">
      <c r="A112" s="4" t="s">
        <v>7</v>
      </c>
      <c r="B112" s="182" t="s">
        <v>270</v>
      </c>
    </row>
    <row r="113" spans="1:2" x14ac:dyDescent="0.3">
      <c r="A113" s="4" t="s">
        <v>274</v>
      </c>
      <c r="B113" s="182" t="s">
        <v>244</v>
      </c>
    </row>
    <row r="114" spans="1:2" x14ac:dyDescent="0.3">
      <c r="A114" s="4"/>
      <c r="B114" s="182" t="s">
        <v>249</v>
      </c>
    </row>
    <row r="115" spans="1:2" x14ac:dyDescent="0.3">
      <c r="A115" s="4" t="s">
        <v>274</v>
      </c>
      <c r="B115" s="182" t="s">
        <v>259</v>
      </c>
    </row>
    <row r="116" spans="1:2" x14ac:dyDescent="0.3">
      <c r="A116" s="4" t="s">
        <v>2</v>
      </c>
      <c r="B116" s="182" t="s">
        <v>264</v>
      </c>
    </row>
    <row r="117" spans="1:2" x14ac:dyDescent="0.3">
      <c r="A117" s="4" t="s">
        <v>279</v>
      </c>
      <c r="B117" s="182" t="s">
        <v>257</v>
      </c>
    </row>
    <row r="118" spans="1:2" x14ac:dyDescent="0.3">
      <c r="A118" s="4" t="s">
        <v>2</v>
      </c>
      <c r="B118" s="182" t="s">
        <v>239</v>
      </c>
    </row>
    <row r="119" spans="1:2" x14ac:dyDescent="0.3">
      <c r="A119" s="4" t="s">
        <v>274</v>
      </c>
      <c r="B119" s="182" t="s">
        <v>258</v>
      </c>
    </row>
    <row r="120" spans="1:2" x14ac:dyDescent="0.3">
      <c r="A120" s="4" t="s">
        <v>274</v>
      </c>
      <c r="B120" s="182" t="s">
        <v>245</v>
      </c>
    </row>
    <row r="121" spans="1:2" x14ac:dyDescent="0.3">
      <c r="A121" s="4" t="s">
        <v>281</v>
      </c>
      <c r="B121" s="182" t="s">
        <v>255</v>
      </c>
    </row>
    <row r="122" spans="1:2" x14ac:dyDescent="0.3">
      <c r="A122" s="4" t="s">
        <v>4</v>
      </c>
      <c r="B122" s="182" t="s">
        <v>252</v>
      </c>
    </row>
    <row r="123" spans="1:2" x14ac:dyDescent="0.3">
      <c r="A123" s="4" t="s">
        <v>4</v>
      </c>
      <c r="B123" s="182" t="s">
        <v>251</v>
      </c>
    </row>
    <row r="124" spans="1:2" x14ac:dyDescent="0.3">
      <c r="A124" s="4" t="s">
        <v>2</v>
      </c>
      <c r="B124" s="182" t="s">
        <v>253</v>
      </c>
    </row>
    <row r="125" spans="1:2" x14ac:dyDescent="0.3">
      <c r="A125" s="4" t="s">
        <v>279</v>
      </c>
      <c r="B125" s="182" t="s">
        <v>248</v>
      </c>
    </row>
    <row r="126" spans="1:2" x14ac:dyDescent="0.3">
      <c r="A126" s="4"/>
      <c r="B126" s="182" t="s">
        <v>271</v>
      </c>
    </row>
    <row r="127" spans="1:2" x14ac:dyDescent="0.3">
      <c r="A127" s="4"/>
      <c r="B127" s="182" t="s">
        <v>241</v>
      </c>
    </row>
    <row r="128" spans="1:2" x14ac:dyDescent="0.3">
      <c r="A128" s="4" t="s">
        <v>278</v>
      </c>
      <c r="B128" s="182" t="s">
        <v>243</v>
      </c>
    </row>
    <row r="129" spans="1:2" x14ac:dyDescent="0.3">
      <c r="A129" s="4"/>
      <c r="B129" s="182" t="s">
        <v>250</v>
      </c>
    </row>
    <row r="130" spans="1:2" x14ac:dyDescent="0.3">
      <c r="A130" s="4" t="s">
        <v>280</v>
      </c>
      <c r="B130" s="182" t="s">
        <v>254</v>
      </c>
    </row>
    <row r="131" spans="1:2" x14ac:dyDescent="0.3">
      <c r="A131" s="4"/>
      <c r="B131" s="182" t="s">
        <v>246</v>
      </c>
    </row>
    <row r="132" spans="1:2" x14ac:dyDescent="0.3">
      <c r="A132" s="4" t="s">
        <v>274</v>
      </c>
      <c r="B132" s="182" t="s">
        <v>247</v>
      </c>
    </row>
    <row r="133" spans="1:2" x14ac:dyDescent="0.3">
      <c r="A133" s="4"/>
      <c r="B133" s="182" t="s">
        <v>272</v>
      </c>
    </row>
    <row r="134" spans="1:2" x14ac:dyDescent="0.3">
      <c r="A134" s="4" t="s">
        <v>4</v>
      </c>
      <c r="B134" s="182" t="s">
        <v>256</v>
      </c>
    </row>
    <row r="135" spans="1:2" x14ac:dyDescent="0.3">
      <c r="A135" s="4" t="s">
        <v>277</v>
      </c>
      <c r="B135" s="182" t="s">
        <v>238</v>
      </c>
    </row>
    <row r="136" spans="1:2" x14ac:dyDescent="0.3">
      <c r="A136" s="4"/>
      <c r="B136" s="182" t="s">
        <v>265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G1120"/>
  <sheetViews>
    <sheetView topLeftCell="A1080" zoomScaleNormal="100" workbookViewId="0">
      <selection activeCell="F2" sqref="F2:F1120"/>
    </sheetView>
  </sheetViews>
  <sheetFormatPr baseColWidth="10" defaultColWidth="8.88671875" defaultRowHeight="14.4" x14ac:dyDescent="0.3"/>
  <cols>
    <col min="2" max="2" width="16.44140625" customWidth="1"/>
    <col min="3" max="3" width="14.21875" customWidth="1"/>
    <col min="4" max="4" width="24.44140625" customWidth="1"/>
    <col min="5" max="5" width="31.109375" customWidth="1"/>
    <col min="6" max="6" width="51.77734375" customWidth="1"/>
    <col min="7" max="7" width="16.33203125" customWidth="1"/>
    <col min="8" max="8" width="17.5546875" customWidth="1"/>
  </cols>
  <sheetData>
    <row r="1" spans="1:7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B2" t="s">
        <v>92</v>
      </c>
      <c r="C2" t="s">
        <v>90</v>
      </c>
      <c r="D2" t="s">
        <v>91</v>
      </c>
      <c r="E2" t="s">
        <v>17</v>
      </c>
      <c r="F2" s="1">
        <v>105965</v>
      </c>
      <c r="G2" s="2">
        <v>0.39497765402693402</v>
      </c>
    </row>
    <row r="3" spans="1:7" x14ac:dyDescent="0.3">
      <c r="B3" t="s">
        <v>92</v>
      </c>
      <c r="C3" t="s">
        <v>90</v>
      </c>
      <c r="D3" t="s">
        <v>91</v>
      </c>
      <c r="E3" t="s">
        <v>18</v>
      </c>
      <c r="F3" s="1">
        <v>20535</v>
      </c>
      <c r="G3" s="2">
        <v>0.47152053257591903</v>
      </c>
    </row>
    <row r="4" spans="1:7" x14ac:dyDescent="0.3">
      <c r="B4" t="s">
        <v>92</v>
      </c>
      <c r="C4" t="s">
        <v>90</v>
      </c>
      <c r="D4" t="s">
        <v>91</v>
      </c>
      <c r="E4" t="s">
        <v>19</v>
      </c>
      <c r="F4" s="1">
        <v>17043</v>
      </c>
      <c r="G4" s="2">
        <v>0.535047207964783</v>
      </c>
    </row>
    <row r="5" spans="1:7" x14ac:dyDescent="0.3">
      <c r="B5" t="s">
        <v>92</v>
      </c>
      <c r="C5" t="s">
        <v>90</v>
      </c>
      <c r="D5" t="s">
        <v>91</v>
      </c>
      <c r="E5" t="s">
        <v>20</v>
      </c>
      <c r="F5" s="1">
        <v>12441</v>
      </c>
      <c r="G5" s="2">
        <v>0.58142022729898901</v>
      </c>
    </row>
    <row r="6" spans="1:7" x14ac:dyDescent="0.3">
      <c r="B6" t="s">
        <v>92</v>
      </c>
      <c r="C6" t="s">
        <v>90</v>
      </c>
      <c r="D6" t="s">
        <v>91</v>
      </c>
      <c r="E6" t="s">
        <v>21</v>
      </c>
      <c r="F6" s="1">
        <v>12426</v>
      </c>
      <c r="G6" s="2">
        <v>0.627737335107592</v>
      </c>
    </row>
    <row r="7" spans="1:7" x14ac:dyDescent="0.3">
      <c r="B7" t="s">
        <v>92</v>
      </c>
      <c r="C7" t="s">
        <v>90</v>
      </c>
      <c r="D7" t="s">
        <v>91</v>
      </c>
      <c r="E7" t="s">
        <v>22</v>
      </c>
      <c r="F7" s="1">
        <v>11789</v>
      </c>
      <c r="G7" s="2">
        <v>0.67168006679563597</v>
      </c>
    </row>
    <row r="8" spans="1:7" x14ac:dyDescent="0.3">
      <c r="B8" t="s">
        <v>92</v>
      </c>
      <c r="C8" t="s">
        <v>90</v>
      </c>
      <c r="D8" t="s">
        <v>91</v>
      </c>
      <c r="E8" t="s">
        <v>23</v>
      </c>
      <c r="F8" s="1">
        <v>10906</v>
      </c>
      <c r="G8" s="2">
        <v>0.71233147334324798</v>
      </c>
    </row>
    <row r="9" spans="1:7" x14ac:dyDescent="0.3">
      <c r="B9" t="s">
        <v>92</v>
      </c>
      <c r="C9" t="s">
        <v>90</v>
      </c>
      <c r="D9" t="s">
        <v>91</v>
      </c>
      <c r="E9" t="s">
        <v>24</v>
      </c>
      <c r="F9" s="1">
        <v>7546</v>
      </c>
      <c r="G9" s="2">
        <v>0.74045869815603804</v>
      </c>
    </row>
    <row r="10" spans="1:7" x14ac:dyDescent="0.3">
      <c r="B10" t="s">
        <v>92</v>
      </c>
      <c r="C10" t="s">
        <v>90</v>
      </c>
      <c r="D10" t="s">
        <v>91</v>
      </c>
      <c r="E10" t="s">
        <v>25</v>
      </c>
      <c r="F10" s="1">
        <v>7323</v>
      </c>
      <c r="G10" s="2">
        <v>0.76775470495487896</v>
      </c>
    </row>
    <row r="11" spans="1:7" x14ac:dyDescent="0.3">
      <c r="B11" t="s">
        <v>92</v>
      </c>
      <c r="C11" t="s">
        <v>90</v>
      </c>
      <c r="D11" t="s">
        <v>91</v>
      </c>
      <c r="E11" t="s">
        <v>26</v>
      </c>
      <c r="F11" s="1">
        <v>7091</v>
      </c>
      <c r="G11" s="2">
        <v>0.79418594682441201</v>
      </c>
    </row>
    <row r="12" spans="1:7" x14ac:dyDescent="0.3">
      <c r="B12" t="s">
        <v>92</v>
      </c>
      <c r="C12" t="s">
        <v>90</v>
      </c>
      <c r="D12" t="s">
        <v>91</v>
      </c>
      <c r="E12" t="s">
        <v>27</v>
      </c>
      <c r="F12" s="1">
        <v>6898</v>
      </c>
      <c r="G12" s="2">
        <v>0.81989779373119998</v>
      </c>
    </row>
    <row r="13" spans="1:7" x14ac:dyDescent="0.3">
      <c r="B13" t="s">
        <v>92</v>
      </c>
      <c r="C13" t="s">
        <v>90</v>
      </c>
      <c r="D13" t="s">
        <v>91</v>
      </c>
      <c r="E13" t="s">
        <v>28</v>
      </c>
      <c r="F13" s="1">
        <v>3699</v>
      </c>
      <c r="G13" s="2">
        <v>0.833685575944625</v>
      </c>
    </row>
    <row r="14" spans="1:7" x14ac:dyDescent="0.3">
      <c r="B14" t="s">
        <v>92</v>
      </c>
      <c r="C14" t="s">
        <v>90</v>
      </c>
      <c r="D14" t="s">
        <v>91</v>
      </c>
      <c r="E14" t="s">
        <v>29</v>
      </c>
      <c r="F14" s="1">
        <v>3607</v>
      </c>
      <c r="G14" s="2">
        <v>0.84713043413435896</v>
      </c>
    </row>
    <row r="15" spans="1:7" x14ac:dyDescent="0.3">
      <c r="B15" t="s">
        <v>92</v>
      </c>
      <c r="C15" t="s">
        <v>90</v>
      </c>
      <c r="D15" t="s">
        <v>91</v>
      </c>
      <c r="E15" t="s">
        <v>30</v>
      </c>
      <c r="F15" s="1">
        <v>3408</v>
      </c>
      <c r="G15" s="2">
        <v>0.85983353275110797</v>
      </c>
    </row>
    <row r="16" spans="1:7" x14ac:dyDescent="0.3">
      <c r="B16" t="s">
        <v>92</v>
      </c>
      <c r="C16" t="s">
        <v>90</v>
      </c>
      <c r="D16" t="s">
        <v>91</v>
      </c>
      <c r="E16" t="s">
        <v>31</v>
      </c>
      <c r="F16" s="1">
        <v>3278</v>
      </c>
      <c r="G16" s="2">
        <v>0.87205206481264097</v>
      </c>
    </row>
    <row r="17" spans="2:7" x14ac:dyDescent="0.3">
      <c r="B17" t="s">
        <v>92</v>
      </c>
      <c r="C17" t="s">
        <v>90</v>
      </c>
      <c r="D17" t="s">
        <v>91</v>
      </c>
      <c r="E17" t="s">
        <v>32</v>
      </c>
      <c r="F17" s="1">
        <v>3024</v>
      </c>
      <c r="G17" s="2">
        <v>0.88332382837398105</v>
      </c>
    </row>
    <row r="18" spans="2:7" x14ac:dyDescent="0.3">
      <c r="B18" t="s">
        <v>92</v>
      </c>
      <c r="C18" t="s">
        <v>90</v>
      </c>
      <c r="D18" t="s">
        <v>91</v>
      </c>
      <c r="E18" t="s">
        <v>33</v>
      </c>
      <c r="F18" s="1">
        <v>2994</v>
      </c>
      <c r="G18" s="2">
        <v>0.89448376888411796</v>
      </c>
    </row>
    <row r="19" spans="2:7" x14ac:dyDescent="0.3">
      <c r="B19" t="s">
        <v>92</v>
      </c>
      <c r="C19" t="s">
        <v>90</v>
      </c>
      <c r="D19" t="s">
        <v>91</v>
      </c>
      <c r="E19" t="s">
        <v>34</v>
      </c>
      <c r="F19" s="1">
        <v>2421</v>
      </c>
      <c r="G19" s="2">
        <v>0.90350788911626201</v>
      </c>
    </row>
    <row r="20" spans="2:7" x14ac:dyDescent="0.3">
      <c r="B20" t="s">
        <v>92</v>
      </c>
      <c r="C20" t="s">
        <v>90</v>
      </c>
      <c r="D20" t="s">
        <v>91</v>
      </c>
      <c r="E20" t="s">
        <v>35</v>
      </c>
      <c r="F20" s="1">
        <v>2401</v>
      </c>
      <c r="G20" s="2">
        <v>0.91245746064760502</v>
      </c>
    </row>
    <row r="21" spans="2:7" x14ac:dyDescent="0.3">
      <c r="B21" t="s">
        <v>92</v>
      </c>
      <c r="C21" t="s">
        <v>90</v>
      </c>
      <c r="D21" t="s">
        <v>91</v>
      </c>
      <c r="E21" t="s">
        <v>36</v>
      </c>
      <c r="F21" s="1">
        <v>2320</v>
      </c>
      <c r="G21" s="2">
        <v>0.92110510994069605</v>
      </c>
    </row>
    <row r="22" spans="2:7" x14ac:dyDescent="0.3">
      <c r="B22" t="s">
        <v>92</v>
      </c>
      <c r="C22" t="s">
        <v>90</v>
      </c>
      <c r="D22" t="s">
        <v>91</v>
      </c>
      <c r="E22" t="s">
        <v>37</v>
      </c>
      <c r="F22" s="1">
        <v>2090</v>
      </c>
      <c r="G22" s="2">
        <v>0.92889544917455902</v>
      </c>
    </row>
    <row r="23" spans="2:7" x14ac:dyDescent="0.3">
      <c r="B23" t="s">
        <v>92</v>
      </c>
      <c r="C23" t="s">
        <v>90</v>
      </c>
      <c r="D23" t="s">
        <v>91</v>
      </c>
      <c r="E23" t="s">
        <v>38</v>
      </c>
      <c r="F23" s="1">
        <v>1994</v>
      </c>
      <c r="G23" s="2">
        <v>0.93632795464456997</v>
      </c>
    </row>
    <row r="24" spans="2:7" x14ac:dyDescent="0.3">
      <c r="B24" t="s">
        <v>92</v>
      </c>
      <c r="C24" t="s">
        <v>90</v>
      </c>
      <c r="D24" t="s">
        <v>91</v>
      </c>
      <c r="E24" t="s">
        <v>39</v>
      </c>
      <c r="F24" s="1">
        <v>1855</v>
      </c>
      <c r="G24" s="2">
        <v>0.94324234664400397</v>
      </c>
    </row>
    <row r="25" spans="2:7" x14ac:dyDescent="0.3">
      <c r="B25" t="s">
        <v>92</v>
      </c>
      <c r="C25" t="s">
        <v>90</v>
      </c>
      <c r="D25" t="s">
        <v>91</v>
      </c>
      <c r="E25" t="s">
        <v>40</v>
      </c>
      <c r="F25" s="1">
        <v>1533</v>
      </c>
      <c r="G25" s="2">
        <v>0.94895650456051694</v>
      </c>
    </row>
    <row r="26" spans="2:7" x14ac:dyDescent="0.3">
      <c r="B26" t="s">
        <v>92</v>
      </c>
      <c r="C26" t="s">
        <v>90</v>
      </c>
      <c r="D26" t="s">
        <v>91</v>
      </c>
      <c r="E26" t="s">
        <v>41</v>
      </c>
      <c r="F26" s="1">
        <v>1339</v>
      </c>
      <c r="G26" s="2">
        <v>0.95394754007924498</v>
      </c>
    </row>
    <row r="27" spans="2:7" x14ac:dyDescent="0.3">
      <c r="B27" t="s">
        <v>92</v>
      </c>
      <c r="C27" t="s">
        <v>90</v>
      </c>
      <c r="D27" t="s">
        <v>91</v>
      </c>
      <c r="E27" t="s">
        <v>42</v>
      </c>
      <c r="F27" s="1">
        <v>1304</v>
      </c>
      <c r="G27" s="2">
        <v>0.95880811537156896</v>
      </c>
    </row>
    <row r="28" spans="2:7" x14ac:dyDescent="0.3">
      <c r="B28" t="s">
        <v>92</v>
      </c>
      <c r="C28" t="s">
        <v>90</v>
      </c>
      <c r="D28" t="s">
        <v>91</v>
      </c>
      <c r="E28" t="s">
        <v>43</v>
      </c>
      <c r="F28" s="1">
        <v>1276</v>
      </c>
      <c r="G28" s="2">
        <v>0.96356432248277002</v>
      </c>
    </row>
    <row r="29" spans="2:7" x14ac:dyDescent="0.3">
      <c r="B29" t="s">
        <v>92</v>
      </c>
      <c r="C29" t="s">
        <v>90</v>
      </c>
      <c r="D29" t="s">
        <v>91</v>
      </c>
      <c r="E29" t="s">
        <v>44</v>
      </c>
      <c r="F29" s="1">
        <v>1273</v>
      </c>
      <c r="G29" s="2">
        <v>0.96830934728884999</v>
      </c>
    </row>
    <row r="30" spans="2:7" x14ac:dyDescent="0.3">
      <c r="B30" t="s">
        <v>92</v>
      </c>
      <c r="C30" t="s">
        <v>90</v>
      </c>
      <c r="D30" t="s">
        <v>91</v>
      </c>
      <c r="E30" t="s">
        <v>45</v>
      </c>
      <c r="F30" s="1">
        <v>1234</v>
      </c>
      <c r="G30" s="2">
        <v>0.97290900212836495</v>
      </c>
    </row>
    <row r="31" spans="2:7" x14ac:dyDescent="0.3">
      <c r="B31" t="s">
        <v>92</v>
      </c>
      <c r="C31" t="s">
        <v>90</v>
      </c>
      <c r="D31" t="s">
        <v>91</v>
      </c>
      <c r="E31" t="s">
        <v>46</v>
      </c>
      <c r="F31" s="1">
        <v>976</v>
      </c>
      <c r="G31" s="2">
        <v>0.97654697872752805</v>
      </c>
    </row>
    <row r="32" spans="2:7" x14ac:dyDescent="0.3">
      <c r="B32" t="s">
        <v>92</v>
      </c>
      <c r="C32" t="s">
        <v>90</v>
      </c>
      <c r="D32" t="s">
        <v>91</v>
      </c>
      <c r="E32" t="s">
        <v>47</v>
      </c>
      <c r="F32" s="1">
        <v>891</v>
      </c>
      <c r="G32" s="2">
        <v>0.97986812334828</v>
      </c>
    </row>
    <row r="33" spans="2:7" x14ac:dyDescent="0.3">
      <c r="B33" t="s">
        <v>92</v>
      </c>
      <c r="C33" t="s">
        <v>90</v>
      </c>
      <c r="D33" t="s">
        <v>91</v>
      </c>
      <c r="E33" t="s">
        <v>48</v>
      </c>
      <c r="F33" s="1">
        <v>843</v>
      </c>
      <c r="G33" s="2">
        <v>0.98301035108710599</v>
      </c>
    </row>
    <row r="34" spans="2:7" x14ac:dyDescent="0.3">
      <c r="B34" t="s">
        <v>92</v>
      </c>
      <c r="C34" t="s">
        <v>90</v>
      </c>
      <c r="D34" t="s">
        <v>91</v>
      </c>
      <c r="E34" t="s">
        <v>49</v>
      </c>
      <c r="F34" s="1">
        <v>833</v>
      </c>
      <c r="G34" s="2">
        <v>0.98611530447553097</v>
      </c>
    </row>
    <row r="35" spans="2:7" x14ac:dyDescent="0.3">
      <c r="B35" t="s">
        <v>92</v>
      </c>
      <c r="C35" t="s">
        <v>90</v>
      </c>
      <c r="D35" t="s">
        <v>91</v>
      </c>
      <c r="E35" t="s">
        <v>50</v>
      </c>
      <c r="F35" s="1">
        <v>727</v>
      </c>
      <c r="G35" s="2">
        <v>0.98882514974970304</v>
      </c>
    </row>
    <row r="36" spans="2:7" x14ac:dyDescent="0.3">
      <c r="B36" t="s">
        <v>92</v>
      </c>
      <c r="C36" t="s">
        <v>90</v>
      </c>
      <c r="D36" t="s">
        <v>91</v>
      </c>
      <c r="E36" t="s">
        <v>51</v>
      </c>
      <c r="F36" s="1">
        <v>342</v>
      </c>
      <c r="G36" s="2">
        <v>0.99009993253342599</v>
      </c>
    </row>
    <row r="37" spans="2:7" x14ac:dyDescent="0.3">
      <c r="B37" t="s">
        <v>92</v>
      </c>
      <c r="C37" t="s">
        <v>90</v>
      </c>
      <c r="D37" t="s">
        <v>91</v>
      </c>
      <c r="E37" t="s">
        <v>52</v>
      </c>
      <c r="F37" s="1">
        <v>314</v>
      </c>
      <c r="G37" s="2">
        <v>0.99127034713602502</v>
      </c>
    </row>
    <row r="38" spans="2:7" x14ac:dyDescent="0.3">
      <c r="B38" t="s">
        <v>92</v>
      </c>
      <c r="C38" t="s">
        <v>90</v>
      </c>
      <c r="D38" t="s">
        <v>91</v>
      </c>
      <c r="E38" t="s">
        <v>53</v>
      </c>
      <c r="F38" s="1">
        <v>309</v>
      </c>
      <c r="G38" s="2">
        <v>0.99242212456342405</v>
      </c>
    </row>
    <row r="39" spans="2:7" x14ac:dyDescent="0.3">
      <c r="B39" t="s">
        <v>92</v>
      </c>
      <c r="C39" t="s">
        <v>90</v>
      </c>
      <c r="D39" t="s">
        <v>91</v>
      </c>
      <c r="E39" t="s">
        <v>54</v>
      </c>
      <c r="F39" s="1">
        <v>280</v>
      </c>
      <c r="G39" s="2">
        <v>0.99346580637465898</v>
      </c>
    </row>
    <row r="40" spans="2:7" x14ac:dyDescent="0.3">
      <c r="B40" t="s">
        <v>92</v>
      </c>
      <c r="C40" t="s">
        <v>90</v>
      </c>
      <c r="D40" t="s">
        <v>91</v>
      </c>
      <c r="E40" t="s">
        <v>55</v>
      </c>
      <c r="F40" s="1">
        <v>252</v>
      </c>
      <c r="G40" s="2">
        <v>0.99440512000477099</v>
      </c>
    </row>
    <row r="41" spans="2:7" x14ac:dyDescent="0.3">
      <c r="B41" t="s">
        <v>92</v>
      </c>
      <c r="C41" t="s">
        <v>90</v>
      </c>
      <c r="D41" t="s">
        <v>91</v>
      </c>
      <c r="E41" t="s">
        <v>56</v>
      </c>
      <c r="F41" s="1">
        <v>201</v>
      </c>
      <c r="G41" s="2">
        <v>0.99515433444783596</v>
      </c>
    </row>
    <row r="42" spans="2:7" x14ac:dyDescent="0.3">
      <c r="B42" t="s">
        <v>92</v>
      </c>
      <c r="C42" t="s">
        <v>90</v>
      </c>
      <c r="D42" t="s">
        <v>91</v>
      </c>
      <c r="E42" t="s">
        <v>57</v>
      </c>
      <c r="F42" s="1">
        <v>190</v>
      </c>
      <c r="G42" s="2">
        <v>0.99586254710545996</v>
      </c>
    </row>
    <row r="43" spans="2:7" x14ac:dyDescent="0.3">
      <c r="B43" t="s">
        <v>92</v>
      </c>
      <c r="C43" t="s">
        <v>90</v>
      </c>
      <c r="D43" t="s">
        <v>91</v>
      </c>
      <c r="E43" t="s">
        <v>58</v>
      </c>
      <c r="F43" s="1">
        <v>187</v>
      </c>
      <c r="G43" s="2">
        <v>0.99655957745796397</v>
      </c>
    </row>
    <row r="44" spans="2:7" x14ac:dyDescent="0.3">
      <c r="B44" t="s">
        <v>92</v>
      </c>
      <c r="C44" t="s">
        <v>90</v>
      </c>
      <c r="D44" t="s">
        <v>91</v>
      </c>
      <c r="E44" t="s">
        <v>59</v>
      </c>
      <c r="F44" s="1">
        <v>109</v>
      </c>
      <c r="G44" s="2">
        <v>0.99696586787733799</v>
      </c>
    </row>
    <row r="45" spans="2:7" x14ac:dyDescent="0.3">
      <c r="B45" t="s">
        <v>92</v>
      </c>
      <c r="C45" t="s">
        <v>90</v>
      </c>
      <c r="D45" t="s">
        <v>91</v>
      </c>
      <c r="E45" t="s">
        <v>60</v>
      </c>
      <c r="F45" s="1">
        <v>91</v>
      </c>
      <c r="G45" s="2">
        <v>0.99730506446598899</v>
      </c>
    </row>
    <row r="46" spans="2:7" x14ac:dyDescent="0.3">
      <c r="B46" t="s">
        <v>92</v>
      </c>
      <c r="C46" t="s">
        <v>90</v>
      </c>
      <c r="D46" t="s">
        <v>91</v>
      </c>
      <c r="E46" t="s">
        <v>61</v>
      </c>
      <c r="F46" s="1">
        <v>85</v>
      </c>
      <c r="G46" s="2">
        <v>0.99762189644440002</v>
      </c>
    </row>
    <row r="47" spans="2:7" x14ac:dyDescent="0.3">
      <c r="B47" t="s">
        <v>92</v>
      </c>
      <c r="C47" t="s">
        <v>90</v>
      </c>
      <c r="D47" t="s">
        <v>91</v>
      </c>
      <c r="E47" t="s">
        <v>62</v>
      </c>
      <c r="F47" s="1">
        <v>80</v>
      </c>
      <c r="G47" s="2">
        <v>0.99792009124761005</v>
      </c>
    </row>
    <row r="48" spans="2:7" x14ac:dyDescent="0.3">
      <c r="B48" t="s">
        <v>92</v>
      </c>
      <c r="C48" t="s">
        <v>90</v>
      </c>
      <c r="D48" t="s">
        <v>91</v>
      </c>
      <c r="E48" t="s">
        <v>63</v>
      </c>
      <c r="F48" s="1">
        <v>74</v>
      </c>
      <c r="G48" s="2">
        <v>0.998195921440579</v>
      </c>
    </row>
    <row r="49" spans="2:7" x14ac:dyDescent="0.3">
      <c r="B49" t="s">
        <v>92</v>
      </c>
      <c r="C49" t="s">
        <v>90</v>
      </c>
      <c r="D49" t="s">
        <v>91</v>
      </c>
      <c r="E49" t="s">
        <v>64</v>
      </c>
      <c r="F49" s="1">
        <v>55</v>
      </c>
      <c r="G49" s="2">
        <v>0.99840093036778599</v>
      </c>
    </row>
    <row r="50" spans="2:7" x14ac:dyDescent="0.3">
      <c r="B50" t="s">
        <v>92</v>
      </c>
      <c r="C50" t="s">
        <v>90</v>
      </c>
      <c r="D50" t="s">
        <v>91</v>
      </c>
      <c r="E50" t="s">
        <v>65</v>
      </c>
      <c r="F50" s="1">
        <v>52</v>
      </c>
      <c r="G50" s="2">
        <v>0.99859475698987299</v>
      </c>
    </row>
    <row r="51" spans="2:7" x14ac:dyDescent="0.3">
      <c r="B51" t="s">
        <v>92</v>
      </c>
      <c r="C51" t="s">
        <v>90</v>
      </c>
      <c r="D51" t="s">
        <v>91</v>
      </c>
      <c r="E51" t="s">
        <v>66</v>
      </c>
      <c r="F51" s="1">
        <v>49</v>
      </c>
      <c r="G51" s="2">
        <v>0.99896004562380503</v>
      </c>
    </row>
    <row r="52" spans="2:7" x14ac:dyDescent="0.3">
      <c r="B52" t="s">
        <v>92</v>
      </c>
      <c r="C52" t="s">
        <v>90</v>
      </c>
      <c r="D52" t="s">
        <v>91</v>
      </c>
      <c r="E52" t="s">
        <v>67</v>
      </c>
      <c r="F52" s="1">
        <v>49</v>
      </c>
      <c r="G52" s="2">
        <v>0.99896004562380503</v>
      </c>
    </row>
    <row r="53" spans="2:7" x14ac:dyDescent="0.3">
      <c r="B53" t="s">
        <v>92</v>
      </c>
      <c r="C53" t="s">
        <v>90</v>
      </c>
      <c r="D53" t="s">
        <v>91</v>
      </c>
      <c r="E53" t="s">
        <v>68</v>
      </c>
      <c r="F53" s="1">
        <v>33</v>
      </c>
      <c r="G53" s="2">
        <v>0.99908305098012895</v>
      </c>
    </row>
    <row r="54" spans="2:7" x14ac:dyDescent="0.3">
      <c r="B54" t="s">
        <v>92</v>
      </c>
      <c r="C54" t="s">
        <v>90</v>
      </c>
      <c r="D54" t="s">
        <v>91</v>
      </c>
      <c r="E54" t="s">
        <v>69</v>
      </c>
      <c r="F54" s="1">
        <v>25</v>
      </c>
      <c r="G54" s="2">
        <v>0.99926942273213504</v>
      </c>
    </row>
    <row r="55" spans="2:7" x14ac:dyDescent="0.3">
      <c r="B55" t="s">
        <v>92</v>
      </c>
      <c r="C55" t="s">
        <v>90</v>
      </c>
      <c r="D55" t="s">
        <v>91</v>
      </c>
      <c r="E55" t="s">
        <v>70</v>
      </c>
      <c r="F55" s="1">
        <v>25</v>
      </c>
      <c r="G55" s="2">
        <v>0.99926942273213504</v>
      </c>
    </row>
    <row r="56" spans="2:7" x14ac:dyDescent="0.3">
      <c r="B56" t="s">
        <v>92</v>
      </c>
      <c r="C56" t="s">
        <v>90</v>
      </c>
      <c r="D56" t="s">
        <v>91</v>
      </c>
      <c r="E56" t="s">
        <v>71</v>
      </c>
      <c r="F56" s="1">
        <v>23</v>
      </c>
      <c r="G56" s="2">
        <v>0.99935515373805806</v>
      </c>
    </row>
    <row r="57" spans="2:7" x14ac:dyDescent="0.3">
      <c r="B57" t="s">
        <v>92</v>
      </c>
      <c r="C57" t="s">
        <v>90</v>
      </c>
      <c r="D57" t="s">
        <v>91</v>
      </c>
      <c r="E57" t="s">
        <v>72</v>
      </c>
      <c r="F57" s="1">
        <v>20</v>
      </c>
      <c r="G57" s="2">
        <v>0.99942970243886098</v>
      </c>
    </row>
    <row r="58" spans="2:7" x14ac:dyDescent="0.3">
      <c r="B58" t="s">
        <v>92</v>
      </c>
      <c r="C58" t="s">
        <v>90</v>
      </c>
      <c r="D58" t="s">
        <v>91</v>
      </c>
      <c r="E58" t="s">
        <v>73</v>
      </c>
      <c r="F58" s="1">
        <v>19</v>
      </c>
      <c r="G58" s="2">
        <v>0.99957134497038602</v>
      </c>
    </row>
    <row r="59" spans="2:7" x14ac:dyDescent="0.3">
      <c r="B59" t="s">
        <v>92</v>
      </c>
      <c r="C59" t="s">
        <v>90</v>
      </c>
      <c r="D59" t="s">
        <v>91</v>
      </c>
      <c r="E59" t="s">
        <v>74</v>
      </c>
      <c r="F59" s="1">
        <v>19</v>
      </c>
      <c r="G59" s="2">
        <v>0.99957134497038602</v>
      </c>
    </row>
    <row r="60" spans="2:7" x14ac:dyDescent="0.3">
      <c r="B60" t="s">
        <v>92</v>
      </c>
      <c r="C60" t="s">
        <v>90</v>
      </c>
      <c r="D60" t="s">
        <v>91</v>
      </c>
      <c r="E60" t="s">
        <v>75</v>
      </c>
      <c r="F60" s="1">
        <v>18</v>
      </c>
      <c r="G60" s="2">
        <v>0.99963843880110803</v>
      </c>
    </row>
    <row r="61" spans="2:7" x14ac:dyDescent="0.3">
      <c r="B61" t="s">
        <v>92</v>
      </c>
      <c r="C61" t="s">
        <v>90</v>
      </c>
      <c r="D61" t="s">
        <v>91</v>
      </c>
      <c r="E61" t="s">
        <v>76</v>
      </c>
      <c r="F61" s="1">
        <v>16</v>
      </c>
      <c r="G61" s="2">
        <v>0.99969807776175001</v>
      </c>
    </row>
    <row r="62" spans="2:7" x14ac:dyDescent="0.3">
      <c r="B62" t="s">
        <v>92</v>
      </c>
      <c r="C62" t="s">
        <v>90</v>
      </c>
      <c r="D62" t="s">
        <v>91</v>
      </c>
      <c r="E62" t="s">
        <v>77</v>
      </c>
      <c r="F62" s="1">
        <v>14</v>
      </c>
      <c r="G62" s="2">
        <v>0.99980244594287304</v>
      </c>
    </row>
    <row r="63" spans="2:7" x14ac:dyDescent="0.3">
      <c r="B63" t="s">
        <v>92</v>
      </c>
      <c r="C63" t="s">
        <v>90</v>
      </c>
      <c r="D63" t="s">
        <v>91</v>
      </c>
      <c r="E63" t="s">
        <v>78</v>
      </c>
      <c r="F63" s="1">
        <v>14</v>
      </c>
      <c r="G63" s="2">
        <v>0.99980244594287304</v>
      </c>
    </row>
    <row r="64" spans="2:7" x14ac:dyDescent="0.3">
      <c r="B64" t="s">
        <v>92</v>
      </c>
      <c r="C64" t="s">
        <v>90</v>
      </c>
      <c r="D64" t="s">
        <v>91</v>
      </c>
      <c r="E64" t="s">
        <v>79</v>
      </c>
      <c r="F64" s="1">
        <v>11</v>
      </c>
      <c r="G64" s="2">
        <v>0.99988444951375599</v>
      </c>
    </row>
    <row r="65" spans="2:7" x14ac:dyDescent="0.3">
      <c r="B65" t="s">
        <v>92</v>
      </c>
      <c r="C65" t="s">
        <v>90</v>
      </c>
      <c r="D65" t="s">
        <v>91</v>
      </c>
      <c r="E65" t="s">
        <v>80</v>
      </c>
      <c r="F65" s="1">
        <v>11</v>
      </c>
      <c r="G65" s="2">
        <v>0.99988444951375599</v>
      </c>
    </row>
    <row r="66" spans="2:7" x14ac:dyDescent="0.3">
      <c r="B66" t="s">
        <v>92</v>
      </c>
      <c r="C66" t="s">
        <v>90</v>
      </c>
      <c r="D66" t="s">
        <v>91</v>
      </c>
      <c r="E66" t="s">
        <v>81</v>
      </c>
      <c r="F66" s="1">
        <v>9</v>
      </c>
      <c r="G66" s="2">
        <v>0.99991799642911705</v>
      </c>
    </row>
    <row r="67" spans="2:7" x14ac:dyDescent="0.3">
      <c r="B67" t="s">
        <v>92</v>
      </c>
      <c r="C67" t="s">
        <v>90</v>
      </c>
      <c r="D67" t="s">
        <v>91</v>
      </c>
      <c r="E67" t="s">
        <v>82</v>
      </c>
      <c r="F67" s="1">
        <v>6</v>
      </c>
      <c r="G67" s="2">
        <v>0.99996272564959898</v>
      </c>
    </row>
    <row r="68" spans="2:7" x14ac:dyDescent="0.3">
      <c r="B68" t="s">
        <v>92</v>
      </c>
      <c r="C68" t="s">
        <v>90</v>
      </c>
      <c r="D68" t="s">
        <v>91</v>
      </c>
      <c r="E68" t="s">
        <v>83</v>
      </c>
      <c r="F68" s="1">
        <v>6</v>
      </c>
      <c r="G68" s="2">
        <v>0.99996272564959898</v>
      </c>
    </row>
    <row r="69" spans="2:7" x14ac:dyDescent="0.3">
      <c r="B69" t="s">
        <v>92</v>
      </c>
      <c r="C69" t="s">
        <v>90</v>
      </c>
      <c r="D69" t="s">
        <v>91</v>
      </c>
      <c r="E69" t="s">
        <v>84</v>
      </c>
      <c r="F69" s="1">
        <v>4</v>
      </c>
      <c r="G69" s="2">
        <v>0.99997763538975903</v>
      </c>
    </row>
    <row r="70" spans="2:7" x14ac:dyDescent="0.3">
      <c r="B70" t="s">
        <v>92</v>
      </c>
      <c r="C70" t="s">
        <v>90</v>
      </c>
      <c r="D70" t="s">
        <v>91</v>
      </c>
      <c r="E70" t="s">
        <v>85</v>
      </c>
      <c r="F70" s="1">
        <v>3</v>
      </c>
      <c r="G70" s="2">
        <v>1</v>
      </c>
    </row>
    <row r="71" spans="2:7" x14ac:dyDescent="0.3">
      <c r="B71" t="s">
        <v>92</v>
      </c>
      <c r="C71" t="s">
        <v>90</v>
      </c>
      <c r="D71" t="s">
        <v>91</v>
      </c>
      <c r="E71" t="s">
        <v>86</v>
      </c>
      <c r="F71" s="1">
        <v>3</v>
      </c>
      <c r="G71" s="2">
        <v>1</v>
      </c>
    </row>
    <row r="72" spans="2:7" x14ac:dyDescent="0.3">
      <c r="B72" t="s">
        <v>92</v>
      </c>
      <c r="C72" t="s">
        <v>90</v>
      </c>
      <c r="D72" t="s">
        <v>91</v>
      </c>
      <c r="E72" t="s">
        <v>87</v>
      </c>
      <c r="F72" s="1">
        <v>0</v>
      </c>
      <c r="G72" s="2">
        <v>1</v>
      </c>
    </row>
    <row r="73" spans="2:7" x14ac:dyDescent="0.3">
      <c r="B73" t="s">
        <v>92</v>
      </c>
      <c r="C73" t="s">
        <v>90</v>
      </c>
      <c r="D73" t="s">
        <v>91</v>
      </c>
      <c r="E73" t="s">
        <v>88</v>
      </c>
      <c r="F73" s="1">
        <v>0</v>
      </c>
      <c r="G73" s="2">
        <v>1</v>
      </c>
    </row>
    <row r="74" spans="2:7" x14ac:dyDescent="0.3">
      <c r="B74" t="s">
        <v>92</v>
      </c>
      <c r="C74" t="s">
        <v>90</v>
      </c>
      <c r="D74" t="s">
        <v>91</v>
      </c>
      <c r="E74" t="s">
        <v>89</v>
      </c>
      <c r="F74" s="1">
        <v>0</v>
      </c>
      <c r="G74" s="2">
        <v>1</v>
      </c>
    </row>
    <row r="75" spans="2:7" x14ac:dyDescent="0.3">
      <c r="B75" t="s">
        <v>191</v>
      </c>
      <c r="C75" t="s">
        <v>90</v>
      </c>
      <c r="D75" t="s">
        <v>91</v>
      </c>
      <c r="E75" t="s">
        <v>17</v>
      </c>
      <c r="F75" s="1">
        <v>27639</v>
      </c>
      <c r="G75" s="2">
        <v>0.51472149282082802</v>
      </c>
    </row>
    <row r="76" spans="2:7" x14ac:dyDescent="0.3">
      <c r="B76" t="s">
        <v>191</v>
      </c>
      <c r="C76" t="s">
        <v>90</v>
      </c>
      <c r="D76" t="s">
        <v>91</v>
      </c>
      <c r="E76" t="s">
        <v>21</v>
      </c>
      <c r="F76" s="1">
        <v>5061</v>
      </c>
      <c r="G76" s="2">
        <v>0.60897256829990498</v>
      </c>
    </row>
    <row r="77" spans="2:7" x14ac:dyDescent="0.3">
      <c r="B77" t="s">
        <v>191</v>
      </c>
      <c r="C77" t="s">
        <v>90</v>
      </c>
      <c r="D77" t="s">
        <v>91</v>
      </c>
      <c r="E77" t="s">
        <v>28</v>
      </c>
      <c r="F77" s="1">
        <v>2086</v>
      </c>
      <c r="G77" s="2">
        <v>0.64782017617371501</v>
      </c>
    </row>
    <row r="78" spans="2:7" x14ac:dyDescent="0.3">
      <c r="B78" t="s">
        <v>191</v>
      </c>
      <c r="C78" t="s">
        <v>90</v>
      </c>
      <c r="D78" t="s">
        <v>91</v>
      </c>
      <c r="E78" t="s">
        <v>23</v>
      </c>
      <c r="F78" s="1">
        <v>1848</v>
      </c>
      <c r="G78" s="2">
        <v>0.68223550663910504</v>
      </c>
    </row>
    <row r="79" spans="2:7" x14ac:dyDescent="0.3">
      <c r="B79" t="s">
        <v>191</v>
      </c>
      <c r="C79" t="s">
        <v>90</v>
      </c>
      <c r="D79" t="s">
        <v>91</v>
      </c>
      <c r="E79" t="s">
        <v>34</v>
      </c>
      <c r="F79" s="1">
        <v>1698</v>
      </c>
      <c r="G79" s="2">
        <v>0.713857384956329</v>
      </c>
    </row>
    <row r="80" spans="2:7" x14ac:dyDescent="0.3">
      <c r="B80" t="s">
        <v>191</v>
      </c>
      <c r="C80" t="s">
        <v>90</v>
      </c>
      <c r="D80" t="s">
        <v>91</v>
      </c>
      <c r="E80" t="s">
        <v>29</v>
      </c>
      <c r="F80" s="1">
        <v>1452</v>
      </c>
      <c r="G80" s="2">
        <v>0.74089800175056297</v>
      </c>
    </row>
    <row r="81" spans="2:7" x14ac:dyDescent="0.3">
      <c r="B81" t="s">
        <v>191</v>
      </c>
      <c r="C81" t="s">
        <v>90</v>
      </c>
      <c r="D81" t="s">
        <v>91</v>
      </c>
      <c r="E81" t="s">
        <v>25</v>
      </c>
      <c r="F81" s="1">
        <v>1423</v>
      </c>
      <c r="G81" s="2">
        <v>0.76739855112948596</v>
      </c>
    </row>
    <row r="82" spans="2:7" x14ac:dyDescent="0.3">
      <c r="B82" t="s">
        <v>191</v>
      </c>
      <c r="C82" t="s">
        <v>90</v>
      </c>
      <c r="D82" t="s">
        <v>91</v>
      </c>
      <c r="E82" t="s">
        <v>19</v>
      </c>
      <c r="F82" s="1">
        <v>1005</v>
      </c>
      <c r="G82" s="2">
        <v>0.78611468052218902</v>
      </c>
    </row>
    <row r="83" spans="2:7" x14ac:dyDescent="0.3">
      <c r="B83" t="s">
        <v>191</v>
      </c>
      <c r="C83" t="s">
        <v>90</v>
      </c>
      <c r="D83" t="s">
        <v>91</v>
      </c>
      <c r="E83" t="s">
        <v>45</v>
      </c>
      <c r="F83" s="1">
        <v>955</v>
      </c>
      <c r="G83" s="2">
        <v>0.80389965919883799</v>
      </c>
    </row>
    <row r="84" spans="2:7" x14ac:dyDescent="0.3">
      <c r="B84" t="s">
        <v>191</v>
      </c>
      <c r="C84" t="s">
        <v>90</v>
      </c>
      <c r="D84" t="s">
        <v>91</v>
      </c>
      <c r="E84" t="s">
        <v>41</v>
      </c>
      <c r="F84" s="1">
        <v>750</v>
      </c>
      <c r="G84" s="2">
        <v>0.81786691993966099</v>
      </c>
    </row>
    <row r="85" spans="2:7" x14ac:dyDescent="0.3">
      <c r="B85" t="s">
        <v>191</v>
      </c>
      <c r="C85" t="s">
        <v>90</v>
      </c>
      <c r="D85" t="s">
        <v>91</v>
      </c>
      <c r="E85" t="s">
        <v>67</v>
      </c>
      <c r="F85" s="1">
        <v>627</v>
      </c>
      <c r="G85" s="2">
        <v>0.82954354991899004</v>
      </c>
    </row>
    <row r="86" spans="2:7" x14ac:dyDescent="0.3">
      <c r="B86" t="s">
        <v>191</v>
      </c>
      <c r="C86" t="s">
        <v>90</v>
      </c>
      <c r="D86" t="s">
        <v>91</v>
      </c>
      <c r="E86" t="s">
        <v>26</v>
      </c>
      <c r="F86" s="1">
        <v>604</v>
      </c>
      <c r="G86" s="2">
        <v>0.84079185056893302</v>
      </c>
    </row>
    <row r="87" spans="2:7" x14ac:dyDescent="0.3">
      <c r="B87" t="s">
        <v>191</v>
      </c>
      <c r="C87" t="s">
        <v>90</v>
      </c>
      <c r="D87" t="s">
        <v>91</v>
      </c>
      <c r="E87" t="s">
        <v>36</v>
      </c>
      <c r="F87" s="1">
        <v>593</v>
      </c>
      <c r="G87" s="2">
        <v>0.85183529806134395</v>
      </c>
    </row>
    <row r="88" spans="2:7" x14ac:dyDescent="0.3">
      <c r="B88" t="s">
        <v>191</v>
      </c>
      <c r="C88" t="s">
        <v>90</v>
      </c>
      <c r="D88" t="s">
        <v>91</v>
      </c>
      <c r="E88" t="s">
        <v>33</v>
      </c>
      <c r="F88" s="1">
        <v>580</v>
      </c>
      <c r="G88" s="2">
        <v>0.86263664636758097</v>
      </c>
    </row>
    <row r="89" spans="2:7" x14ac:dyDescent="0.3">
      <c r="B89" t="s">
        <v>191</v>
      </c>
      <c r="C89" t="s">
        <v>90</v>
      </c>
      <c r="D89" t="s">
        <v>91</v>
      </c>
      <c r="E89" t="s">
        <v>32</v>
      </c>
      <c r="F89" s="1">
        <v>557</v>
      </c>
      <c r="G89" s="2">
        <v>0.87300966534443303</v>
      </c>
    </row>
    <row r="90" spans="2:7" x14ac:dyDescent="0.3">
      <c r="B90" t="s">
        <v>191</v>
      </c>
      <c r="C90" t="s">
        <v>90</v>
      </c>
      <c r="D90" t="s">
        <v>91</v>
      </c>
      <c r="E90" t="s">
        <v>30</v>
      </c>
      <c r="F90" s="1">
        <v>556</v>
      </c>
      <c r="G90" s="2">
        <v>0.88336406130696299</v>
      </c>
    </row>
    <row r="91" spans="2:7" x14ac:dyDescent="0.3">
      <c r="B91" t="s">
        <v>191</v>
      </c>
      <c r="C91" t="s">
        <v>90</v>
      </c>
      <c r="D91" t="s">
        <v>91</v>
      </c>
      <c r="E91" t="s">
        <v>75</v>
      </c>
      <c r="F91" s="1">
        <v>526</v>
      </c>
      <c r="G91" s="2">
        <v>0.89315976683986098</v>
      </c>
    </row>
    <row r="92" spans="2:7" x14ac:dyDescent="0.3">
      <c r="B92" t="s">
        <v>191</v>
      </c>
      <c r="C92" t="s">
        <v>90</v>
      </c>
      <c r="D92" t="s">
        <v>91</v>
      </c>
      <c r="E92" t="s">
        <v>31</v>
      </c>
      <c r="F92" s="1">
        <v>516</v>
      </c>
      <c r="G92" s="2">
        <v>0.90276924222954702</v>
      </c>
    </row>
    <row r="93" spans="2:7" x14ac:dyDescent="0.3">
      <c r="B93" t="s">
        <v>191</v>
      </c>
      <c r="C93" t="s">
        <v>90</v>
      </c>
      <c r="D93" t="s">
        <v>91</v>
      </c>
      <c r="E93" t="s">
        <v>27</v>
      </c>
      <c r="F93" s="1">
        <v>515</v>
      </c>
      <c r="G93" s="2">
        <v>0.91236009460491296</v>
      </c>
    </row>
    <row r="94" spans="2:7" x14ac:dyDescent="0.3">
      <c r="B94" t="s">
        <v>191</v>
      </c>
      <c r="C94" t="s">
        <v>90</v>
      </c>
      <c r="D94" t="s">
        <v>91</v>
      </c>
      <c r="E94" t="s">
        <v>44</v>
      </c>
      <c r="F94" s="1">
        <v>487</v>
      </c>
      <c r="G94" s="2">
        <v>0.92142950257928702</v>
      </c>
    </row>
    <row r="95" spans="2:7" x14ac:dyDescent="0.3">
      <c r="B95" t="s">
        <v>191</v>
      </c>
      <c r="C95" t="s">
        <v>90</v>
      </c>
      <c r="D95" t="s">
        <v>91</v>
      </c>
      <c r="E95" t="s">
        <v>50</v>
      </c>
      <c r="F95" s="1">
        <v>425</v>
      </c>
      <c r="G95" s="2">
        <v>0.92934428366575395</v>
      </c>
    </row>
    <row r="96" spans="2:7" x14ac:dyDescent="0.3">
      <c r="B96" t="s">
        <v>191</v>
      </c>
      <c r="C96" t="s">
        <v>90</v>
      </c>
      <c r="D96" t="s">
        <v>91</v>
      </c>
      <c r="E96" t="s">
        <v>35</v>
      </c>
      <c r="F96" s="1">
        <v>410</v>
      </c>
      <c r="G96" s="2">
        <v>0.936979719537404</v>
      </c>
    </row>
    <row r="97" spans="2:7" x14ac:dyDescent="0.3">
      <c r="B97" t="s">
        <v>191</v>
      </c>
      <c r="C97" t="s">
        <v>90</v>
      </c>
      <c r="D97" t="s">
        <v>91</v>
      </c>
      <c r="E97" t="s">
        <v>70</v>
      </c>
      <c r="F97" s="1">
        <v>391</v>
      </c>
      <c r="G97" s="2">
        <v>0.94426131813695402</v>
      </c>
    </row>
    <row r="98" spans="2:7" x14ac:dyDescent="0.3">
      <c r="B98" t="s">
        <v>191</v>
      </c>
      <c r="C98" t="s">
        <v>90</v>
      </c>
      <c r="D98" t="s">
        <v>91</v>
      </c>
      <c r="E98" t="s">
        <v>48</v>
      </c>
      <c r="F98" s="1">
        <v>368</v>
      </c>
      <c r="G98" s="2">
        <v>0.95111458740711796</v>
      </c>
    </row>
    <row r="99" spans="2:7" x14ac:dyDescent="0.3">
      <c r="B99" t="s">
        <v>191</v>
      </c>
      <c r="C99" t="s">
        <v>90</v>
      </c>
      <c r="D99" t="s">
        <v>91</v>
      </c>
      <c r="E99" t="s">
        <v>42</v>
      </c>
      <c r="F99" s="1">
        <v>348</v>
      </c>
      <c r="G99" s="2">
        <v>0.95759539639086</v>
      </c>
    </row>
    <row r="100" spans="2:7" x14ac:dyDescent="0.3">
      <c r="B100" t="s">
        <v>191</v>
      </c>
      <c r="C100" t="s">
        <v>90</v>
      </c>
      <c r="D100" t="s">
        <v>91</v>
      </c>
      <c r="E100" t="s">
        <v>20</v>
      </c>
      <c r="F100" s="1">
        <v>259</v>
      </c>
      <c r="G100" s="2">
        <v>0.962418757100024</v>
      </c>
    </row>
    <row r="101" spans="2:7" x14ac:dyDescent="0.3">
      <c r="B101" t="s">
        <v>191</v>
      </c>
      <c r="C101" t="s">
        <v>90</v>
      </c>
      <c r="D101" t="s">
        <v>91</v>
      </c>
      <c r="E101" t="s">
        <v>40</v>
      </c>
      <c r="F101" s="1">
        <v>243</v>
      </c>
      <c r="G101" s="2">
        <v>0.96694414958005104</v>
      </c>
    </row>
    <row r="102" spans="2:7" x14ac:dyDescent="0.3">
      <c r="B102" t="s">
        <v>191</v>
      </c>
      <c r="C102" t="s">
        <v>90</v>
      </c>
      <c r="D102" t="s">
        <v>91</v>
      </c>
      <c r="E102" t="s">
        <v>47</v>
      </c>
      <c r="F102" s="1">
        <v>219</v>
      </c>
      <c r="G102" s="2">
        <v>0.97102258971637101</v>
      </c>
    </row>
    <row r="103" spans="2:7" x14ac:dyDescent="0.3">
      <c r="B103" t="s">
        <v>191</v>
      </c>
      <c r="C103" t="s">
        <v>90</v>
      </c>
      <c r="D103" t="s">
        <v>91</v>
      </c>
      <c r="E103" t="s">
        <v>49</v>
      </c>
      <c r="F103" s="1">
        <v>211</v>
      </c>
      <c r="G103" s="2">
        <v>0.974952045738123</v>
      </c>
    </row>
    <row r="104" spans="2:7" x14ac:dyDescent="0.3">
      <c r="B104" t="s">
        <v>191</v>
      </c>
      <c r="C104" t="s">
        <v>90</v>
      </c>
      <c r="D104" t="s">
        <v>91</v>
      </c>
      <c r="E104" t="s">
        <v>24</v>
      </c>
      <c r="F104" s="1">
        <v>193</v>
      </c>
      <c r="G104" s="2">
        <v>0.97854628750209505</v>
      </c>
    </row>
    <row r="105" spans="2:7" x14ac:dyDescent="0.3">
      <c r="B105" t="s">
        <v>191</v>
      </c>
      <c r="C105" t="s">
        <v>90</v>
      </c>
      <c r="D105" t="s">
        <v>91</v>
      </c>
      <c r="E105" t="s">
        <v>55</v>
      </c>
      <c r="F105" s="1">
        <v>182</v>
      </c>
      <c r="G105" s="2">
        <v>0.98193567610853505</v>
      </c>
    </row>
    <row r="106" spans="2:7" x14ac:dyDescent="0.3">
      <c r="B106" t="s">
        <v>191</v>
      </c>
      <c r="C106" t="s">
        <v>90</v>
      </c>
      <c r="D106" t="s">
        <v>91</v>
      </c>
      <c r="E106" t="s">
        <v>85</v>
      </c>
      <c r="F106" s="1">
        <v>152</v>
      </c>
      <c r="G106" s="2">
        <v>0.98759707246214901</v>
      </c>
    </row>
    <row r="107" spans="2:7" x14ac:dyDescent="0.3">
      <c r="B107" t="s">
        <v>191</v>
      </c>
      <c r="C107" t="s">
        <v>90</v>
      </c>
      <c r="D107" t="s">
        <v>91</v>
      </c>
      <c r="E107" t="s">
        <v>39</v>
      </c>
      <c r="F107" s="1">
        <v>152</v>
      </c>
      <c r="G107" s="2">
        <v>0.98759707246214901</v>
      </c>
    </row>
    <row r="108" spans="2:7" x14ac:dyDescent="0.3">
      <c r="B108" t="s">
        <v>191</v>
      </c>
      <c r="C108" t="s">
        <v>90</v>
      </c>
      <c r="D108" t="s">
        <v>91</v>
      </c>
      <c r="E108" t="s">
        <v>43</v>
      </c>
      <c r="F108" s="1">
        <v>116</v>
      </c>
      <c r="G108" s="2">
        <v>0.98975734212339594</v>
      </c>
    </row>
    <row r="109" spans="2:7" x14ac:dyDescent="0.3">
      <c r="B109" t="s">
        <v>191</v>
      </c>
      <c r="C109" t="s">
        <v>90</v>
      </c>
      <c r="D109" t="s">
        <v>91</v>
      </c>
      <c r="E109" t="s">
        <v>18</v>
      </c>
      <c r="F109" s="1">
        <v>112</v>
      </c>
      <c r="G109" s="2">
        <v>0.99184311972735895</v>
      </c>
    </row>
    <row r="110" spans="2:7" x14ac:dyDescent="0.3">
      <c r="B110" t="s">
        <v>191</v>
      </c>
      <c r="C110" t="s">
        <v>90</v>
      </c>
      <c r="D110" t="s">
        <v>91</v>
      </c>
      <c r="E110" t="s">
        <v>81</v>
      </c>
      <c r="F110" s="1">
        <v>89</v>
      </c>
      <c r="G110" s="2">
        <v>0.99350056800193698</v>
      </c>
    </row>
    <row r="111" spans="2:7" x14ac:dyDescent="0.3">
      <c r="B111" t="s">
        <v>191</v>
      </c>
      <c r="C111" t="s">
        <v>90</v>
      </c>
      <c r="D111" t="s">
        <v>91</v>
      </c>
      <c r="E111" t="s">
        <v>54</v>
      </c>
      <c r="F111" s="1">
        <v>77</v>
      </c>
      <c r="G111" s="2">
        <v>0.99493454010466098</v>
      </c>
    </row>
    <row r="112" spans="2:7" x14ac:dyDescent="0.3">
      <c r="B112" t="s">
        <v>191</v>
      </c>
      <c r="C112" t="s">
        <v>90</v>
      </c>
      <c r="D112" t="s">
        <v>91</v>
      </c>
      <c r="E112" t="s">
        <v>52</v>
      </c>
      <c r="F112" s="1">
        <v>73</v>
      </c>
      <c r="G112" s="2">
        <v>0.99629402015010105</v>
      </c>
    </row>
    <row r="113" spans="2:7" x14ac:dyDescent="0.3">
      <c r="B113" t="s">
        <v>191</v>
      </c>
      <c r="C113" t="s">
        <v>90</v>
      </c>
      <c r="D113" t="s">
        <v>91</v>
      </c>
      <c r="E113" t="s">
        <v>22</v>
      </c>
      <c r="F113" s="1">
        <v>32</v>
      </c>
      <c r="G113" s="2">
        <v>0.99688995660837698</v>
      </c>
    </row>
    <row r="114" spans="2:7" x14ac:dyDescent="0.3">
      <c r="B114" t="s">
        <v>191</v>
      </c>
      <c r="C114" t="s">
        <v>90</v>
      </c>
      <c r="D114" t="s">
        <v>91</v>
      </c>
      <c r="E114" t="s">
        <v>86</v>
      </c>
      <c r="F114" s="1">
        <v>25</v>
      </c>
      <c r="G114" s="2">
        <v>0.99735553196640403</v>
      </c>
    </row>
    <row r="115" spans="2:7" x14ac:dyDescent="0.3">
      <c r="B115" t="s">
        <v>191</v>
      </c>
      <c r="C115" t="s">
        <v>90</v>
      </c>
      <c r="D115" t="s">
        <v>91</v>
      </c>
      <c r="E115" t="s">
        <v>65</v>
      </c>
      <c r="F115" s="1">
        <v>21</v>
      </c>
      <c r="G115" s="2">
        <v>0.99813769856789003</v>
      </c>
    </row>
    <row r="116" spans="2:7" x14ac:dyDescent="0.3">
      <c r="B116" t="s">
        <v>191</v>
      </c>
      <c r="C116" t="s">
        <v>90</v>
      </c>
      <c r="D116" t="s">
        <v>91</v>
      </c>
      <c r="E116" t="s">
        <v>61</v>
      </c>
      <c r="F116" s="1">
        <v>21</v>
      </c>
      <c r="G116" s="2">
        <v>0.99813769856789003</v>
      </c>
    </row>
    <row r="117" spans="2:7" x14ac:dyDescent="0.3">
      <c r="B117" t="s">
        <v>191</v>
      </c>
      <c r="C117" t="s">
        <v>90</v>
      </c>
      <c r="D117" t="s">
        <v>91</v>
      </c>
      <c r="E117" t="s">
        <v>57</v>
      </c>
      <c r="F117" s="1">
        <v>19</v>
      </c>
      <c r="G117" s="2">
        <v>0.99849153583999095</v>
      </c>
    </row>
    <row r="118" spans="2:7" x14ac:dyDescent="0.3">
      <c r="B118" t="s">
        <v>191</v>
      </c>
      <c r="C118" t="s">
        <v>90</v>
      </c>
      <c r="D118" t="s">
        <v>91</v>
      </c>
      <c r="E118" t="s">
        <v>56</v>
      </c>
      <c r="F118" s="1">
        <v>16</v>
      </c>
      <c r="G118" s="2">
        <v>0.99878950406912903</v>
      </c>
    </row>
    <row r="119" spans="2:7" x14ac:dyDescent="0.3">
      <c r="B119" t="s">
        <v>191</v>
      </c>
      <c r="C119" t="s">
        <v>90</v>
      </c>
      <c r="D119" t="s">
        <v>91</v>
      </c>
      <c r="E119" t="s">
        <v>62</v>
      </c>
      <c r="F119" s="1">
        <v>13</v>
      </c>
      <c r="G119" s="2">
        <v>0.99927370244147695</v>
      </c>
    </row>
    <row r="120" spans="2:7" x14ac:dyDescent="0.3">
      <c r="B120" t="s">
        <v>191</v>
      </c>
      <c r="C120" t="s">
        <v>90</v>
      </c>
      <c r="D120" t="s">
        <v>91</v>
      </c>
      <c r="E120" t="s">
        <v>60</v>
      </c>
      <c r="F120" s="1">
        <v>13</v>
      </c>
      <c r="G120" s="2">
        <v>0.99927370244147695</v>
      </c>
    </row>
    <row r="121" spans="2:7" x14ac:dyDescent="0.3">
      <c r="B121" t="s">
        <v>191</v>
      </c>
      <c r="C121" t="s">
        <v>90</v>
      </c>
      <c r="D121" t="s">
        <v>91</v>
      </c>
      <c r="E121" t="s">
        <v>80</v>
      </c>
      <c r="F121" s="1">
        <v>12</v>
      </c>
      <c r="G121" s="2">
        <v>0.99949717861332998</v>
      </c>
    </row>
    <row r="122" spans="2:7" x14ac:dyDescent="0.3">
      <c r="B122" t="s">
        <v>191</v>
      </c>
      <c r="C122" t="s">
        <v>90</v>
      </c>
      <c r="D122" t="s">
        <v>91</v>
      </c>
      <c r="E122" t="s">
        <v>77</v>
      </c>
      <c r="F122" s="1">
        <v>6</v>
      </c>
      <c r="G122" s="2">
        <v>0.99972065478518402</v>
      </c>
    </row>
    <row r="123" spans="2:7" x14ac:dyDescent="0.3">
      <c r="B123" t="s">
        <v>191</v>
      </c>
      <c r="C123" t="s">
        <v>90</v>
      </c>
      <c r="D123" t="s">
        <v>91</v>
      </c>
      <c r="E123" t="s">
        <v>66</v>
      </c>
      <c r="F123" s="1">
        <v>6</v>
      </c>
      <c r="G123" s="2">
        <v>0.99972065478518402</v>
      </c>
    </row>
    <row r="124" spans="2:7" x14ac:dyDescent="0.3">
      <c r="B124" t="s">
        <v>191</v>
      </c>
      <c r="C124" t="s">
        <v>90</v>
      </c>
      <c r="D124" t="s">
        <v>91</v>
      </c>
      <c r="E124" t="s">
        <v>46</v>
      </c>
      <c r="F124" s="1">
        <v>5</v>
      </c>
      <c r="G124" s="2">
        <v>0.99981376985678905</v>
      </c>
    </row>
    <row r="125" spans="2:7" x14ac:dyDescent="0.3">
      <c r="B125" t="s">
        <v>191</v>
      </c>
      <c r="C125" t="s">
        <v>90</v>
      </c>
      <c r="D125" t="s">
        <v>91</v>
      </c>
      <c r="E125" t="s">
        <v>64</v>
      </c>
      <c r="F125" s="1">
        <v>4</v>
      </c>
      <c r="G125" s="2">
        <v>0.99988826191407298</v>
      </c>
    </row>
    <row r="126" spans="2:7" x14ac:dyDescent="0.3">
      <c r="B126" t="s">
        <v>191</v>
      </c>
      <c r="C126" t="s">
        <v>90</v>
      </c>
      <c r="D126" t="s">
        <v>91</v>
      </c>
      <c r="E126" t="s">
        <v>53</v>
      </c>
      <c r="F126" s="1">
        <v>3</v>
      </c>
      <c r="G126" s="2">
        <v>0.99994413095703705</v>
      </c>
    </row>
    <row r="127" spans="2:7" x14ac:dyDescent="0.3">
      <c r="B127" t="s">
        <v>191</v>
      </c>
      <c r="C127" t="s">
        <v>90</v>
      </c>
      <c r="D127" t="s">
        <v>91</v>
      </c>
      <c r="E127" t="s">
        <v>51</v>
      </c>
      <c r="F127" s="1">
        <v>2</v>
      </c>
      <c r="G127" s="2">
        <v>0.99998137698567902</v>
      </c>
    </row>
    <row r="128" spans="2:7" x14ac:dyDescent="0.3">
      <c r="B128" t="s">
        <v>191</v>
      </c>
      <c r="C128" t="s">
        <v>90</v>
      </c>
      <c r="D128" t="s">
        <v>91</v>
      </c>
      <c r="E128" t="s">
        <v>76</v>
      </c>
      <c r="F128" s="1">
        <v>1</v>
      </c>
      <c r="G128" s="2">
        <v>1</v>
      </c>
    </row>
    <row r="129" spans="2:7" x14ac:dyDescent="0.3">
      <c r="B129" t="s">
        <v>191</v>
      </c>
      <c r="C129" t="s">
        <v>90</v>
      </c>
      <c r="D129" t="s">
        <v>91</v>
      </c>
      <c r="E129" t="s">
        <v>73</v>
      </c>
      <c r="F129" s="1">
        <v>0</v>
      </c>
      <c r="G129" s="2">
        <v>1</v>
      </c>
    </row>
    <row r="130" spans="2:7" x14ac:dyDescent="0.3">
      <c r="B130" t="s">
        <v>191</v>
      </c>
      <c r="C130" t="s">
        <v>90</v>
      </c>
      <c r="D130" t="s">
        <v>91</v>
      </c>
      <c r="E130" t="s">
        <v>82</v>
      </c>
      <c r="F130" s="1">
        <v>0</v>
      </c>
      <c r="G130" s="2">
        <v>1</v>
      </c>
    </row>
    <row r="131" spans="2:7" x14ac:dyDescent="0.3">
      <c r="B131" t="s">
        <v>191</v>
      </c>
      <c r="C131" t="s">
        <v>90</v>
      </c>
      <c r="D131" t="s">
        <v>91</v>
      </c>
      <c r="E131" t="s">
        <v>83</v>
      </c>
      <c r="F131" s="1">
        <v>0</v>
      </c>
      <c r="G131" s="2">
        <v>1</v>
      </c>
    </row>
    <row r="132" spans="2:7" x14ac:dyDescent="0.3">
      <c r="B132" t="s">
        <v>191</v>
      </c>
      <c r="C132" t="s">
        <v>90</v>
      </c>
      <c r="D132" t="s">
        <v>91</v>
      </c>
      <c r="E132" t="s">
        <v>78</v>
      </c>
      <c r="F132" s="1">
        <v>0</v>
      </c>
      <c r="G132" s="2">
        <v>1</v>
      </c>
    </row>
    <row r="133" spans="2:7" x14ac:dyDescent="0.3">
      <c r="B133" t="s">
        <v>191</v>
      </c>
      <c r="C133" t="s">
        <v>90</v>
      </c>
      <c r="D133" t="s">
        <v>91</v>
      </c>
      <c r="E133" t="s">
        <v>38</v>
      </c>
      <c r="F133" s="1">
        <v>0</v>
      </c>
      <c r="G133" s="2">
        <v>1</v>
      </c>
    </row>
    <row r="134" spans="2:7" x14ac:dyDescent="0.3">
      <c r="B134" t="s">
        <v>191</v>
      </c>
      <c r="C134" t="s">
        <v>90</v>
      </c>
      <c r="D134" t="s">
        <v>91</v>
      </c>
      <c r="E134" t="s">
        <v>88</v>
      </c>
      <c r="F134" s="1">
        <v>0</v>
      </c>
      <c r="G134" s="2">
        <v>1</v>
      </c>
    </row>
    <row r="135" spans="2:7" x14ac:dyDescent="0.3">
      <c r="B135" t="s">
        <v>191</v>
      </c>
      <c r="C135" t="s">
        <v>90</v>
      </c>
      <c r="D135" t="s">
        <v>91</v>
      </c>
      <c r="E135" t="s">
        <v>84</v>
      </c>
      <c r="F135" s="1">
        <v>0</v>
      </c>
      <c r="G135" s="2">
        <v>1</v>
      </c>
    </row>
    <row r="136" spans="2:7" x14ac:dyDescent="0.3">
      <c r="B136" t="s">
        <v>191</v>
      </c>
      <c r="C136" t="s">
        <v>90</v>
      </c>
      <c r="D136" t="s">
        <v>91</v>
      </c>
      <c r="E136" t="s">
        <v>89</v>
      </c>
      <c r="F136" s="1">
        <v>0</v>
      </c>
      <c r="G136" s="2">
        <v>1</v>
      </c>
    </row>
    <row r="137" spans="2:7" x14ac:dyDescent="0.3">
      <c r="B137" t="s">
        <v>191</v>
      </c>
      <c r="C137" t="s">
        <v>90</v>
      </c>
      <c r="D137" t="s">
        <v>91</v>
      </c>
      <c r="E137" t="s">
        <v>68</v>
      </c>
      <c r="F137" s="1">
        <v>0</v>
      </c>
      <c r="G137" s="2">
        <v>1</v>
      </c>
    </row>
    <row r="138" spans="2:7" x14ac:dyDescent="0.3">
      <c r="B138" t="s">
        <v>191</v>
      </c>
      <c r="C138" t="s">
        <v>90</v>
      </c>
      <c r="D138" t="s">
        <v>91</v>
      </c>
      <c r="E138" t="s">
        <v>79</v>
      </c>
      <c r="F138" s="1">
        <v>0</v>
      </c>
      <c r="G138" s="2">
        <v>1</v>
      </c>
    </row>
    <row r="139" spans="2:7" x14ac:dyDescent="0.3">
      <c r="B139" t="s">
        <v>191</v>
      </c>
      <c r="C139" t="s">
        <v>90</v>
      </c>
      <c r="D139" t="s">
        <v>91</v>
      </c>
      <c r="E139" t="s">
        <v>37</v>
      </c>
      <c r="F139" s="1">
        <v>0</v>
      </c>
      <c r="G139" s="2">
        <v>1</v>
      </c>
    </row>
    <row r="140" spans="2:7" x14ac:dyDescent="0.3">
      <c r="B140" t="s">
        <v>191</v>
      </c>
      <c r="C140" t="s">
        <v>90</v>
      </c>
      <c r="D140" t="s">
        <v>91</v>
      </c>
      <c r="E140" t="s">
        <v>69</v>
      </c>
      <c r="F140" s="1">
        <v>0</v>
      </c>
      <c r="G140" s="2">
        <v>1</v>
      </c>
    </row>
    <row r="141" spans="2:7" x14ac:dyDescent="0.3">
      <c r="B141" t="s">
        <v>191</v>
      </c>
      <c r="C141" t="s">
        <v>90</v>
      </c>
      <c r="D141" t="s">
        <v>91</v>
      </c>
      <c r="E141" t="s">
        <v>72</v>
      </c>
      <c r="F141" s="1">
        <v>0</v>
      </c>
      <c r="G141" s="2">
        <v>1</v>
      </c>
    </row>
    <row r="142" spans="2:7" x14ac:dyDescent="0.3">
      <c r="B142" t="s">
        <v>191</v>
      </c>
      <c r="C142" t="s">
        <v>90</v>
      </c>
      <c r="D142" t="s">
        <v>91</v>
      </c>
      <c r="E142" t="s">
        <v>58</v>
      </c>
      <c r="F142" s="1">
        <v>0</v>
      </c>
      <c r="G142" s="2">
        <v>1</v>
      </c>
    </row>
    <row r="143" spans="2:7" x14ac:dyDescent="0.3">
      <c r="B143" t="s">
        <v>191</v>
      </c>
      <c r="C143" t="s">
        <v>90</v>
      </c>
      <c r="D143" t="s">
        <v>91</v>
      </c>
      <c r="E143" t="s">
        <v>71</v>
      </c>
      <c r="F143" s="1">
        <v>0</v>
      </c>
      <c r="G143" s="2">
        <v>1</v>
      </c>
    </row>
    <row r="144" spans="2:7" x14ac:dyDescent="0.3">
      <c r="B144" t="s">
        <v>191</v>
      </c>
      <c r="C144" t="s">
        <v>90</v>
      </c>
      <c r="D144" t="s">
        <v>91</v>
      </c>
      <c r="E144" t="s">
        <v>195</v>
      </c>
      <c r="F144" s="1">
        <v>0</v>
      </c>
      <c r="G144" s="2">
        <v>1</v>
      </c>
    </row>
    <row r="145" spans="2:7" x14ac:dyDescent="0.3">
      <c r="B145" t="s">
        <v>191</v>
      </c>
      <c r="C145" t="s">
        <v>90</v>
      </c>
      <c r="D145" t="s">
        <v>91</v>
      </c>
      <c r="E145" t="s">
        <v>59</v>
      </c>
      <c r="F145" s="1">
        <v>0</v>
      </c>
      <c r="G145" s="2">
        <v>1</v>
      </c>
    </row>
    <row r="146" spans="2:7" x14ac:dyDescent="0.3">
      <c r="B146" t="s">
        <v>191</v>
      </c>
      <c r="C146" t="s">
        <v>90</v>
      </c>
      <c r="D146" t="s">
        <v>91</v>
      </c>
      <c r="E146" t="s">
        <v>63</v>
      </c>
      <c r="F146" s="1">
        <v>0</v>
      </c>
      <c r="G146" s="2">
        <v>1</v>
      </c>
    </row>
    <row r="147" spans="2:7" x14ac:dyDescent="0.3">
      <c r="B147" t="s">
        <v>192</v>
      </c>
      <c r="C147" t="s">
        <v>90</v>
      </c>
      <c r="D147" t="s">
        <v>91</v>
      </c>
      <c r="E147" t="s">
        <v>17</v>
      </c>
      <c r="F147" s="1">
        <v>92939</v>
      </c>
      <c r="G147" s="2">
        <v>0.34713315131119399</v>
      </c>
    </row>
    <row r="148" spans="2:7" x14ac:dyDescent="0.3">
      <c r="B148" t="s">
        <v>192</v>
      </c>
      <c r="C148" t="s">
        <v>90</v>
      </c>
      <c r="D148" t="s">
        <v>91</v>
      </c>
      <c r="E148" t="s">
        <v>18</v>
      </c>
      <c r="F148" s="1">
        <v>29604</v>
      </c>
      <c r="G148" s="2">
        <v>0.45770599813993801</v>
      </c>
    </row>
    <row r="149" spans="2:7" x14ac:dyDescent="0.3">
      <c r="B149" t="s">
        <v>192</v>
      </c>
      <c r="C149" t="s">
        <v>90</v>
      </c>
      <c r="D149" t="s">
        <v>91</v>
      </c>
      <c r="E149" t="s">
        <v>19</v>
      </c>
      <c r="F149" s="1">
        <v>21666</v>
      </c>
      <c r="G149" s="2">
        <v>0.53862990367268904</v>
      </c>
    </row>
    <row r="150" spans="2:7" x14ac:dyDescent="0.3">
      <c r="B150" t="s">
        <v>192</v>
      </c>
      <c r="C150" t="s">
        <v>90</v>
      </c>
      <c r="D150" t="s">
        <v>91</v>
      </c>
      <c r="E150" t="s">
        <v>21</v>
      </c>
      <c r="F150" s="1">
        <v>11157</v>
      </c>
      <c r="G150" s="2">
        <v>0.58030201730828801</v>
      </c>
    </row>
    <row r="151" spans="2:7" x14ac:dyDescent="0.3">
      <c r="B151" t="s">
        <v>192</v>
      </c>
      <c r="C151" t="s">
        <v>90</v>
      </c>
      <c r="D151" t="s">
        <v>91</v>
      </c>
      <c r="E151" t="s">
        <v>27</v>
      </c>
      <c r="F151" s="1">
        <v>10289</v>
      </c>
      <c r="G151" s="2">
        <v>0.61873209503497895</v>
      </c>
    </row>
    <row r="152" spans="2:7" x14ac:dyDescent="0.3">
      <c r="B152" t="s">
        <v>192</v>
      </c>
      <c r="C152" t="s">
        <v>90</v>
      </c>
      <c r="D152" t="s">
        <v>91</v>
      </c>
      <c r="E152" t="s">
        <v>20</v>
      </c>
      <c r="F152" s="1">
        <v>9920</v>
      </c>
      <c r="G152" s="2">
        <v>0.65578393399394197</v>
      </c>
    </row>
    <row r="153" spans="2:7" x14ac:dyDescent="0.3">
      <c r="B153" t="s">
        <v>192</v>
      </c>
      <c r="C153" t="s">
        <v>90</v>
      </c>
      <c r="D153" t="s">
        <v>91</v>
      </c>
      <c r="E153" t="s">
        <v>23</v>
      </c>
      <c r="F153" s="1">
        <v>9648</v>
      </c>
      <c r="G153" s="2">
        <v>0.69181983543306202</v>
      </c>
    </row>
    <row r="154" spans="2:7" x14ac:dyDescent="0.3">
      <c r="B154" t="s">
        <v>192</v>
      </c>
      <c r="C154" t="s">
        <v>90</v>
      </c>
      <c r="D154" t="s">
        <v>91</v>
      </c>
      <c r="E154" t="s">
        <v>25</v>
      </c>
      <c r="F154" s="1">
        <v>8968</v>
      </c>
      <c r="G154" s="2">
        <v>0.72531589307257605</v>
      </c>
    </row>
    <row r="155" spans="2:7" x14ac:dyDescent="0.3">
      <c r="B155" t="s">
        <v>192</v>
      </c>
      <c r="C155" t="s">
        <v>90</v>
      </c>
      <c r="D155" t="s">
        <v>91</v>
      </c>
      <c r="E155" t="s">
        <v>22</v>
      </c>
      <c r="F155" s="1">
        <v>8358</v>
      </c>
      <c r="G155" s="2">
        <v>0.75653356142126704</v>
      </c>
    </row>
    <row r="156" spans="2:7" x14ac:dyDescent="0.3">
      <c r="B156" t="s">
        <v>192</v>
      </c>
      <c r="C156" t="s">
        <v>90</v>
      </c>
      <c r="D156" t="s">
        <v>91</v>
      </c>
      <c r="E156" t="s">
        <v>37</v>
      </c>
      <c r="F156" s="1">
        <v>6773</v>
      </c>
      <c r="G156" s="2">
        <v>0.781831152678228</v>
      </c>
    </row>
    <row r="157" spans="2:7" x14ac:dyDescent="0.3">
      <c r="B157" t="s">
        <v>192</v>
      </c>
      <c r="C157" t="s">
        <v>90</v>
      </c>
      <c r="D157" t="s">
        <v>91</v>
      </c>
      <c r="E157" t="s">
        <v>26</v>
      </c>
      <c r="F157" s="1">
        <v>5866</v>
      </c>
      <c r="G157" s="2">
        <v>0.803741040514244</v>
      </c>
    </row>
    <row r="158" spans="2:7" x14ac:dyDescent="0.3">
      <c r="B158" t="s">
        <v>192</v>
      </c>
      <c r="C158" t="s">
        <v>90</v>
      </c>
      <c r="D158" t="s">
        <v>91</v>
      </c>
      <c r="E158" t="s">
        <v>24</v>
      </c>
      <c r="F158" s="1">
        <v>5449</v>
      </c>
      <c r="G158" s="2">
        <v>0.82409340649079499</v>
      </c>
    </row>
    <row r="159" spans="2:7" x14ac:dyDescent="0.3">
      <c r="B159" t="s">
        <v>192</v>
      </c>
      <c r="C159" t="s">
        <v>90</v>
      </c>
      <c r="D159" t="s">
        <v>91</v>
      </c>
      <c r="E159" t="s">
        <v>29</v>
      </c>
      <c r="F159" s="1">
        <v>4147</v>
      </c>
      <c r="G159" s="2">
        <v>0.83958271860398204</v>
      </c>
    </row>
    <row r="160" spans="2:7" x14ac:dyDescent="0.3">
      <c r="B160" t="s">
        <v>192</v>
      </c>
      <c r="C160" t="s">
        <v>90</v>
      </c>
      <c r="D160" t="s">
        <v>91</v>
      </c>
      <c r="E160" t="s">
        <v>30</v>
      </c>
      <c r="F160" s="1">
        <v>3636</v>
      </c>
      <c r="G160" s="2">
        <v>0.85316341280305397</v>
      </c>
    </row>
    <row r="161" spans="2:7" x14ac:dyDescent="0.3">
      <c r="B161" t="s">
        <v>192</v>
      </c>
      <c r="C161" t="s">
        <v>90</v>
      </c>
      <c r="D161" t="s">
        <v>91</v>
      </c>
      <c r="E161" t="s">
        <v>31</v>
      </c>
      <c r="F161" s="1">
        <v>3338</v>
      </c>
      <c r="G161" s="2">
        <v>0.86563105780759197</v>
      </c>
    </row>
    <row r="162" spans="2:7" x14ac:dyDescent="0.3">
      <c r="B162" t="s">
        <v>192</v>
      </c>
      <c r="C162" t="s">
        <v>90</v>
      </c>
      <c r="D162" t="s">
        <v>91</v>
      </c>
      <c r="E162" t="s">
        <v>36</v>
      </c>
      <c r="F162" s="1">
        <v>2714</v>
      </c>
      <c r="G162" s="2">
        <v>0.87576802261955</v>
      </c>
    </row>
    <row r="163" spans="2:7" x14ac:dyDescent="0.3">
      <c r="B163" t="s">
        <v>192</v>
      </c>
      <c r="C163" t="s">
        <v>90</v>
      </c>
      <c r="D163" t="s">
        <v>91</v>
      </c>
      <c r="E163" t="s">
        <v>39</v>
      </c>
      <c r="F163" s="1">
        <v>2691</v>
      </c>
      <c r="G163" s="2">
        <v>0.88581908095005102</v>
      </c>
    </row>
    <row r="164" spans="2:7" x14ac:dyDescent="0.3">
      <c r="B164" t="s">
        <v>192</v>
      </c>
      <c r="C164" t="s">
        <v>90</v>
      </c>
      <c r="D164" t="s">
        <v>91</v>
      </c>
      <c r="E164" t="s">
        <v>75</v>
      </c>
      <c r="F164" s="1">
        <v>2586</v>
      </c>
      <c r="G164" s="2">
        <v>0.89547795751737702</v>
      </c>
    </row>
    <row r="165" spans="2:7" x14ac:dyDescent="0.3">
      <c r="B165" t="s">
        <v>192</v>
      </c>
      <c r="C165" t="s">
        <v>90</v>
      </c>
      <c r="D165" t="s">
        <v>91</v>
      </c>
      <c r="E165" t="s">
        <v>67</v>
      </c>
      <c r="F165" s="1">
        <v>2580</v>
      </c>
      <c r="G165" s="2">
        <v>0.90511442369823703</v>
      </c>
    </row>
    <row r="166" spans="2:7" x14ac:dyDescent="0.3">
      <c r="B166" t="s">
        <v>192</v>
      </c>
      <c r="C166" t="s">
        <v>90</v>
      </c>
      <c r="D166" t="s">
        <v>91</v>
      </c>
      <c r="E166" t="s">
        <v>33</v>
      </c>
      <c r="F166" s="1">
        <v>2293</v>
      </c>
      <c r="G166" s="2">
        <v>0.91367892639308601</v>
      </c>
    </row>
    <row r="167" spans="2:7" x14ac:dyDescent="0.3">
      <c r="B167" t="s">
        <v>192</v>
      </c>
      <c r="C167" t="s">
        <v>90</v>
      </c>
      <c r="D167" t="s">
        <v>91</v>
      </c>
      <c r="E167" t="s">
        <v>28</v>
      </c>
      <c r="F167" s="1">
        <v>2187</v>
      </c>
      <c r="G167" s="2">
        <v>0.921847512260349</v>
      </c>
    </row>
    <row r="168" spans="2:7" x14ac:dyDescent="0.3">
      <c r="B168" t="s">
        <v>192</v>
      </c>
      <c r="C168" t="s">
        <v>90</v>
      </c>
      <c r="D168" t="s">
        <v>91</v>
      </c>
      <c r="E168" t="s">
        <v>40</v>
      </c>
      <c r="F168" s="1">
        <v>1883</v>
      </c>
      <c r="G168" s="2">
        <v>0.92888063854661196</v>
      </c>
    </row>
    <row r="169" spans="2:7" x14ac:dyDescent="0.3">
      <c r="B169" t="s">
        <v>192</v>
      </c>
      <c r="C169" t="s">
        <v>90</v>
      </c>
      <c r="D169" t="s">
        <v>91</v>
      </c>
      <c r="E169" t="s">
        <v>34</v>
      </c>
      <c r="F169" s="1">
        <v>1836</v>
      </c>
      <c r="G169" s="2">
        <v>0.93573821680554903</v>
      </c>
    </row>
    <row r="170" spans="2:7" x14ac:dyDescent="0.3">
      <c r="B170" t="s">
        <v>192</v>
      </c>
      <c r="C170" t="s">
        <v>90</v>
      </c>
      <c r="D170" t="s">
        <v>91</v>
      </c>
      <c r="E170" t="s">
        <v>44</v>
      </c>
      <c r="F170" s="1">
        <v>1617</v>
      </c>
      <c r="G170" s="2">
        <v>0.94177781595843602</v>
      </c>
    </row>
    <row r="171" spans="2:7" x14ac:dyDescent="0.3">
      <c r="B171" t="s">
        <v>192</v>
      </c>
      <c r="C171" t="s">
        <v>90</v>
      </c>
      <c r="D171" t="s">
        <v>91</v>
      </c>
      <c r="E171" t="s">
        <v>70</v>
      </c>
      <c r="F171" s="1">
        <v>1342</v>
      </c>
      <c r="G171" s="2">
        <v>0.94679027239824798</v>
      </c>
    </row>
    <row r="172" spans="2:7" x14ac:dyDescent="0.3">
      <c r="B172" t="s">
        <v>192</v>
      </c>
      <c r="C172" t="s">
        <v>90</v>
      </c>
      <c r="D172" t="s">
        <v>91</v>
      </c>
      <c r="E172" t="s">
        <v>49</v>
      </c>
      <c r="F172" s="1">
        <v>1270</v>
      </c>
      <c r="G172" s="2">
        <v>0.95153380420045297</v>
      </c>
    </row>
    <row r="173" spans="2:7" x14ac:dyDescent="0.3">
      <c r="B173" t="s">
        <v>192</v>
      </c>
      <c r="C173" t="s">
        <v>90</v>
      </c>
      <c r="D173" t="s">
        <v>91</v>
      </c>
      <c r="E173" t="s">
        <v>35</v>
      </c>
      <c r="F173" s="1">
        <v>1207</v>
      </c>
      <c r="G173" s="2">
        <v>0.95604202694475504</v>
      </c>
    </row>
    <row r="174" spans="2:7" x14ac:dyDescent="0.3">
      <c r="B174" t="s">
        <v>192</v>
      </c>
      <c r="C174" t="s">
        <v>90</v>
      </c>
      <c r="D174" t="s">
        <v>91</v>
      </c>
      <c r="E174" t="s">
        <v>32</v>
      </c>
      <c r="F174" s="1">
        <v>1172</v>
      </c>
      <c r="G174" s="2">
        <v>0.960419522434664</v>
      </c>
    </row>
    <row r="175" spans="2:7" x14ac:dyDescent="0.3">
      <c r="B175" t="s">
        <v>192</v>
      </c>
      <c r="C175" t="s">
        <v>90</v>
      </c>
      <c r="D175" t="s">
        <v>91</v>
      </c>
      <c r="E175" t="s">
        <v>48</v>
      </c>
      <c r="F175" s="1">
        <v>1087</v>
      </c>
      <c r="G175" s="2">
        <v>0.964479537449623</v>
      </c>
    </row>
    <row r="176" spans="2:7" x14ac:dyDescent="0.3">
      <c r="B176" t="s">
        <v>192</v>
      </c>
      <c r="C176" t="s">
        <v>90</v>
      </c>
      <c r="D176" t="s">
        <v>91</v>
      </c>
      <c r="E176" t="s">
        <v>45</v>
      </c>
      <c r="F176" s="1">
        <v>1029</v>
      </c>
      <c r="G176" s="2">
        <v>0.968322918728733</v>
      </c>
    </row>
    <row r="177" spans="2:7" x14ac:dyDescent="0.3">
      <c r="B177" t="s">
        <v>192</v>
      </c>
      <c r="C177" t="s">
        <v>90</v>
      </c>
      <c r="D177" t="s">
        <v>91</v>
      </c>
      <c r="E177" t="s">
        <v>47</v>
      </c>
      <c r="F177" s="1">
        <v>796</v>
      </c>
      <c r="G177" s="2">
        <v>0.97129603000003695</v>
      </c>
    </row>
    <row r="178" spans="2:7" x14ac:dyDescent="0.3">
      <c r="B178" t="s">
        <v>192</v>
      </c>
      <c r="C178" t="s">
        <v>90</v>
      </c>
      <c r="D178" t="s">
        <v>91</v>
      </c>
      <c r="E178" t="s">
        <v>55</v>
      </c>
      <c r="F178" s="1">
        <v>732</v>
      </c>
      <c r="G178" s="2">
        <v>0.974030097149025</v>
      </c>
    </row>
    <row r="179" spans="2:7" x14ac:dyDescent="0.3">
      <c r="B179" t="s">
        <v>192</v>
      </c>
      <c r="C179" t="s">
        <v>90</v>
      </c>
      <c r="D179" t="s">
        <v>91</v>
      </c>
      <c r="E179" t="s">
        <v>68</v>
      </c>
      <c r="F179" s="1">
        <v>576</v>
      </c>
      <c r="G179" s="2">
        <v>0.976181494249868</v>
      </c>
    </row>
    <row r="180" spans="2:7" x14ac:dyDescent="0.3">
      <c r="B180" t="s">
        <v>192</v>
      </c>
      <c r="C180" t="s">
        <v>90</v>
      </c>
      <c r="D180" t="s">
        <v>91</v>
      </c>
      <c r="E180" t="s">
        <v>46</v>
      </c>
      <c r="F180" s="1">
        <v>559</v>
      </c>
      <c r="G180" s="2">
        <v>0.97826939525572099</v>
      </c>
    </row>
    <row r="181" spans="2:7" x14ac:dyDescent="0.3">
      <c r="B181" t="s">
        <v>192</v>
      </c>
      <c r="C181" t="s">
        <v>90</v>
      </c>
      <c r="D181" t="s">
        <v>91</v>
      </c>
      <c r="E181" t="s">
        <v>41</v>
      </c>
      <c r="F181" s="1">
        <v>549</v>
      </c>
      <c r="G181" s="2">
        <v>0.98031994561746205</v>
      </c>
    </row>
    <row r="182" spans="2:7" x14ac:dyDescent="0.3">
      <c r="B182" t="s">
        <v>192</v>
      </c>
      <c r="C182" t="s">
        <v>90</v>
      </c>
      <c r="D182" t="s">
        <v>91</v>
      </c>
      <c r="E182" t="s">
        <v>43</v>
      </c>
      <c r="F182" s="1">
        <v>548</v>
      </c>
      <c r="G182" s="2">
        <v>0.98236676091479203</v>
      </c>
    </row>
    <row r="183" spans="2:7" x14ac:dyDescent="0.3">
      <c r="B183" t="s">
        <v>192</v>
      </c>
      <c r="C183" t="s">
        <v>90</v>
      </c>
      <c r="D183" t="s">
        <v>91</v>
      </c>
      <c r="E183" t="s">
        <v>38</v>
      </c>
      <c r="F183" s="1">
        <v>506</v>
      </c>
      <c r="G183" s="2">
        <v>0.98425670350685202</v>
      </c>
    </row>
    <row r="184" spans="2:7" x14ac:dyDescent="0.3">
      <c r="B184" t="s">
        <v>192</v>
      </c>
      <c r="C184" t="s">
        <v>90</v>
      </c>
      <c r="D184" t="s">
        <v>91</v>
      </c>
      <c r="E184" t="s">
        <v>81</v>
      </c>
      <c r="F184" s="1">
        <v>484</v>
      </c>
      <c r="G184" s="2">
        <v>0.98606447468186598</v>
      </c>
    </row>
    <row r="185" spans="2:7" x14ac:dyDescent="0.3">
      <c r="B185" t="s">
        <v>192</v>
      </c>
      <c r="C185" t="s">
        <v>90</v>
      </c>
      <c r="D185" t="s">
        <v>91</v>
      </c>
      <c r="E185" t="s">
        <v>54</v>
      </c>
      <c r="F185" s="1">
        <v>346</v>
      </c>
      <c r="G185" s="2">
        <v>0.98735680696813599</v>
      </c>
    </row>
    <row r="186" spans="2:7" x14ac:dyDescent="0.3">
      <c r="B186" t="s">
        <v>192</v>
      </c>
      <c r="C186" t="s">
        <v>90</v>
      </c>
      <c r="D186" t="s">
        <v>91</v>
      </c>
      <c r="E186" t="s">
        <v>51</v>
      </c>
      <c r="F186" s="1">
        <v>328</v>
      </c>
      <c r="G186" s="2">
        <v>0.98858190809500501</v>
      </c>
    </row>
    <row r="187" spans="2:7" x14ac:dyDescent="0.3">
      <c r="B187" t="s">
        <v>192</v>
      </c>
      <c r="C187" t="s">
        <v>90</v>
      </c>
      <c r="D187" t="s">
        <v>91</v>
      </c>
      <c r="E187" t="s">
        <v>53</v>
      </c>
      <c r="F187" s="1">
        <v>308</v>
      </c>
      <c r="G187" s="2">
        <v>0.98973230793364997</v>
      </c>
    </row>
    <row r="188" spans="2:7" x14ac:dyDescent="0.3">
      <c r="B188" t="s">
        <v>192</v>
      </c>
      <c r="C188" t="s">
        <v>90</v>
      </c>
      <c r="D188" t="s">
        <v>91</v>
      </c>
      <c r="E188" t="s">
        <v>85</v>
      </c>
      <c r="F188" s="1">
        <v>286</v>
      </c>
      <c r="G188" s="2">
        <v>0.99080053635524901</v>
      </c>
    </row>
    <row r="189" spans="2:7" x14ac:dyDescent="0.3">
      <c r="B189" t="s">
        <v>192</v>
      </c>
      <c r="C189" t="s">
        <v>90</v>
      </c>
      <c r="D189" t="s">
        <v>91</v>
      </c>
      <c r="E189" t="s">
        <v>50</v>
      </c>
      <c r="F189" s="1">
        <v>279</v>
      </c>
      <c r="G189" s="2">
        <v>0.99184261932596995</v>
      </c>
    </row>
    <row r="190" spans="2:7" x14ac:dyDescent="0.3">
      <c r="B190" t="s">
        <v>192</v>
      </c>
      <c r="C190" t="s">
        <v>90</v>
      </c>
      <c r="D190" t="s">
        <v>91</v>
      </c>
      <c r="E190" t="s">
        <v>56</v>
      </c>
      <c r="F190" s="1">
        <v>275</v>
      </c>
      <c r="G190" s="2">
        <v>0.99286976203904598</v>
      </c>
    </row>
    <row r="191" spans="2:7" x14ac:dyDescent="0.3">
      <c r="B191" t="s">
        <v>192</v>
      </c>
      <c r="C191" t="s">
        <v>90</v>
      </c>
      <c r="D191" t="s">
        <v>91</v>
      </c>
      <c r="E191" t="s">
        <v>61</v>
      </c>
      <c r="F191" s="1">
        <v>264</v>
      </c>
      <c r="G191" s="2">
        <v>0.99385581904359899</v>
      </c>
    </row>
    <row r="192" spans="2:7" x14ac:dyDescent="0.3">
      <c r="B192" t="s">
        <v>192</v>
      </c>
      <c r="C192" t="s">
        <v>90</v>
      </c>
      <c r="D192" t="s">
        <v>91</v>
      </c>
      <c r="E192" t="s">
        <v>57</v>
      </c>
      <c r="F192" s="1">
        <v>232</v>
      </c>
      <c r="G192" s="2">
        <v>0.99472235398699405</v>
      </c>
    </row>
    <row r="193" spans="2:7" x14ac:dyDescent="0.3">
      <c r="B193" t="s">
        <v>192</v>
      </c>
      <c r="C193" t="s">
        <v>90</v>
      </c>
      <c r="D193" t="s">
        <v>91</v>
      </c>
      <c r="E193" t="s">
        <v>42</v>
      </c>
      <c r="F193" s="1">
        <v>200</v>
      </c>
      <c r="G193" s="2">
        <v>0.99546936686923204</v>
      </c>
    </row>
    <row r="194" spans="2:7" x14ac:dyDescent="0.3">
      <c r="B194" t="s">
        <v>192</v>
      </c>
      <c r="C194" t="s">
        <v>90</v>
      </c>
      <c r="D194" t="s">
        <v>91</v>
      </c>
      <c r="E194" t="s">
        <v>52</v>
      </c>
      <c r="F194" s="1">
        <v>192</v>
      </c>
      <c r="G194" s="2">
        <v>0.99618649923617897</v>
      </c>
    </row>
    <row r="195" spans="2:7" x14ac:dyDescent="0.3">
      <c r="B195" t="s">
        <v>192</v>
      </c>
      <c r="C195" t="s">
        <v>90</v>
      </c>
      <c r="D195" t="s">
        <v>91</v>
      </c>
      <c r="E195" t="s">
        <v>58</v>
      </c>
      <c r="F195" s="1">
        <v>167</v>
      </c>
      <c r="G195" s="2">
        <v>0.99681025499284703</v>
      </c>
    </row>
    <row r="196" spans="2:7" x14ac:dyDescent="0.3">
      <c r="B196" t="s">
        <v>192</v>
      </c>
      <c r="C196" t="s">
        <v>90</v>
      </c>
      <c r="D196" t="s">
        <v>91</v>
      </c>
      <c r="E196" t="s">
        <v>59</v>
      </c>
      <c r="F196" s="1">
        <v>150</v>
      </c>
      <c r="G196" s="2">
        <v>0.99737051465452498</v>
      </c>
    </row>
    <row r="197" spans="2:7" x14ac:dyDescent="0.3">
      <c r="B197" t="s">
        <v>192</v>
      </c>
      <c r="C197" t="s">
        <v>90</v>
      </c>
      <c r="D197" t="s">
        <v>91</v>
      </c>
      <c r="E197" t="s">
        <v>65</v>
      </c>
      <c r="F197" s="1">
        <v>115</v>
      </c>
      <c r="G197" s="2">
        <v>0.99780004706181202</v>
      </c>
    </row>
    <row r="198" spans="2:7" x14ac:dyDescent="0.3">
      <c r="B198" t="s">
        <v>192</v>
      </c>
      <c r="C198" t="s">
        <v>90</v>
      </c>
      <c r="D198" t="s">
        <v>91</v>
      </c>
      <c r="E198" t="s">
        <v>71</v>
      </c>
      <c r="F198" s="1">
        <v>104</v>
      </c>
      <c r="G198" s="2">
        <v>0.99818849376057495</v>
      </c>
    </row>
    <row r="199" spans="2:7" x14ac:dyDescent="0.3">
      <c r="B199" t="s">
        <v>192</v>
      </c>
      <c r="C199" t="s">
        <v>90</v>
      </c>
      <c r="D199" t="s">
        <v>91</v>
      </c>
      <c r="E199" t="s">
        <v>86</v>
      </c>
      <c r="F199" s="1">
        <v>72</v>
      </c>
      <c r="G199" s="2">
        <v>0.99845741839818003</v>
      </c>
    </row>
    <row r="200" spans="2:7" x14ac:dyDescent="0.3">
      <c r="B200" t="s">
        <v>192</v>
      </c>
      <c r="C200" t="s">
        <v>90</v>
      </c>
      <c r="D200" t="s">
        <v>91</v>
      </c>
      <c r="E200" t="s">
        <v>62</v>
      </c>
      <c r="F200" s="1">
        <v>71</v>
      </c>
      <c r="G200" s="2">
        <v>0.99872260797137402</v>
      </c>
    </row>
    <row r="201" spans="2:7" x14ac:dyDescent="0.3">
      <c r="B201" t="s">
        <v>192</v>
      </c>
      <c r="C201" t="s">
        <v>90</v>
      </c>
      <c r="D201" t="s">
        <v>91</v>
      </c>
      <c r="E201" t="s">
        <v>64</v>
      </c>
      <c r="F201" s="1">
        <v>50</v>
      </c>
      <c r="G201" s="2">
        <v>0.99890936119193396</v>
      </c>
    </row>
    <row r="202" spans="2:7" x14ac:dyDescent="0.3">
      <c r="B202" t="s">
        <v>192</v>
      </c>
      <c r="C202" t="s">
        <v>90</v>
      </c>
      <c r="D202" t="s">
        <v>91</v>
      </c>
      <c r="E202" t="s">
        <v>66</v>
      </c>
      <c r="F202" s="1">
        <v>48</v>
      </c>
      <c r="G202" s="2">
        <v>0.99908864428367095</v>
      </c>
    </row>
    <row r="203" spans="2:7" x14ac:dyDescent="0.3">
      <c r="B203" t="s">
        <v>192</v>
      </c>
      <c r="C203" t="s">
        <v>90</v>
      </c>
      <c r="D203" t="s">
        <v>91</v>
      </c>
      <c r="E203" t="s">
        <v>80</v>
      </c>
      <c r="F203" s="1">
        <v>46</v>
      </c>
      <c r="G203" s="2">
        <v>0.99926045724658497</v>
      </c>
    </row>
    <row r="204" spans="2:7" x14ac:dyDescent="0.3">
      <c r="B204" t="s">
        <v>192</v>
      </c>
      <c r="C204" t="s">
        <v>90</v>
      </c>
      <c r="D204" t="s">
        <v>91</v>
      </c>
      <c r="E204" t="s">
        <v>60</v>
      </c>
      <c r="F204" s="1">
        <v>44</v>
      </c>
      <c r="G204" s="2">
        <v>0.99942480008067702</v>
      </c>
    </row>
    <row r="205" spans="2:7" x14ac:dyDescent="0.3">
      <c r="B205" t="s">
        <v>192</v>
      </c>
      <c r="C205" t="s">
        <v>90</v>
      </c>
      <c r="D205" t="s">
        <v>91</v>
      </c>
      <c r="E205" t="s">
        <v>76</v>
      </c>
      <c r="F205" s="1">
        <v>27</v>
      </c>
      <c r="G205" s="2">
        <v>0.99952564681977896</v>
      </c>
    </row>
    <row r="206" spans="2:7" x14ac:dyDescent="0.3">
      <c r="B206" t="s">
        <v>192</v>
      </c>
      <c r="C206" t="s">
        <v>90</v>
      </c>
      <c r="D206" t="s">
        <v>91</v>
      </c>
      <c r="E206" t="s">
        <v>74</v>
      </c>
      <c r="F206" s="1">
        <v>23</v>
      </c>
      <c r="G206" s="2">
        <v>0.99961155330123697</v>
      </c>
    </row>
    <row r="207" spans="2:7" x14ac:dyDescent="0.3">
      <c r="B207" t="s">
        <v>192</v>
      </c>
      <c r="C207" t="s">
        <v>90</v>
      </c>
      <c r="D207" t="s">
        <v>91</v>
      </c>
      <c r="E207" t="s">
        <v>84</v>
      </c>
      <c r="F207" s="1">
        <v>22</v>
      </c>
      <c r="G207" s="2">
        <v>0.99969372471828299</v>
      </c>
    </row>
    <row r="208" spans="2:7" x14ac:dyDescent="0.3">
      <c r="B208" t="s">
        <v>192</v>
      </c>
      <c r="C208" t="s">
        <v>90</v>
      </c>
      <c r="D208" t="s">
        <v>91</v>
      </c>
      <c r="E208" t="s">
        <v>63</v>
      </c>
      <c r="F208" s="1">
        <v>16</v>
      </c>
      <c r="G208" s="2">
        <v>0.99975348574886203</v>
      </c>
    </row>
    <row r="209" spans="2:7" x14ac:dyDescent="0.3">
      <c r="B209" t="s">
        <v>192</v>
      </c>
      <c r="C209" t="s">
        <v>90</v>
      </c>
      <c r="D209" t="s">
        <v>91</v>
      </c>
      <c r="E209" t="s">
        <v>82</v>
      </c>
      <c r="F209" s="1">
        <v>15</v>
      </c>
      <c r="G209" s="2">
        <v>0.99980951171502996</v>
      </c>
    </row>
    <row r="210" spans="2:7" x14ac:dyDescent="0.3">
      <c r="B210" t="s">
        <v>192</v>
      </c>
      <c r="C210" t="s">
        <v>90</v>
      </c>
      <c r="D210" t="s">
        <v>91</v>
      </c>
      <c r="E210" t="s">
        <v>193</v>
      </c>
      <c r="F210" s="1">
        <v>12</v>
      </c>
      <c r="G210" s="2">
        <v>0.99985433248796396</v>
      </c>
    </row>
    <row r="211" spans="2:7" x14ac:dyDescent="0.3">
      <c r="B211" t="s">
        <v>192</v>
      </c>
      <c r="C211" t="s">
        <v>90</v>
      </c>
      <c r="D211" t="s">
        <v>91</v>
      </c>
      <c r="E211" t="s">
        <v>72</v>
      </c>
      <c r="F211" s="1">
        <v>11</v>
      </c>
      <c r="G211" s="2">
        <v>0.99989541819648697</v>
      </c>
    </row>
    <row r="212" spans="2:7" x14ac:dyDescent="0.3">
      <c r="B212" t="s">
        <v>192</v>
      </c>
      <c r="C212" t="s">
        <v>90</v>
      </c>
      <c r="D212" t="s">
        <v>91</v>
      </c>
      <c r="E212" t="s">
        <v>77</v>
      </c>
      <c r="F212" s="1">
        <v>9</v>
      </c>
      <c r="G212" s="2">
        <v>0.99996264935588797</v>
      </c>
    </row>
    <row r="213" spans="2:7" x14ac:dyDescent="0.3">
      <c r="B213" t="s">
        <v>192</v>
      </c>
      <c r="C213" t="s">
        <v>90</v>
      </c>
      <c r="D213" t="s">
        <v>91</v>
      </c>
      <c r="E213" t="s">
        <v>78</v>
      </c>
      <c r="F213" s="1">
        <v>9</v>
      </c>
      <c r="G213" s="2">
        <v>0.99996264935588797</v>
      </c>
    </row>
    <row r="214" spans="2:7" x14ac:dyDescent="0.3">
      <c r="B214" t="s">
        <v>192</v>
      </c>
      <c r="C214" t="s">
        <v>90</v>
      </c>
      <c r="D214" t="s">
        <v>91</v>
      </c>
      <c r="E214" t="s">
        <v>69</v>
      </c>
      <c r="F214" s="1">
        <v>6</v>
      </c>
      <c r="G214" s="2">
        <v>0.99998505974235496</v>
      </c>
    </row>
    <row r="215" spans="2:7" x14ac:dyDescent="0.3">
      <c r="B215" t="s">
        <v>192</v>
      </c>
      <c r="C215" t="s">
        <v>90</v>
      </c>
      <c r="D215" t="s">
        <v>91</v>
      </c>
      <c r="E215" t="s">
        <v>89</v>
      </c>
      <c r="F215" s="1">
        <v>3</v>
      </c>
      <c r="G215" s="2">
        <v>0.99999626493558902</v>
      </c>
    </row>
    <row r="216" spans="2:7" x14ac:dyDescent="0.3">
      <c r="B216" t="s">
        <v>192</v>
      </c>
      <c r="C216" t="s">
        <v>90</v>
      </c>
      <c r="D216" t="s">
        <v>91</v>
      </c>
      <c r="E216" t="s">
        <v>73</v>
      </c>
      <c r="F216" s="1">
        <v>0</v>
      </c>
      <c r="G216" s="2">
        <v>1</v>
      </c>
    </row>
    <row r="217" spans="2:7" x14ac:dyDescent="0.3">
      <c r="B217" t="s">
        <v>192</v>
      </c>
      <c r="C217" t="s">
        <v>90</v>
      </c>
      <c r="D217" t="s">
        <v>91</v>
      </c>
      <c r="E217" t="s">
        <v>83</v>
      </c>
      <c r="F217" s="1">
        <v>1</v>
      </c>
      <c r="G217" s="2">
        <v>1</v>
      </c>
    </row>
    <row r="218" spans="2:7" x14ac:dyDescent="0.3">
      <c r="B218" t="s">
        <v>192</v>
      </c>
      <c r="C218" t="s">
        <v>90</v>
      </c>
      <c r="D218" t="s">
        <v>91</v>
      </c>
      <c r="E218" t="s">
        <v>88</v>
      </c>
      <c r="F218" s="1">
        <v>0</v>
      </c>
      <c r="G218" s="2">
        <v>1</v>
      </c>
    </row>
    <row r="219" spans="2:7" x14ac:dyDescent="0.3">
      <c r="B219" t="s">
        <v>194</v>
      </c>
      <c r="C219" t="s">
        <v>90</v>
      </c>
      <c r="D219" t="s">
        <v>91</v>
      </c>
      <c r="E219" t="s">
        <v>17</v>
      </c>
      <c r="F219" s="1">
        <v>81184</v>
      </c>
      <c r="G219" s="2">
        <v>0.32309467903052502</v>
      </c>
    </row>
    <row r="220" spans="2:7" x14ac:dyDescent="0.3">
      <c r="B220" t="s">
        <v>194</v>
      </c>
      <c r="C220" t="s">
        <v>90</v>
      </c>
      <c r="D220" t="s">
        <v>91</v>
      </c>
      <c r="E220" t="s">
        <v>19</v>
      </c>
      <c r="F220" s="1">
        <v>22820</v>
      </c>
      <c r="G220" s="2">
        <v>0.41391332033271</v>
      </c>
    </row>
    <row r="221" spans="2:7" x14ac:dyDescent="0.3">
      <c r="B221" t="s">
        <v>194</v>
      </c>
      <c r="C221" t="s">
        <v>90</v>
      </c>
      <c r="D221" t="s">
        <v>91</v>
      </c>
      <c r="E221" t="s">
        <v>18</v>
      </c>
      <c r="F221" s="1">
        <v>22728</v>
      </c>
      <c r="G221" s="2">
        <v>0.50436582162613897</v>
      </c>
    </row>
    <row r="222" spans="2:7" x14ac:dyDescent="0.3">
      <c r="B222" t="s">
        <v>194</v>
      </c>
      <c r="C222" t="s">
        <v>90</v>
      </c>
      <c r="D222" t="s">
        <v>91</v>
      </c>
      <c r="E222" t="s">
        <v>20</v>
      </c>
      <c r="F222" s="1">
        <v>12770</v>
      </c>
      <c r="G222" s="2">
        <v>0.55518764675448695</v>
      </c>
    </row>
    <row r="223" spans="2:7" x14ac:dyDescent="0.3">
      <c r="B223" t="s">
        <v>194</v>
      </c>
      <c r="C223" t="s">
        <v>90</v>
      </c>
      <c r="D223" t="s">
        <v>91</v>
      </c>
      <c r="E223" t="s">
        <v>23</v>
      </c>
      <c r="F223" s="1">
        <v>10022</v>
      </c>
      <c r="G223" s="2">
        <v>0.59507302901261605</v>
      </c>
    </row>
    <row r="224" spans="2:7" x14ac:dyDescent="0.3">
      <c r="B224" t="s">
        <v>194</v>
      </c>
      <c r="C224" t="s">
        <v>90</v>
      </c>
      <c r="D224" t="s">
        <v>91</v>
      </c>
      <c r="E224" t="s">
        <v>25</v>
      </c>
      <c r="F224" s="1">
        <v>9215</v>
      </c>
      <c r="G224" s="2">
        <v>0.631746726628726</v>
      </c>
    </row>
    <row r="225" spans="2:7" x14ac:dyDescent="0.3">
      <c r="B225" t="s">
        <v>194</v>
      </c>
      <c r="C225" t="s">
        <v>90</v>
      </c>
      <c r="D225" t="s">
        <v>91</v>
      </c>
      <c r="E225" t="s">
        <v>21</v>
      </c>
      <c r="F225" s="1">
        <v>9067</v>
      </c>
      <c r="G225" s="2">
        <v>0.66783141640466404</v>
      </c>
    </row>
    <row r="226" spans="2:7" x14ac:dyDescent="0.3">
      <c r="B226" t="s">
        <v>194</v>
      </c>
      <c r="C226" t="s">
        <v>90</v>
      </c>
      <c r="D226" t="s">
        <v>91</v>
      </c>
      <c r="E226" t="s">
        <v>27</v>
      </c>
      <c r="F226" s="1">
        <v>8579</v>
      </c>
      <c r="G226" s="2">
        <v>0.70197397222111702</v>
      </c>
    </row>
    <row r="227" spans="2:7" x14ac:dyDescent="0.3">
      <c r="B227" t="s">
        <v>194</v>
      </c>
      <c r="C227" t="s">
        <v>90</v>
      </c>
      <c r="D227" t="s">
        <v>91</v>
      </c>
      <c r="E227" t="s">
        <v>67</v>
      </c>
      <c r="F227" s="1">
        <v>7446</v>
      </c>
      <c r="G227" s="2">
        <v>0.73160743423409103</v>
      </c>
    </row>
    <row r="228" spans="2:7" x14ac:dyDescent="0.3">
      <c r="B228" t="s">
        <v>194</v>
      </c>
      <c r="C228" t="s">
        <v>90</v>
      </c>
      <c r="D228" t="s">
        <v>91</v>
      </c>
      <c r="E228" t="s">
        <v>26</v>
      </c>
      <c r="F228" s="1">
        <v>6356</v>
      </c>
      <c r="G228" s="2">
        <v>0.75690293309985301</v>
      </c>
    </row>
    <row r="229" spans="2:7" x14ac:dyDescent="0.3">
      <c r="B229" t="s">
        <v>194</v>
      </c>
      <c r="C229" t="s">
        <v>90</v>
      </c>
      <c r="D229" t="s">
        <v>91</v>
      </c>
      <c r="E229" t="s">
        <v>29</v>
      </c>
      <c r="F229" s="1">
        <v>5147</v>
      </c>
      <c r="G229" s="2">
        <v>0.77738687467664302</v>
      </c>
    </row>
    <row r="230" spans="2:7" x14ac:dyDescent="0.3">
      <c r="B230" t="s">
        <v>194</v>
      </c>
      <c r="C230" t="s">
        <v>90</v>
      </c>
      <c r="D230" t="s">
        <v>91</v>
      </c>
      <c r="E230" t="s">
        <v>24</v>
      </c>
      <c r="F230" s="1">
        <v>4837</v>
      </c>
      <c r="G230" s="2">
        <v>0.796637083615235</v>
      </c>
    </row>
    <row r="231" spans="2:7" x14ac:dyDescent="0.3">
      <c r="B231" t="s">
        <v>194</v>
      </c>
      <c r="C231" t="s">
        <v>90</v>
      </c>
      <c r="D231" t="s">
        <v>91</v>
      </c>
      <c r="E231" t="s">
        <v>37</v>
      </c>
      <c r="F231" s="1">
        <v>4275</v>
      </c>
      <c r="G231" s="2">
        <v>0.81365065467425501</v>
      </c>
    </row>
    <row r="232" spans="2:7" x14ac:dyDescent="0.3">
      <c r="B232" t="s">
        <v>194</v>
      </c>
      <c r="C232" t="s">
        <v>90</v>
      </c>
      <c r="D232" t="s">
        <v>91</v>
      </c>
      <c r="E232" t="s">
        <v>75</v>
      </c>
      <c r="F232" s="1">
        <v>4082</v>
      </c>
      <c r="G232" s="2">
        <v>0.82989612767142895</v>
      </c>
    </row>
    <row r="233" spans="2:7" x14ac:dyDescent="0.3">
      <c r="B233" t="s">
        <v>194</v>
      </c>
      <c r="C233" t="s">
        <v>90</v>
      </c>
      <c r="D233" t="s">
        <v>91</v>
      </c>
      <c r="E233" t="s">
        <v>30</v>
      </c>
      <c r="F233" s="1">
        <v>3325</v>
      </c>
      <c r="G233" s="2">
        <v>0.84312890516177796</v>
      </c>
    </row>
    <row r="234" spans="2:7" x14ac:dyDescent="0.3">
      <c r="B234" t="s">
        <v>194</v>
      </c>
      <c r="C234" t="s">
        <v>90</v>
      </c>
      <c r="D234" t="s">
        <v>91</v>
      </c>
      <c r="E234" t="s">
        <v>36</v>
      </c>
      <c r="F234" s="1">
        <v>3267</v>
      </c>
      <c r="G234" s="2">
        <v>0.85613085525530297</v>
      </c>
    </row>
    <row r="235" spans="2:7" x14ac:dyDescent="0.3">
      <c r="B235" t="s">
        <v>194</v>
      </c>
      <c r="C235" t="s">
        <v>90</v>
      </c>
      <c r="D235" t="s">
        <v>91</v>
      </c>
      <c r="E235" t="s">
        <v>39</v>
      </c>
      <c r="F235" s="1">
        <v>3162</v>
      </c>
      <c r="G235" s="2">
        <v>0.86871492816492202</v>
      </c>
    </row>
    <row r="236" spans="2:7" x14ac:dyDescent="0.3">
      <c r="B236" t="s">
        <v>194</v>
      </c>
      <c r="C236" t="s">
        <v>90</v>
      </c>
      <c r="D236" t="s">
        <v>91</v>
      </c>
      <c r="E236" t="s">
        <v>31</v>
      </c>
      <c r="F236" s="1">
        <v>3079</v>
      </c>
      <c r="G236" s="2">
        <v>0.880968679110121</v>
      </c>
    </row>
    <row r="237" spans="2:7" x14ac:dyDescent="0.3">
      <c r="B237" t="s">
        <v>194</v>
      </c>
      <c r="C237" t="s">
        <v>90</v>
      </c>
      <c r="D237" t="s">
        <v>91</v>
      </c>
      <c r="E237" t="s">
        <v>22</v>
      </c>
      <c r="F237" s="1">
        <v>3016</v>
      </c>
      <c r="G237" s="2">
        <v>0.89297170374497503</v>
      </c>
    </row>
    <row r="238" spans="2:7" x14ac:dyDescent="0.3">
      <c r="B238" t="s">
        <v>194</v>
      </c>
      <c r="C238" t="s">
        <v>90</v>
      </c>
      <c r="D238" t="s">
        <v>91</v>
      </c>
      <c r="E238" t="s">
        <v>28</v>
      </c>
      <c r="F238" s="1">
        <v>2533</v>
      </c>
      <c r="G238" s="2">
        <v>0.90305249333386395</v>
      </c>
    </row>
    <row r="239" spans="2:7" x14ac:dyDescent="0.3">
      <c r="B239" t="s">
        <v>194</v>
      </c>
      <c r="C239" t="s">
        <v>90</v>
      </c>
      <c r="D239" t="s">
        <v>91</v>
      </c>
      <c r="E239" t="s">
        <v>33</v>
      </c>
      <c r="F239" s="1">
        <v>2475</v>
      </c>
      <c r="G239" s="2">
        <v>0.91290245552592797</v>
      </c>
    </row>
    <row r="240" spans="2:7" x14ac:dyDescent="0.3">
      <c r="B240" t="s">
        <v>194</v>
      </c>
      <c r="C240" t="s">
        <v>90</v>
      </c>
      <c r="D240" t="s">
        <v>91</v>
      </c>
      <c r="E240" t="s">
        <v>55</v>
      </c>
      <c r="F240" s="1">
        <v>2351</v>
      </c>
      <c r="G240" s="2">
        <v>0.92225892466271298</v>
      </c>
    </row>
    <row r="241" spans="2:7" x14ac:dyDescent="0.3">
      <c r="B241" t="s">
        <v>194</v>
      </c>
      <c r="C241" t="s">
        <v>90</v>
      </c>
      <c r="D241" t="s">
        <v>91</v>
      </c>
      <c r="E241" t="s">
        <v>70</v>
      </c>
      <c r="F241" s="1">
        <v>1931</v>
      </c>
      <c r="G241" s="2">
        <v>0.92994388506387504</v>
      </c>
    </row>
    <row r="242" spans="2:7" x14ac:dyDescent="0.3">
      <c r="B242" t="s">
        <v>194</v>
      </c>
      <c r="C242" t="s">
        <v>90</v>
      </c>
      <c r="D242" t="s">
        <v>91</v>
      </c>
      <c r="E242" t="s">
        <v>40</v>
      </c>
      <c r="F242" s="1">
        <v>1837</v>
      </c>
      <c r="G242" s="2">
        <v>0.93725474589087399</v>
      </c>
    </row>
    <row r="243" spans="2:7" x14ac:dyDescent="0.3">
      <c r="B243" t="s">
        <v>194</v>
      </c>
      <c r="C243" t="s">
        <v>90</v>
      </c>
      <c r="D243" t="s">
        <v>91</v>
      </c>
      <c r="E243" t="s">
        <v>34</v>
      </c>
      <c r="F243" s="1">
        <v>1698</v>
      </c>
      <c r="G243" s="2">
        <v>0.94401241692203597</v>
      </c>
    </row>
    <row r="244" spans="2:7" x14ac:dyDescent="0.3">
      <c r="B244" t="s">
        <v>194</v>
      </c>
      <c r="C244" t="s">
        <v>90</v>
      </c>
      <c r="D244" t="s">
        <v>91</v>
      </c>
      <c r="E244" t="s">
        <v>48</v>
      </c>
      <c r="F244" s="1">
        <v>1516</v>
      </c>
      <c r="G244" s="2">
        <v>0.95004576750109404</v>
      </c>
    </row>
    <row r="245" spans="2:7" x14ac:dyDescent="0.3">
      <c r="B245" t="s">
        <v>194</v>
      </c>
      <c r="C245" t="s">
        <v>90</v>
      </c>
      <c r="D245" t="s">
        <v>91</v>
      </c>
      <c r="E245" t="s">
        <v>49</v>
      </c>
      <c r="F245" s="1">
        <v>1280</v>
      </c>
      <c r="G245" s="2">
        <v>0.95513988936204097</v>
      </c>
    </row>
    <row r="246" spans="2:7" x14ac:dyDescent="0.3">
      <c r="B246" t="s">
        <v>194</v>
      </c>
      <c r="C246" t="s">
        <v>90</v>
      </c>
      <c r="D246" t="s">
        <v>91</v>
      </c>
      <c r="E246" t="s">
        <v>45</v>
      </c>
      <c r="F246" s="1">
        <v>1199</v>
      </c>
      <c r="G246" s="2">
        <v>0.95991164882397395</v>
      </c>
    </row>
    <row r="247" spans="2:7" x14ac:dyDescent="0.3">
      <c r="B247" t="s">
        <v>194</v>
      </c>
      <c r="C247" t="s">
        <v>90</v>
      </c>
      <c r="D247" t="s">
        <v>91</v>
      </c>
      <c r="E247" t="s">
        <v>44</v>
      </c>
      <c r="F247" s="1">
        <v>1037</v>
      </c>
      <c r="G247" s="2">
        <v>0.96403868348788202</v>
      </c>
    </row>
    <row r="248" spans="2:7" x14ac:dyDescent="0.3">
      <c r="B248" t="s">
        <v>194</v>
      </c>
      <c r="C248" t="s">
        <v>90</v>
      </c>
      <c r="D248" t="s">
        <v>91</v>
      </c>
      <c r="E248" t="s">
        <v>53</v>
      </c>
      <c r="F248" s="1">
        <v>881</v>
      </c>
      <c r="G248" s="2">
        <v>0.96754487204998596</v>
      </c>
    </row>
    <row r="249" spans="2:7" x14ac:dyDescent="0.3">
      <c r="B249" t="s">
        <v>194</v>
      </c>
      <c r="C249" t="s">
        <v>90</v>
      </c>
      <c r="D249" t="s">
        <v>91</v>
      </c>
      <c r="E249" t="s">
        <v>47</v>
      </c>
      <c r="F249" s="1">
        <v>785</v>
      </c>
      <c r="G249" s="2">
        <v>0.97066900147252</v>
      </c>
    </row>
    <row r="250" spans="2:7" x14ac:dyDescent="0.3">
      <c r="B250" t="s">
        <v>194</v>
      </c>
      <c r="C250" t="s">
        <v>90</v>
      </c>
      <c r="D250" t="s">
        <v>91</v>
      </c>
      <c r="E250" t="s">
        <v>41</v>
      </c>
      <c r="F250" s="1">
        <v>750</v>
      </c>
      <c r="G250" s="2">
        <v>0.97365383850041798</v>
      </c>
    </row>
    <row r="251" spans="2:7" x14ac:dyDescent="0.3">
      <c r="B251" t="s">
        <v>194</v>
      </c>
      <c r="C251" t="s">
        <v>90</v>
      </c>
      <c r="D251" t="s">
        <v>91</v>
      </c>
      <c r="E251" t="s">
        <v>85</v>
      </c>
      <c r="F251" s="1">
        <v>736</v>
      </c>
      <c r="G251" s="2">
        <v>0.97951207864050605</v>
      </c>
    </row>
    <row r="252" spans="2:7" x14ac:dyDescent="0.3">
      <c r="B252" t="s">
        <v>194</v>
      </c>
      <c r="C252" t="s">
        <v>90</v>
      </c>
      <c r="D252" t="s">
        <v>91</v>
      </c>
      <c r="E252" t="s">
        <v>32</v>
      </c>
      <c r="F252" s="1">
        <v>736</v>
      </c>
      <c r="G252" s="2">
        <v>0.97951207864050605</v>
      </c>
    </row>
    <row r="253" spans="2:7" x14ac:dyDescent="0.3">
      <c r="B253" t="s">
        <v>194</v>
      </c>
      <c r="C253" t="s">
        <v>90</v>
      </c>
      <c r="D253" t="s">
        <v>91</v>
      </c>
      <c r="E253" t="s">
        <v>35</v>
      </c>
      <c r="F253" s="1">
        <v>595</v>
      </c>
      <c r="G253" s="2">
        <v>0.98188004934930595</v>
      </c>
    </row>
    <row r="254" spans="2:7" x14ac:dyDescent="0.3">
      <c r="B254" t="s">
        <v>194</v>
      </c>
      <c r="C254" t="s">
        <v>90</v>
      </c>
      <c r="D254" t="s">
        <v>91</v>
      </c>
      <c r="E254" t="s">
        <v>43</v>
      </c>
      <c r="F254" s="1">
        <v>568</v>
      </c>
      <c r="G254" s="2">
        <v>0.98414056592510002</v>
      </c>
    </row>
    <row r="255" spans="2:7" x14ac:dyDescent="0.3">
      <c r="B255" t="s">
        <v>194</v>
      </c>
      <c r="C255" t="s">
        <v>90</v>
      </c>
      <c r="D255" t="s">
        <v>91</v>
      </c>
      <c r="E255" t="s">
        <v>50</v>
      </c>
      <c r="F255" s="1">
        <v>485</v>
      </c>
      <c r="G255" s="2">
        <v>0.98607076053647502</v>
      </c>
    </row>
    <row r="256" spans="2:7" x14ac:dyDescent="0.3">
      <c r="B256" t="s">
        <v>194</v>
      </c>
      <c r="C256" t="s">
        <v>90</v>
      </c>
      <c r="D256" t="s">
        <v>91</v>
      </c>
      <c r="E256" t="s">
        <v>81</v>
      </c>
      <c r="F256" s="1">
        <v>433</v>
      </c>
      <c r="G256" s="2">
        <v>0.98779400644724802</v>
      </c>
    </row>
    <row r="257" spans="2:7" x14ac:dyDescent="0.3">
      <c r="B257" t="s">
        <v>194</v>
      </c>
      <c r="C257" t="s">
        <v>90</v>
      </c>
      <c r="D257" t="s">
        <v>91</v>
      </c>
      <c r="E257" t="s">
        <v>42</v>
      </c>
      <c r="F257" s="1">
        <v>348</v>
      </c>
      <c r="G257" s="2">
        <v>0.98917897082819295</v>
      </c>
    </row>
    <row r="258" spans="2:7" x14ac:dyDescent="0.3">
      <c r="B258" t="s">
        <v>194</v>
      </c>
      <c r="C258" t="s">
        <v>90</v>
      </c>
      <c r="D258" t="s">
        <v>91</v>
      </c>
      <c r="E258" t="s">
        <v>54</v>
      </c>
      <c r="F258" s="1">
        <v>298</v>
      </c>
      <c r="G258" s="2">
        <v>0.99036494607394399</v>
      </c>
    </row>
    <row r="259" spans="2:7" x14ac:dyDescent="0.3">
      <c r="B259" t="s">
        <v>194</v>
      </c>
      <c r="C259" t="s">
        <v>90</v>
      </c>
      <c r="D259" t="s">
        <v>91</v>
      </c>
      <c r="E259" t="s">
        <v>56</v>
      </c>
      <c r="F259" s="1">
        <v>253</v>
      </c>
      <c r="G259" s="2">
        <v>0.99137183109802196</v>
      </c>
    </row>
    <row r="260" spans="2:7" x14ac:dyDescent="0.3">
      <c r="B260" t="s">
        <v>194</v>
      </c>
      <c r="C260" t="s">
        <v>90</v>
      </c>
      <c r="D260" t="s">
        <v>91</v>
      </c>
      <c r="E260" t="s">
        <v>57</v>
      </c>
      <c r="F260" s="1">
        <v>243</v>
      </c>
      <c r="G260" s="2">
        <v>0.99233891829506105</v>
      </c>
    </row>
    <row r="261" spans="2:7" x14ac:dyDescent="0.3">
      <c r="B261" t="s">
        <v>194</v>
      </c>
      <c r="C261" t="s">
        <v>90</v>
      </c>
      <c r="D261" t="s">
        <v>91</v>
      </c>
      <c r="E261" t="s">
        <v>51</v>
      </c>
      <c r="F261" s="1">
        <v>230</v>
      </c>
      <c r="G261" s="2">
        <v>0.99325426831694996</v>
      </c>
    </row>
    <row r="262" spans="2:7" x14ac:dyDescent="0.3">
      <c r="B262" t="s">
        <v>194</v>
      </c>
      <c r="C262" t="s">
        <v>90</v>
      </c>
      <c r="D262" t="s">
        <v>91</v>
      </c>
      <c r="E262" t="s">
        <v>46</v>
      </c>
      <c r="F262" s="1">
        <v>221</v>
      </c>
      <c r="G262" s="2">
        <v>0.99413380029450404</v>
      </c>
    </row>
    <row r="263" spans="2:7" x14ac:dyDescent="0.3">
      <c r="B263" t="s">
        <v>194</v>
      </c>
      <c r="C263" t="s">
        <v>90</v>
      </c>
      <c r="D263" t="s">
        <v>91</v>
      </c>
      <c r="E263" t="s">
        <v>80</v>
      </c>
      <c r="F263" s="1">
        <v>204</v>
      </c>
      <c r="G263" s="2">
        <v>0.99494567596609196</v>
      </c>
    </row>
    <row r="264" spans="2:7" x14ac:dyDescent="0.3">
      <c r="B264" t="s">
        <v>194</v>
      </c>
      <c r="C264" t="s">
        <v>90</v>
      </c>
      <c r="D264" t="s">
        <v>91</v>
      </c>
      <c r="E264" t="s">
        <v>61</v>
      </c>
      <c r="F264" s="1">
        <v>189</v>
      </c>
      <c r="G264" s="2">
        <v>0.99569785489712304</v>
      </c>
    </row>
    <row r="265" spans="2:7" x14ac:dyDescent="0.3">
      <c r="B265" t="s">
        <v>194</v>
      </c>
      <c r="C265" t="s">
        <v>90</v>
      </c>
      <c r="D265" t="s">
        <v>91</v>
      </c>
      <c r="E265" t="s">
        <v>62</v>
      </c>
      <c r="F265" s="1">
        <v>173</v>
      </c>
      <c r="G265" s="2">
        <v>0.996386357304891</v>
      </c>
    </row>
    <row r="266" spans="2:7" x14ac:dyDescent="0.3">
      <c r="B266" t="s">
        <v>194</v>
      </c>
      <c r="C266" t="s">
        <v>90</v>
      </c>
      <c r="D266" t="s">
        <v>91</v>
      </c>
      <c r="E266" t="s">
        <v>52</v>
      </c>
      <c r="F266" s="1">
        <v>170</v>
      </c>
      <c r="G266" s="2">
        <v>0.99706292036454802</v>
      </c>
    </row>
    <row r="267" spans="2:7" x14ac:dyDescent="0.3">
      <c r="B267" t="s">
        <v>194</v>
      </c>
      <c r="C267" t="s">
        <v>90</v>
      </c>
      <c r="D267" t="s">
        <v>91</v>
      </c>
      <c r="E267" t="s">
        <v>65</v>
      </c>
      <c r="F267" s="1">
        <v>156</v>
      </c>
      <c r="G267" s="2">
        <v>0.99768376646635104</v>
      </c>
    </row>
    <row r="268" spans="2:7" x14ac:dyDescent="0.3">
      <c r="B268" t="s">
        <v>194</v>
      </c>
      <c r="C268" t="s">
        <v>90</v>
      </c>
      <c r="D268" t="s">
        <v>91</v>
      </c>
      <c r="E268" t="s">
        <v>58</v>
      </c>
      <c r="F268" s="1">
        <v>101</v>
      </c>
      <c r="G268" s="2">
        <v>0.998085724519441</v>
      </c>
    </row>
    <row r="269" spans="2:7" x14ac:dyDescent="0.3">
      <c r="B269" t="s">
        <v>194</v>
      </c>
      <c r="C269" t="s">
        <v>90</v>
      </c>
      <c r="D269" t="s">
        <v>91</v>
      </c>
      <c r="E269" t="s">
        <v>66</v>
      </c>
      <c r="F269" s="1">
        <v>87</v>
      </c>
      <c r="G269" s="2">
        <v>0.99843196561467695</v>
      </c>
    </row>
    <row r="270" spans="2:7" x14ac:dyDescent="0.3">
      <c r="B270" t="s">
        <v>194</v>
      </c>
      <c r="C270" t="s">
        <v>90</v>
      </c>
      <c r="D270" t="s">
        <v>91</v>
      </c>
      <c r="E270" t="s">
        <v>38</v>
      </c>
      <c r="F270" s="1">
        <v>73</v>
      </c>
      <c r="G270" s="2">
        <v>0.99872248975206002</v>
      </c>
    </row>
    <row r="271" spans="2:7" x14ac:dyDescent="0.3">
      <c r="B271" t="s">
        <v>194</v>
      </c>
      <c r="C271" t="s">
        <v>90</v>
      </c>
      <c r="D271" t="s">
        <v>91</v>
      </c>
      <c r="E271" t="s">
        <v>64</v>
      </c>
      <c r="F271" s="1">
        <v>50</v>
      </c>
      <c r="G271" s="2">
        <v>0.99892147888725302</v>
      </c>
    </row>
    <row r="272" spans="2:7" x14ac:dyDescent="0.3">
      <c r="B272" t="s">
        <v>194</v>
      </c>
      <c r="C272" t="s">
        <v>90</v>
      </c>
      <c r="D272" t="s">
        <v>91</v>
      </c>
      <c r="E272" t="s">
        <v>86</v>
      </c>
      <c r="F272" s="1">
        <v>49</v>
      </c>
      <c r="G272" s="2">
        <v>0.99911648823974197</v>
      </c>
    </row>
    <row r="273" spans="2:7" x14ac:dyDescent="0.3">
      <c r="B273" t="s">
        <v>194</v>
      </c>
      <c r="C273" t="s">
        <v>90</v>
      </c>
      <c r="D273" t="s">
        <v>91</v>
      </c>
      <c r="E273" t="s">
        <v>82</v>
      </c>
      <c r="F273" s="1">
        <v>34</v>
      </c>
      <c r="G273" s="2">
        <v>0.99925180085167398</v>
      </c>
    </row>
    <row r="274" spans="2:7" x14ac:dyDescent="0.3">
      <c r="B274" t="s">
        <v>194</v>
      </c>
      <c r="C274" t="s">
        <v>90</v>
      </c>
      <c r="D274" t="s">
        <v>91</v>
      </c>
      <c r="E274" t="s">
        <v>84</v>
      </c>
      <c r="F274" s="1">
        <v>29</v>
      </c>
      <c r="G274" s="2">
        <v>0.99948262824849798</v>
      </c>
    </row>
    <row r="275" spans="2:7" x14ac:dyDescent="0.3">
      <c r="B275" t="s">
        <v>194</v>
      </c>
      <c r="C275" t="s">
        <v>90</v>
      </c>
      <c r="D275" t="s">
        <v>91</v>
      </c>
      <c r="E275" t="s">
        <v>59</v>
      </c>
      <c r="F275" s="1">
        <v>29</v>
      </c>
      <c r="G275" s="2">
        <v>0.99948262824849798</v>
      </c>
    </row>
    <row r="276" spans="2:7" x14ac:dyDescent="0.3">
      <c r="B276" t="s">
        <v>194</v>
      </c>
      <c r="C276" t="s">
        <v>90</v>
      </c>
      <c r="D276" t="s">
        <v>91</v>
      </c>
      <c r="E276" t="s">
        <v>77</v>
      </c>
      <c r="F276" s="1">
        <v>23</v>
      </c>
      <c r="G276" s="2">
        <v>0.99966569825287499</v>
      </c>
    </row>
    <row r="277" spans="2:7" x14ac:dyDescent="0.3">
      <c r="B277" t="s">
        <v>194</v>
      </c>
      <c r="C277" t="s">
        <v>90</v>
      </c>
      <c r="D277" t="s">
        <v>91</v>
      </c>
      <c r="E277" t="s">
        <v>71</v>
      </c>
      <c r="F277" s="1">
        <v>23</v>
      </c>
      <c r="G277" s="2">
        <v>0.99966569825287499</v>
      </c>
    </row>
    <row r="278" spans="2:7" x14ac:dyDescent="0.3">
      <c r="B278" t="s">
        <v>194</v>
      </c>
      <c r="C278" t="s">
        <v>90</v>
      </c>
      <c r="D278" t="s">
        <v>91</v>
      </c>
      <c r="E278" t="s">
        <v>68</v>
      </c>
      <c r="F278" s="1">
        <v>21</v>
      </c>
      <c r="G278" s="2">
        <v>0.99974927368965605</v>
      </c>
    </row>
    <row r="279" spans="2:7" x14ac:dyDescent="0.3">
      <c r="B279" t="s">
        <v>194</v>
      </c>
      <c r="C279" t="s">
        <v>90</v>
      </c>
      <c r="D279" t="s">
        <v>91</v>
      </c>
      <c r="E279" t="s">
        <v>78</v>
      </c>
      <c r="F279" s="1">
        <v>16</v>
      </c>
      <c r="G279" s="2">
        <v>0.99981295021291805</v>
      </c>
    </row>
    <row r="280" spans="2:7" x14ac:dyDescent="0.3">
      <c r="B280" t="s">
        <v>194</v>
      </c>
      <c r="C280" t="s">
        <v>90</v>
      </c>
      <c r="D280" t="s">
        <v>91</v>
      </c>
      <c r="E280" t="s">
        <v>79</v>
      </c>
      <c r="F280" s="1">
        <v>14</v>
      </c>
      <c r="G280" s="2">
        <v>0.99986866717077205</v>
      </c>
    </row>
    <row r="281" spans="2:7" x14ac:dyDescent="0.3">
      <c r="B281" t="s">
        <v>194</v>
      </c>
      <c r="C281" t="s">
        <v>90</v>
      </c>
      <c r="D281" t="s">
        <v>91</v>
      </c>
      <c r="E281" t="s">
        <v>76</v>
      </c>
      <c r="F281" s="1">
        <v>13</v>
      </c>
      <c r="G281" s="2">
        <v>0.99997214152107305</v>
      </c>
    </row>
    <row r="282" spans="2:7" x14ac:dyDescent="0.3">
      <c r="B282" t="s">
        <v>194</v>
      </c>
      <c r="C282" t="s">
        <v>90</v>
      </c>
      <c r="D282" t="s">
        <v>91</v>
      </c>
      <c r="E282" t="s">
        <v>60</v>
      </c>
      <c r="F282" s="1">
        <v>13</v>
      </c>
      <c r="G282" s="2">
        <v>0.99997214152107305</v>
      </c>
    </row>
    <row r="283" spans="2:7" x14ac:dyDescent="0.3">
      <c r="B283" t="s">
        <v>194</v>
      </c>
      <c r="C283" t="s">
        <v>90</v>
      </c>
      <c r="D283" t="s">
        <v>91</v>
      </c>
      <c r="E283" t="s">
        <v>195</v>
      </c>
      <c r="F283" s="1">
        <v>6</v>
      </c>
      <c r="G283" s="2">
        <v>0.99999602021729606</v>
      </c>
    </row>
    <row r="284" spans="2:7" x14ac:dyDescent="0.3">
      <c r="B284" t="s">
        <v>194</v>
      </c>
      <c r="C284" t="s">
        <v>90</v>
      </c>
      <c r="D284" t="s">
        <v>91</v>
      </c>
      <c r="E284" t="s">
        <v>73</v>
      </c>
      <c r="F284" s="1">
        <v>1</v>
      </c>
      <c r="G284" s="2">
        <v>1</v>
      </c>
    </row>
    <row r="285" spans="2:7" x14ac:dyDescent="0.3">
      <c r="B285" t="s">
        <v>194</v>
      </c>
      <c r="C285" t="s">
        <v>90</v>
      </c>
      <c r="D285" t="s">
        <v>91</v>
      </c>
      <c r="E285" t="s">
        <v>83</v>
      </c>
      <c r="F285" s="1">
        <v>0</v>
      </c>
      <c r="G285" s="2">
        <v>1</v>
      </c>
    </row>
    <row r="286" spans="2:7" x14ac:dyDescent="0.3">
      <c r="B286" t="s">
        <v>194</v>
      </c>
      <c r="C286" t="s">
        <v>90</v>
      </c>
      <c r="D286" t="s">
        <v>91</v>
      </c>
      <c r="E286" t="s">
        <v>69</v>
      </c>
      <c r="F286" s="1">
        <v>0</v>
      </c>
      <c r="G286" s="2">
        <v>1</v>
      </c>
    </row>
    <row r="287" spans="2:7" x14ac:dyDescent="0.3">
      <c r="B287" t="s">
        <v>194</v>
      </c>
      <c r="C287" t="s">
        <v>90</v>
      </c>
      <c r="D287" t="s">
        <v>91</v>
      </c>
      <c r="E287" t="s">
        <v>72</v>
      </c>
      <c r="F287" s="1">
        <v>0</v>
      </c>
      <c r="G287" s="2">
        <v>1</v>
      </c>
    </row>
    <row r="288" spans="2:7" x14ac:dyDescent="0.3">
      <c r="B288" t="s">
        <v>194</v>
      </c>
      <c r="C288" t="s">
        <v>90</v>
      </c>
      <c r="D288" t="s">
        <v>91</v>
      </c>
      <c r="E288" t="s">
        <v>88</v>
      </c>
      <c r="F288" s="1">
        <v>0</v>
      </c>
      <c r="G288" s="2">
        <v>1</v>
      </c>
    </row>
    <row r="289" spans="2:7" x14ac:dyDescent="0.3">
      <c r="B289" t="s">
        <v>194</v>
      </c>
      <c r="C289" t="s">
        <v>90</v>
      </c>
      <c r="D289" t="s">
        <v>91</v>
      </c>
      <c r="E289" t="s">
        <v>63</v>
      </c>
      <c r="F289" s="1">
        <v>0</v>
      </c>
      <c r="G289" s="2">
        <v>1</v>
      </c>
    </row>
    <row r="290" spans="2:7" x14ac:dyDescent="0.3">
      <c r="B290" t="s">
        <v>194</v>
      </c>
      <c r="C290" t="s">
        <v>90</v>
      </c>
      <c r="D290" t="s">
        <v>91</v>
      </c>
      <c r="E290" t="s">
        <v>89</v>
      </c>
      <c r="F290" s="1">
        <v>0</v>
      </c>
      <c r="G290" s="2">
        <v>1</v>
      </c>
    </row>
    <row r="291" spans="2:7" x14ac:dyDescent="0.3">
      <c r="B291" t="s">
        <v>202</v>
      </c>
      <c r="C291" t="s">
        <v>90</v>
      </c>
      <c r="D291" t="s">
        <v>91</v>
      </c>
      <c r="E291" t="s">
        <v>17</v>
      </c>
      <c r="F291" s="1">
        <v>103050</v>
      </c>
      <c r="G291" s="2">
        <v>0.354763749031758</v>
      </c>
    </row>
    <row r="292" spans="2:7" x14ac:dyDescent="0.3">
      <c r="B292" t="s">
        <v>202</v>
      </c>
      <c r="C292" t="s">
        <v>90</v>
      </c>
      <c r="D292" t="s">
        <v>91</v>
      </c>
      <c r="E292" t="s">
        <v>18</v>
      </c>
      <c r="F292" s="1">
        <v>27359</v>
      </c>
      <c r="G292" s="2">
        <v>0.44895085635596899</v>
      </c>
    </row>
    <row r="293" spans="2:7" x14ac:dyDescent="0.3">
      <c r="B293" t="s">
        <v>202</v>
      </c>
      <c r="C293" t="s">
        <v>90</v>
      </c>
      <c r="D293" t="s">
        <v>91</v>
      </c>
      <c r="E293" t="s">
        <v>19</v>
      </c>
      <c r="F293" s="1">
        <v>21185</v>
      </c>
      <c r="G293" s="2">
        <v>0.52188312247181301</v>
      </c>
    </row>
    <row r="294" spans="2:7" x14ac:dyDescent="0.3">
      <c r="B294" t="s">
        <v>202</v>
      </c>
      <c r="C294" t="s">
        <v>90</v>
      </c>
      <c r="D294" t="s">
        <v>91</v>
      </c>
      <c r="E294" t="s">
        <v>21</v>
      </c>
      <c r="F294" s="1">
        <v>16166</v>
      </c>
      <c r="G294" s="2">
        <v>0.57753679318357898</v>
      </c>
    </row>
    <row r="295" spans="2:7" x14ac:dyDescent="0.3">
      <c r="B295" t="s">
        <v>202</v>
      </c>
      <c r="C295" t="s">
        <v>90</v>
      </c>
      <c r="D295" t="s">
        <v>91</v>
      </c>
      <c r="E295" t="s">
        <v>23</v>
      </c>
      <c r="F295" s="1">
        <v>13846</v>
      </c>
      <c r="G295" s="2">
        <v>0.625203545916172</v>
      </c>
    </row>
    <row r="296" spans="2:7" x14ac:dyDescent="0.3">
      <c r="B296" t="s">
        <v>202</v>
      </c>
      <c r="C296" t="s">
        <v>90</v>
      </c>
      <c r="D296" t="s">
        <v>91</v>
      </c>
      <c r="E296" t="s">
        <v>25</v>
      </c>
      <c r="F296" s="1">
        <v>11496</v>
      </c>
      <c r="G296" s="2">
        <v>0.66478010155779299</v>
      </c>
    </row>
    <row r="297" spans="2:7" x14ac:dyDescent="0.3">
      <c r="B297" t="s">
        <v>202</v>
      </c>
      <c r="C297" t="s">
        <v>90</v>
      </c>
      <c r="D297" t="s">
        <v>91</v>
      </c>
      <c r="E297" t="s">
        <v>20</v>
      </c>
      <c r="F297" s="1">
        <v>10269</v>
      </c>
      <c r="G297" s="2">
        <v>0.70013254152680904</v>
      </c>
    </row>
    <row r="298" spans="2:7" x14ac:dyDescent="0.3">
      <c r="B298" t="s">
        <v>202</v>
      </c>
      <c r="C298" t="s">
        <v>90</v>
      </c>
      <c r="D298" t="s">
        <v>91</v>
      </c>
      <c r="E298" t="s">
        <v>24</v>
      </c>
      <c r="F298" s="1">
        <v>9796</v>
      </c>
      <c r="G298" s="2">
        <v>0.73385661416645198</v>
      </c>
    </row>
    <row r="299" spans="2:7" x14ac:dyDescent="0.3">
      <c r="B299" t="s">
        <v>202</v>
      </c>
      <c r="C299" t="s">
        <v>90</v>
      </c>
      <c r="D299" t="s">
        <v>91</v>
      </c>
      <c r="E299" t="s">
        <v>28</v>
      </c>
      <c r="F299" s="1">
        <v>7567</v>
      </c>
      <c r="G299" s="2">
        <v>0.75990704879937998</v>
      </c>
    </row>
    <row r="300" spans="2:7" x14ac:dyDescent="0.3">
      <c r="B300" t="s">
        <v>202</v>
      </c>
      <c r="C300" t="s">
        <v>90</v>
      </c>
      <c r="D300" t="s">
        <v>91</v>
      </c>
      <c r="E300" t="s">
        <v>26</v>
      </c>
      <c r="F300" s="1">
        <v>6605</v>
      </c>
      <c r="G300" s="2">
        <v>0.78264566658060097</v>
      </c>
    </row>
    <row r="301" spans="2:7" x14ac:dyDescent="0.3">
      <c r="B301" t="s">
        <v>202</v>
      </c>
      <c r="C301" t="s">
        <v>90</v>
      </c>
      <c r="D301" t="s">
        <v>91</v>
      </c>
      <c r="E301" t="s">
        <v>27</v>
      </c>
      <c r="F301" s="1">
        <v>5931</v>
      </c>
      <c r="G301" s="2">
        <v>0.80306394698338901</v>
      </c>
    </row>
    <row r="302" spans="2:7" x14ac:dyDescent="0.3">
      <c r="B302" t="s">
        <v>202</v>
      </c>
      <c r="C302" t="s">
        <v>90</v>
      </c>
      <c r="D302" t="s">
        <v>91</v>
      </c>
      <c r="E302" t="s">
        <v>22</v>
      </c>
      <c r="F302" s="1">
        <v>5022</v>
      </c>
      <c r="G302" s="2">
        <v>0.82035287029864901</v>
      </c>
    </row>
    <row r="303" spans="2:7" x14ac:dyDescent="0.3">
      <c r="B303" t="s">
        <v>202</v>
      </c>
      <c r="C303" t="s">
        <v>90</v>
      </c>
      <c r="D303" t="s">
        <v>91</v>
      </c>
      <c r="E303" t="s">
        <v>29</v>
      </c>
      <c r="F303" s="1">
        <v>4984</v>
      </c>
      <c r="G303" s="2">
        <v>0.83751097340562897</v>
      </c>
    </row>
    <row r="304" spans="2:7" x14ac:dyDescent="0.3">
      <c r="B304" t="s">
        <v>202</v>
      </c>
      <c r="C304" t="s">
        <v>90</v>
      </c>
      <c r="D304" t="s">
        <v>91</v>
      </c>
      <c r="E304" t="s">
        <v>35</v>
      </c>
      <c r="F304" s="1">
        <v>3761</v>
      </c>
      <c r="G304" s="2">
        <v>0.85045873138824302</v>
      </c>
    </row>
    <row r="305" spans="2:7" x14ac:dyDescent="0.3">
      <c r="B305" t="s">
        <v>202</v>
      </c>
      <c r="C305" t="s">
        <v>90</v>
      </c>
      <c r="D305" t="s">
        <v>91</v>
      </c>
      <c r="E305" t="s">
        <v>75</v>
      </c>
      <c r="F305" s="1">
        <v>3693</v>
      </c>
      <c r="G305" s="2">
        <v>0.86317239005077895</v>
      </c>
    </row>
    <row r="306" spans="2:7" x14ac:dyDescent="0.3">
      <c r="B306" t="s">
        <v>202</v>
      </c>
      <c r="C306" t="s">
        <v>90</v>
      </c>
      <c r="D306" t="s">
        <v>91</v>
      </c>
      <c r="E306" t="s">
        <v>37</v>
      </c>
      <c r="F306" s="1">
        <v>3522</v>
      </c>
      <c r="G306" s="2">
        <v>0.875297357776056</v>
      </c>
    </row>
    <row r="307" spans="2:7" x14ac:dyDescent="0.3">
      <c r="B307" t="s">
        <v>202</v>
      </c>
      <c r="C307" t="s">
        <v>90</v>
      </c>
      <c r="D307" t="s">
        <v>91</v>
      </c>
      <c r="E307" t="s">
        <v>30</v>
      </c>
      <c r="F307" s="1">
        <v>3498</v>
      </c>
      <c r="G307" s="2">
        <v>0.88733970221189395</v>
      </c>
    </row>
    <row r="308" spans="2:7" x14ac:dyDescent="0.3">
      <c r="B308" t="s">
        <v>202</v>
      </c>
      <c r="C308" t="s">
        <v>90</v>
      </c>
      <c r="D308" t="s">
        <v>91</v>
      </c>
      <c r="E308" t="s">
        <v>67</v>
      </c>
      <c r="F308" s="1">
        <v>3248</v>
      </c>
      <c r="G308" s="2">
        <v>0.89852138738273502</v>
      </c>
    </row>
    <row r="309" spans="2:7" x14ac:dyDescent="0.3">
      <c r="B309" t="s">
        <v>202</v>
      </c>
      <c r="C309" t="s">
        <v>90</v>
      </c>
      <c r="D309" t="s">
        <v>91</v>
      </c>
      <c r="E309" t="s">
        <v>36</v>
      </c>
      <c r="F309" s="1">
        <v>3109</v>
      </c>
      <c r="G309" s="2">
        <v>0.90922454600223801</v>
      </c>
    </row>
    <row r="310" spans="2:7" x14ac:dyDescent="0.3">
      <c r="B310" t="s">
        <v>202</v>
      </c>
      <c r="C310" t="s">
        <v>90</v>
      </c>
      <c r="D310" t="s">
        <v>91</v>
      </c>
      <c r="E310" t="s">
        <v>31</v>
      </c>
      <c r="F310" s="1">
        <v>2700</v>
      </c>
      <c r="G310" s="2">
        <v>0.91851966606420499</v>
      </c>
    </row>
    <row r="311" spans="2:7" x14ac:dyDescent="0.3">
      <c r="B311" t="s">
        <v>202</v>
      </c>
      <c r="C311" t="s">
        <v>90</v>
      </c>
      <c r="D311" t="s">
        <v>91</v>
      </c>
      <c r="E311" t="s">
        <v>39</v>
      </c>
      <c r="F311" s="1">
        <v>2346</v>
      </c>
      <c r="G311" s="2">
        <v>0.92659609260693698</v>
      </c>
    </row>
    <row r="312" spans="2:7" x14ac:dyDescent="0.3">
      <c r="B312" t="s">
        <v>202</v>
      </c>
      <c r="C312" t="s">
        <v>90</v>
      </c>
      <c r="D312" t="s">
        <v>91</v>
      </c>
      <c r="E312" t="s">
        <v>33</v>
      </c>
      <c r="F312" s="1">
        <v>2305</v>
      </c>
      <c r="G312" s="2">
        <v>0.934531371030209</v>
      </c>
    </row>
    <row r="313" spans="2:7" x14ac:dyDescent="0.3">
      <c r="B313" t="s">
        <v>202</v>
      </c>
      <c r="C313" t="s">
        <v>90</v>
      </c>
      <c r="D313" t="s">
        <v>91</v>
      </c>
      <c r="E313" t="s">
        <v>34</v>
      </c>
      <c r="F313" s="1">
        <v>2000</v>
      </c>
      <c r="G313" s="2">
        <v>0.94141664515018497</v>
      </c>
    </row>
    <row r="314" spans="2:7" x14ac:dyDescent="0.3">
      <c r="B314" t="s">
        <v>202</v>
      </c>
      <c r="C314" t="s">
        <v>90</v>
      </c>
      <c r="D314" t="s">
        <v>91</v>
      </c>
      <c r="E314" t="s">
        <v>32</v>
      </c>
      <c r="F314" s="1">
        <v>1903</v>
      </c>
      <c r="G314" s="2">
        <v>0.94796798347534195</v>
      </c>
    </row>
    <row r="315" spans="2:7" x14ac:dyDescent="0.3">
      <c r="B315" t="s">
        <v>202</v>
      </c>
      <c r="C315" t="s">
        <v>90</v>
      </c>
      <c r="D315" t="s">
        <v>91</v>
      </c>
      <c r="E315" t="s">
        <v>40</v>
      </c>
      <c r="F315" s="1">
        <v>1741</v>
      </c>
      <c r="G315" s="2">
        <v>0.95396161459678097</v>
      </c>
    </row>
    <row r="316" spans="2:7" x14ac:dyDescent="0.3">
      <c r="B316" t="s">
        <v>202</v>
      </c>
      <c r="C316" t="s">
        <v>90</v>
      </c>
      <c r="D316" t="s">
        <v>91</v>
      </c>
      <c r="E316" t="s">
        <v>70</v>
      </c>
      <c r="F316" s="1">
        <v>1335</v>
      </c>
      <c r="G316" s="2">
        <v>0.95855753507186503</v>
      </c>
    </row>
    <row r="317" spans="2:7" x14ac:dyDescent="0.3">
      <c r="B317" t="s">
        <v>202</v>
      </c>
      <c r="C317" t="s">
        <v>90</v>
      </c>
      <c r="D317" t="s">
        <v>91</v>
      </c>
      <c r="E317" t="s">
        <v>44</v>
      </c>
      <c r="F317" s="1">
        <v>1195</v>
      </c>
      <c r="G317" s="2">
        <v>0.96267148635855104</v>
      </c>
    </row>
    <row r="318" spans="2:7" x14ac:dyDescent="0.3">
      <c r="B318" t="s">
        <v>202</v>
      </c>
      <c r="C318" t="s">
        <v>90</v>
      </c>
      <c r="D318" t="s">
        <v>91</v>
      </c>
      <c r="E318" t="s">
        <v>49</v>
      </c>
      <c r="F318" s="1">
        <v>1172</v>
      </c>
      <c r="G318" s="2">
        <v>0.96670625699285695</v>
      </c>
    </row>
    <row r="319" spans="2:7" x14ac:dyDescent="0.3">
      <c r="B319" t="s">
        <v>202</v>
      </c>
      <c r="C319" t="s">
        <v>90</v>
      </c>
      <c r="D319" t="s">
        <v>91</v>
      </c>
      <c r="E319" t="s">
        <v>48</v>
      </c>
      <c r="F319" s="1">
        <v>1091</v>
      </c>
      <c r="G319" s="2">
        <v>0.97046217402530299</v>
      </c>
    </row>
    <row r="320" spans="2:7" x14ac:dyDescent="0.3">
      <c r="B320" t="s">
        <v>202</v>
      </c>
      <c r="C320" t="s">
        <v>90</v>
      </c>
      <c r="D320" t="s">
        <v>91</v>
      </c>
      <c r="E320" t="s">
        <v>45</v>
      </c>
      <c r="F320" s="1">
        <v>994</v>
      </c>
      <c r="G320" s="2">
        <v>0.97388415526293104</v>
      </c>
    </row>
    <row r="321" spans="2:7" x14ac:dyDescent="0.3">
      <c r="B321" t="s">
        <v>202</v>
      </c>
      <c r="C321" t="s">
        <v>90</v>
      </c>
      <c r="D321" t="s">
        <v>91</v>
      </c>
      <c r="E321" t="s">
        <v>80</v>
      </c>
      <c r="F321" s="1">
        <v>864</v>
      </c>
      <c r="G321" s="2">
        <v>0.97685859368276096</v>
      </c>
    </row>
    <row r="322" spans="2:7" x14ac:dyDescent="0.3">
      <c r="B322" t="s">
        <v>202</v>
      </c>
      <c r="C322" t="s">
        <v>90</v>
      </c>
      <c r="D322" t="s">
        <v>91</v>
      </c>
      <c r="E322" t="s">
        <v>47</v>
      </c>
      <c r="F322" s="1">
        <v>710</v>
      </c>
      <c r="G322" s="2">
        <v>0.97930286599535199</v>
      </c>
    </row>
    <row r="323" spans="2:7" x14ac:dyDescent="0.3">
      <c r="B323" t="s">
        <v>202</v>
      </c>
      <c r="C323" t="s">
        <v>90</v>
      </c>
      <c r="D323" t="s">
        <v>91</v>
      </c>
      <c r="E323" t="s">
        <v>50</v>
      </c>
      <c r="F323" s="1">
        <v>644</v>
      </c>
      <c r="G323" s="2">
        <v>0.98151992426198498</v>
      </c>
    </row>
    <row r="324" spans="2:7" x14ac:dyDescent="0.3">
      <c r="B324" t="s">
        <v>202</v>
      </c>
      <c r="C324" t="s">
        <v>90</v>
      </c>
      <c r="D324" t="s">
        <v>91</v>
      </c>
      <c r="E324" t="s">
        <v>43</v>
      </c>
      <c r="F324" s="1">
        <v>630</v>
      </c>
      <c r="G324" s="2">
        <v>0.98368878560977702</v>
      </c>
    </row>
    <row r="325" spans="2:7" x14ac:dyDescent="0.3">
      <c r="B325" t="s">
        <v>202</v>
      </c>
      <c r="C325" t="s">
        <v>90</v>
      </c>
      <c r="D325" t="s">
        <v>91</v>
      </c>
      <c r="E325" t="s">
        <v>41</v>
      </c>
      <c r="F325" s="1">
        <v>628</v>
      </c>
      <c r="G325" s="2">
        <v>0.98585076168344998</v>
      </c>
    </row>
    <row r="326" spans="2:7" x14ac:dyDescent="0.3">
      <c r="B326" t="s">
        <v>202</v>
      </c>
      <c r="C326" t="s">
        <v>90</v>
      </c>
      <c r="D326" t="s">
        <v>91</v>
      </c>
      <c r="E326" t="s">
        <v>81</v>
      </c>
      <c r="F326" s="1">
        <v>423</v>
      </c>
      <c r="G326" s="2">
        <v>0.98730699715982395</v>
      </c>
    </row>
    <row r="327" spans="2:7" x14ac:dyDescent="0.3">
      <c r="B327" t="s">
        <v>202</v>
      </c>
      <c r="C327" t="s">
        <v>90</v>
      </c>
      <c r="D327" t="s">
        <v>91</v>
      </c>
      <c r="E327" t="s">
        <v>57</v>
      </c>
      <c r="F327" s="1">
        <v>365</v>
      </c>
      <c r="G327" s="2">
        <v>0.98856355968672005</v>
      </c>
    </row>
    <row r="328" spans="2:7" x14ac:dyDescent="0.3">
      <c r="B328" t="s">
        <v>202</v>
      </c>
      <c r="C328" t="s">
        <v>90</v>
      </c>
      <c r="D328" t="s">
        <v>91</v>
      </c>
      <c r="E328" t="s">
        <v>85</v>
      </c>
      <c r="F328" s="1">
        <v>364</v>
      </c>
      <c r="G328" s="2">
        <v>0.98981667957655595</v>
      </c>
    </row>
    <row r="329" spans="2:7" x14ac:dyDescent="0.3">
      <c r="B329" t="s">
        <v>202</v>
      </c>
      <c r="C329" t="s">
        <v>90</v>
      </c>
      <c r="D329" t="s">
        <v>91</v>
      </c>
      <c r="E329" t="s">
        <v>54</v>
      </c>
      <c r="F329" s="1">
        <v>328</v>
      </c>
      <c r="G329" s="2">
        <v>0.99094586453223199</v>
      </c>
    </row>
    <row r="330" spans="2:7" x14ac:dyDescent="0.3">
      <c r="B330" t="s">
        <v>202</v>
      </c>
      <c r="C330" t="s">
        <v>90</v>
      </c>
      <c r="D330" t="s">
        <v>91</v>
      </c>
      <c r="E330" t="s">
        <v>51</v>
      </c>
      <c r="F330" s="1">
        <v>310</v>
      </c>
      <c r="G330" s="2">
        <v>0.993080299509424</v>
      </c>
    </row>
    <row r="331" spans="2:7" x14ac:dyDescent="0.3">
      <c r="B331" t="s">
        <v>202</v>
      </c>
      <c r="C331" t="s">
        <v>90</v>
      </c>
      <c r="D331" t="s">
        <v>91</v>
      </c>
      <c r="E331" t="s">
        <v>55</v>
      </c>
      <c r="F331" s="1">
        <v>310</v>
      </c>
      <c r="G331" s="2">
        <v>0.993080299509424</v>
      </c>
    </row>
    <row r="332" spans="2:7" x14ac:dyDescent="0.3">
      <c r="B332" t="s">
        <v>202</v>
      </c>
      <c r="C332" t="s">
        <v>90</v>
      </c>
      <c r="D332" t="s">
        <v>91</v>
      </c>
      <c r="E332" t="s">
        <v>61</v>
      </c>
      <c r="F332" s="1">
        <v>212</v>
      </c>
      <c r="G332" s="2">
        <v>0.99381013856614198</v>
      </c>
    </row>
    <row r="333" spans="2:7" x14ac:dyDescent="0.3">
      <c r="B333" t="s">
        <v>202</v>
      </c>
      <c r="C333" t="s">
        <v>90</v>
      </c>
      <c r="D333" t="s">
        <v>91</v>
      </c>
      <c r="E333" t="s">
        <v>58</v>
      </c>
      <c r="F333" s="1">
        <v>202</v>
      </c>
      <c r="G333" s="2">
        <v>0.99450555125225903</v>
      </c>
    </row>
    <row r="334" spans="2:7" x14ac:dyDescent="0.3">
      <c r="B334" t="s">
        <v>202</v>
      </c>
      <c r="C334" t="s">
        <v>90</v>
      </c>
      <c r="D334" t="s">
        <v>91</v>
      </c>
      <c r="E334" t="s">
        <v>62</v>
      </c>
      <c r="F334" s="1">
        <v>181</v>
      </c>
      <c r="G334" s="2">
        <v>0.99512866856011695</v>
      </c>
    </row>
    <row r="335" spans="2:7" x14ac:dyDescent="0.3">
      <c r="B335" t="s">
        <v>202</v>
      </c>
      <c r="C335" t="s">
        <v>90</v>
      </c>
      <c r="D335" t="s">
        <v>91</v>
      </c>
      <c r="E335" t="s">
        <v>53</v>
      </c>
      <c r="F335" s="1">
        <v>155</v>
      </c>
      <c r="G335" s="2">
        <v>0.99566227730441503</v>
      </c>
    </row>
    <row r="336" spans="2:7" x14ac:dyDescent="0.3">
      <c r="B336" t="s">
        <v>202</v>
      </c>
      <c r="C336" t="s">
        <v>90</v>
      </c>
      <c r="D336" t="s">
        <v>91</v>
      </c>
      <c r="E336" t="s">
        <v>42</v>
      </c>
      <c r="F336" s="1">
        <v>126</v>
      </c>
      <c r="G336" s="2">
        <v>0.99609604957397402</v>
      </c>
    </row>
    <row r="337" spans="2:7" x14ac:dyDescent="0.3">
      <c r="B337" t="s">
        <v>202</v>
      </c>
      <c r="C337" t="s">
        <v>90</v>
      </c>
      <c r="D337" t="s">
        <v>91</v>
      </c>
      <c r="E337" t="s">
        <v>64</v>
      </c>
      <c r="F337" s="1">
        <v>120</v>
      </c>
      <c r="G337" s="2">
        <v>0.996922282468371</v>
      </c>
    </row>
    <row r="338" spans="2:7" x14ac:dyDescent="0.3">
      <c r="B338" t="s">
        <v>202</v>
      </c>
      <c r="C338" t="s">
        <v>90</v>
      </c>
      <c r="D338" t="s">
        <v>91</v>
      </c>
      <c r="E338" t="s">
        <v>46</v>
      </c>
      <c r="F338" s="1">
        <v>120</v>
      </c>
      <c r="G338" s="2">
        <v>0.996922282468371</v>
      </c>
    </row>
    <row r="339" spans="2:7" x14ac:dyDescent="0.3">
      <c r="B339" t="s">
        <v>202</v>
      </c>
      <c r="C339" t="s">
        <v>90</v>
      </c>
      <c r="D339" t="s">
        <v>91</v>
      </c>
      <c r="E339" t="s">
        <v>65</v>
      </c>
      <c r="F339" s="1">
        <v>111</v>
      </c>
      <c r="G339" s="2">
        <v>0.997686547895688</v>
      </c>
    </row>
    <row r="340" spans="2:7" x14ac:dyDescent="0.3">
      <c r="B340" t="s">
        <v>202</v>
      </c>
      <c r="C340" t="s">
        <v>90</v>
      </c>
      <c r="D340" t="s">
        <v>91</v>
      </c>
      <c r="E340" t="s">
        <v>38</v>
      </c>
      <c r="F340" s="1">
        <v>111</v>
      </c>
      <c r="G340" s="2">
        <v>0.997686547895688</v>
      </c>
    </row>
    <row r="341" spans="2:7" x14ac:dyDescent="0.3">
      <c r="B341" t="s">
        <v>202</v>
      </c>
      <c r="C341" t="s">
        <v>90</v>
      </c>
      <c r="D341" t="s">
        <v>91</v>
      </c>
      <c r="E341" t="s">
        <v>60</v>
      </c>
      <c r="F341" s="1">
        <v>92</v>
      </c>
      <c r="G341" s="2">
        <v>0.99800327050520699</v>
      </c>
    </row>
    <row r="342" spans="2:7" x14ac:dyDescent="0.3">
      <c r="B342" t="s">
        <v>202</v>
      </c>
      <c r="C342" t="s">
        <v>90</v>
      </c>
      <c r="D342" t="s">
        <v>91</v>
      </c>
      <c r="E342" t="s">
        <v>52</v>
      </c>
      <c r="F342" s="1">
        <v>85</v>
      </c>
      <c r="G342" s="2">
        <v>0.99829589465530599</v>
      </c>
    </row>
    <row r="343" spans="2:7" x14ac:dyDescent="0.3">
      <c r="B343" t="s">
        <v>202</v>
      </c>
      <c r="C343" t="s">
        <v>90</v>
      </c>
      <c r="D343" t="s">
        <v>91</v>
      </c>
      <c r="E343" t="s">
        <v>63</v>
      </c>
      <c r="F343" s="1">
        <v>78</v>
      </c>
      <c r="G343" s="2">
        <v>0.99856442034598503</v>
      </c>
    </row>
    <row r="344" spans="2:7" x14ac:dyDescent="0.3">
      <c r="B344" t="s">
        <v>202</v>
      </c>
      <c r="C344" t="s">
        <v>90</v>
      </c>
      <c r="D344" t="s">
        <v>91</v>
      </c>
      <c r="E344" t="s">
        <v>86</v>
      </c>
      <c r="F344" s="1">
        <v>73</v>
      </c>
      <c r="G344" s="2">
        <v>0.99881573285136405</v>
      </c>
    </row>
    <row r="345" spans="2:7" x14ac:dyDescent="0.3">
      <c r="B345" t="s">
        <v>202</v>
      </c>
      <c r="C345" t="s">
        <v>90</v>
      </c>
      <c r="D345" t="s">
        <v>91</v>
      </c>
      <c r="E345" t="s">
        <v>56</v>
      </c>
      <c r="F345" s="1">
        <v>55</v>
      </c>
      <c r="G345" s="2">
        <v>0.99900507788966397</v>
      </c>
    </row>
    <row r="346" spans="2:7" x14ac:dyDescent="0.3">
      <c r="B346" t="s">
        <v>202</v>
      </c>
      <c r="C346" t="s">
        <v>90</v>
      </c>
      <c r="D346" t="s">
        <v>91</v>
      </c>
      <c r="E346" t="s">
        <v>72</v>
      </c>
      <c r="F346" s="1">
        <v>35</v>
      </c>
      <c r="G346" s="2">
        <v>0.99924606248386305</v>
      </c>
    </row>
    <row r="347" spans="2:7" x14ac:dyDescent="0.3">
      <c r="B347" t="s">
        <v>202</v>
      </c>
      <c r="C347" t="s">
        <v>90</v>
      </c>
      <c r="D347" t="s">
        <v>91</v>
      </c>
      <c r="E347" t="s">
        <v>59</v>
      </c>
      <c r="F347" s="1">
        <v>35</v>
      </c>
      <c r="G347" s="2">
        <v>0.99924606248386305</v>
      </c>
    </row>
    <row r="348" spans="2:7" x14ac:dyDescent="0.3">
      <c r="B348" t="s">
        <v>202</v>
      </c>
      <c r="C348" t="s">
        <v>90</v>
      </c>
      <c r="D348" t="s">
        <v>91</v>
      </c>
      <c r="E348" t="s">
        <v>66</v>
      </c>
      <c r="F348" s="1">
        <v>34</v>
      </c>
      <c r="G348" s="2">
        <v>0.99936311214390205</v>
      </c>
    </row>
    <row r="349" spans="2:7" x14ac:dyDescent="0.3">
      <c r="B349" t="s">
        <v>202</v>
      </c>
      <c r="C349" t="s">
        <v>90</v>
      </c>
      <c r="D349" t="s">
        <v>91</v>
      </c>
      <c r="E349" t="s">
        <v>78</v>
      </c>
      <c r="F349" s="1">
        <v>31</v>
      </c>
      <c r="G349" s="2">
        <v>0.99946983389276201</v>
      </c>
    </row>
    <row r="350" spans="2:7" x14ac:dyDescent="0.3">
      <c r="B350" t="s">
        <v>202</v>
      </c>
      <c r="C350" t="s">
        <v>90</v>
      </c>
      <c r="D350" t="s">
        <v>91</v>
      </c>
      <c r="E350" t="s">
        <v>77</v>
      </c>
      <c r="F350" s="1">
        <v>28</v>
      </c>
      <c r="G350" s="2">
        <v>0.99956622773044201</v>
      </c>
    </row>
    <row r="351" spans="2:7" x14ac:dyDescent="0.3">
      <c r="B351" t="s">
        <v>202</v>
      </c>
      <c r="C351" t="s">
        <v>90</v>
      </c>
      <c r="D351" t="s">
        <v>91</v>
      </c>
      <c r="E351" t="s">
        <v>68</v>
      </c>
      <c r="F351" s="1">
        <v>27</v>
      </c>
      <c r="G351" s="2">
        <v>0.99965917893106104</v>
      </c>
    </row>
    <row r="352" spans="2:7" x14ac:dyDescent="0.3">
      <c r="B352" t="s">
        <v>202</v>
      </c>
      <c r="C352" t="s">
        <v>90</v>
      </c>
      <c r="D352" t="s">
        <v>91</v>
      </c>
      <c r="E352" t="s">
        <v>71</v>
      </c>
      <c r="F352" s="1">
        <v>26</v>
      </c>
      <c r="G352" s="2">
        <v>0.99974868749462098</v>
      </c>
    </row>
    <row r="353" spans="2:7" x14ac:dyDescent="0.3">
      <c r="B353" t="s">
        <v>202</v>
      </c>
      <c r="C353" t="s">
        <v>90</v>
      </c>
      <c r="D353" t="s">
        <v>91</v>
      </c>
      <c r="E353" t="s">
        <v>82</v>
      </c>
      <c r="F353" s="1">
        <v>25</v>
      </c>
      <c r="G353" s="2">
        <v>0.99983475342112105</v>
      </c>
    </row>
    <row r="354" spans="2:7" x14ac:dyDescent="0.3">
      <c r="B354" t="s">
        <v>202</v>
      </c>
      <c r="C354" t="s">
        <v>90</v>
      </c>
      <c r="D354" t="s">
        <v>91</v>
      </c>
      <c r="E354" t="s">
        <v>76</v>
      </c>
      <c r="F354" s="1">
        <v>24</v>
      </c>
      <c r="G354" s="2">
        <v>0.99991737671056002</v>
      </c>
    </row>
    <row r="355" spans="2:7" x14ac:dyDescent="0.3">
      <c r="B355" t="s">
        <v>202</v>
      </c>
      <c r="C355" t="s">
        <v>90</v>
      </c>
      <c r="D355" t="s">
        <v>91</v>
      </c>
      <c r="E355" t="s">
        <v>83</v>
      </c>
      <c r="F355" s="1">
        <v>8</v>
      </c>
      <c r="G355" s="2">
        <v>0.99994491780703998</v>
      </c>
    </row>
    <row r="356" spans="2:7" x14ac:dyDescent="0.3">
      <c r="B356" t="s">
        <v>202</v>
      </c>
      <c r="C356" t="s">
        <v>90</v>
      </c>
      <c r="D356" t="s">
        <v>91</v>
      </c>
      <c r="E356" t="s">
        <v>74</v>
      </c>
      <c r="F356" s="1">
        <v>7</v>
      </c>
      <c r="G356" s="2">
        <v>0.99996901626645995</v>
      </c>
    </row>
    <row r="357" spans="2:7" x14ac:dyDescent="0.3">
      <c r="B357" t="s">
        <v>202</v>
      </c>
      <c r="C357" t="s">
        <v>90</v>
      </c>
      <c r="D357" t="s">
        <v>91</v>
      </c>
      <c r="E357" t="s">
        <v>84</v>
      </c>
      <c r="F357" s="1">
        <v>5</v>
      </c>
      <c r="G357" s="2">
        <v>0.99998622945175997</v>
      </c>
    </row>
    <row r="358" spans="2:7" x14ac:dyDescent="0.3">
      <c r="B358" t="s">
        <v>202</v>
      </c>
      <c r="C358" t="s">
        <v>90</v>
      </c>
      <c r="D358" t="s">
        <v>91</v>
      </c>
      <c r="E358" t="s">
        <v>73</v>
      </c>
      <c r="F358" s="1">
        <v>4</v>
      </c>
      <c r="G358" s="2">
        <v>1</v>
      </c>
    </row>
    <row r="359" spans="2:7" x14ac:dyDescent="0.3">
      <c r="B359" t="s">
        <v>202</v>
      </c>
      <c r="C359" t="s">
        <v>90</v>
      </c>
      <c r="D359" t="s">
        <v>91</v>
      </c>
      <c r="E359" t="s">
        <v>69</v>
      </c>
      <c r="F359" s="1">
        <v>0</v>
      </c>
      <c r="G359" s="2">
        <v>1</v>
      </c>
    </row>
    <row r="360" spans="2:7" x14ac:dyDescent="0.3">
      <c r="B360" t="s">
        <v>202</v>
      </c>
      <c r="C360" t="s">
        <v>90</v>
      </c>
      <c r="D360" t="s">
        <v>91</v>
      </c>
      <c r="E360" t="s">
        <v>88</v>
      </c>
      <c r="F360" s="1">
        <v>0</v>
      </c>
      <c r="G360" s="2">
        <v>1</v>
      </c>
    </row>
    <row r="361" spans="2:7" x14ac:dyDescent="0.3">
      <c r="B361" t="s">
        <v>202</v>
      </c>
      <c r="C361" t="s">
        <v>90</v>
      </c>
      <c r="D361" t="s">
        <v>91</v>
      </c>
      <c r="E361" t="s">
        <v>89</v>
      </c>
      <c r="F361" s="1">
        <v>0</v>
      </c>
      <c r="G361" s="2">
        <v>1</v>
      </c>
    </row>
    <row r="362" spans="2:7" x14ac:dyDescent="0.3">
      <c r="B362" t="s">
        <v>203</v>
      </c>
      <c r="C362" t="s">
        <v>90</v>
      </c>
      <c r="D362" t="s">
        <v>91</v>
      </c>
      <c r="E362" t="s">
        <v>17</v>
      </c>
      <c r="F362" s="1">
        <v>128890</v>
      </c>
      <c r="G362" s="2">
        <v>0.37600828507665202</v>
      </c>
    </row>
    <row r="363" spans="2:7" x14ac:dyDescent="0.3">
      <c r="B363" t="s">
        <v>203</v>
      </c>
      <c r="C363" t="s">
        <v>90</v>
      </c>
      <c r="D363" t="s">
        <v>91</v>
      </c>
      <c r="E363" t="s">
        <v>18</v>
      </c>
      <c r="F363" s="1">
        <v>32569</v>
      </c>
      <c r="G363" s="2">
        <v>0.47102119404291298</v>
      </c>
    </row>
    <row r="364" spans="2:7" x14ac:dyDescent="0.3">
      <c r="B364" t="s">
        <v>203</v>
      </c>
      <c r="C364" t="s">
        <v>90</v>
      </c>
      <c r="D364" t="s">
        <v>91</v>
      </c>
      <c r="E364" t="s">
        <v>21</v>
      </c>
      <c r="F364" s="1">
        <v>22890</v>
      </c>
      <c r="G364" s="2">
        <v>0.53779774494216503</v>
      </c>
    </row>
    <row r="365" spans="2:7" x14ac:dyDescent="0.3">
      <c r="B365" t="s">
        <v>203</v>
      </c>
      <c r="C365" t="s">
        <v>90</v>
      </c>
      <c r="D365" t="s">
        <v>91</v>
      </c>
      <c r="E365" t="s">
        <v>19</v>
      </c>
      <c r="F365" s="1">
        <v>19570</v>
      </c>
      <c r="G365" s="2">
        <v>0.59488892454454001</v>
      </c>
    </row>
    <row r="366" spans="2:7" x14ac:dyDescent="0.3">
      <c r="B366" t="s">
        <v>203</v>
      </c>
      <c r="C366" t="s">
        <v>90</v>
      </c>
      <c r="D366" t="s">
        <v>91</v>
      </c>
      <c r="E366" t="s">
        <v>23</v>
      </c>
      <c r="F366" s="1">
        <v>17767</v>
      </c>
      <c r="G366" s="2">
        <v>0.64672024738538703</v>
      </c>
    </row>
    <row r="367" spans="2:7" x14ac:dyDescent="0.3">
      <c r="B367" t="s">
        <v>203</v>
      </c>
      <c r="C367" t="s">
        <v>90</v>
      </c>
      <c r="D367" t="s">
        <v>91</v>
      </c>
      <c r="E367" t="s">
        <v>25</v>
      </c>
      <c r="F367" s="1">
        <v>13682</v>
      </c>
      <c r="G367" s="2">
        <v>0.68663447933836097</v>
      </c>
    </row>
    <row r="368" spans="2:7" x14ac:dyDescent="0.3">
      <c r="B368" t="s">
        <v>203</v>
      </c>
      <c r="C368" t="s">
        <v>90</v>
      </c>
      <c r="D368" t="s">
        <v>91</v>
      </c>
      <c r="E368" t="s">
        <v>20</v>
      </c>
      <c r="F368" s="1">
        <v>12536</v>
      </c>
      <c r="G368" s="2">
        <v>0.723205507825605</v>
      </c>
    </row>
    <row r="369" spans="2:7" x14ac:dyDescent="0.3">
      <c r="B369" t="s">
        <v>203</v>
      </c>
      <c r="C369" t="s">
        <v>90</v>
      </c>
      <c r="D369" t="s">
        <v>91</v>
      </c>
      <c r="E369" t="s">
        <v>24</v>
      </c>
      <c r="F369" s="1">
        <v>12108</v>
      </c>
      <c r="G369" s="2">
        <v>0.75852794025409498</v>
      </c>
    </row>
    <row r="370" spans="2:7" x14ac:dyDescent="0.3">
      <c r="B370" t="s">
        <v>203</v>
      </c>
      <c r="C370" t="s">
        <v>90</v>
      </c>
      <c r="D370" t="s">
        <v>91</v>
      </c>
      <c r="E370" t="s">
        <v>28</v>
      </c>
      <c r="F370" s="1">
        <v>7240</v>
      </c>
      <c r="G370" s="2">
        <v>0.77964905115451399</v>
      </c>
    </row>
    <row r="371" spans="2:7" x14ac:dyDescent="0.3">
      <c r="B371" t="s">
        <v>203</v>
      </c>
      <c r="C371" t="s">
        <v>90</v>
      </c>
      <c r="D371" t="s">
        <v>91</v>
      </c>
      <c r="E371" t="s">
        <v>22</v>
      </c>
      <c r="F371" s="1">
        <v>6777</v>
      </c>
      <c r="G371" s="2">
        <v>0.79941946117828999</v>
      </c>
    </row>
    <row r="372" spans="2:7" x14ac:dyDescent="0.3">
      <c r="B372" t="s">
        <v>203</v>
      </c>
      <c r="C372" t="s">
        <v>90</v>
      </c>
      <c r="D372" t="s">
        <v>91</v>
      </c>
      <c r="E372" t="s">
        <v>67</v>
      </c>
      <c r="F372" s="1">
        <v>6656</v>
      </c>
      <c r="G372" s="2">
        <v>0.81883688026022095</v>
      </c>
    </row>
    <row r="373" spans="2:7" x14ac:dyDescent="0.3">
      <c r="B373" t="s">
        <v>203</v>
      </c>
      <c r="C373" t="s">
        <v>90</v>
      </c>
      <c r="D373" t="s">
        <v>91</v>
      </c>
      <c r="E373" t="s">
        <v>27</v>
      </c>
      <c r="F373" s="1">
        <v>6182</v>
      </c>
      <c r="G373" s="2">
        <v>0.836871508379888</v>
      </c>
    </row>
    <row r="374" spans="2:7" x14ac:dyDescent="0.3">
      <c r="B374" t="s">
        <v>203</v>
      </c>
      <c r="C374" t="s">
        <v>90</v>
      </c>
      <c r="D374" t="s">
        <v>91</v>
      </c>
      <c r="E374" t="s">
        <v>29</v>
      </c>
      <c r="F374" s="1">
        <v>6043</v>
      </c>
      <c r="G374" s="2">
        <v>0.85450063450851099</v>
      </c>
    </row>
    <row r="375" spans="2:7" x14ac:dyDescent="0.3">
      <c r="B375" t="s">
        <v>203</v>
      </c>
      <c r="C375" t="s">
        <v>90</v>
      </c>
      <c r="D375" t="s">
        <v>91</v>
      </c>
      <c r="E375" t="s">
        <v>26</v>
      </c>
      <c r="F375" s="1">
        <v>5607</v>
      </c>
      <c r="G375" s="2">
        <v>0.87085782633429099</v>
      </c>
    </row>
    <row r="376" spans="2:7" x14ac:dyDescent="0.3">
      <c r="B376" t="s">
        <v>203</v>
      </c>
      <c r="C376" t="s">
        <v>90</v>
      </c>
      <c r="D376" t="s">
        <v>91</v>
      </c>
      <c r="E376" t="s">
        <v>75</v>
      </c>
      <c r="F376" s="1">
        <v>5205</v>
      </c>
      <c r="G376" s="2">
        <v>0.88604227139460601</v>
      </c>
    </row>
    <row r="377" spans="2:7" x14ac:dyDescent="0.3">
      <c r="B377" t="s">
        <v>203</v>
      </c>
      <c r="C377" t="s">
        <v>90</v>
      </c>
      <c r="D377" t="s">
        <v>91</v>
      </c>
      <c r="E377" t="s">
        <v>35</v>
      </c>
      <c r="F377" s="1">
        <v>5100</v>
      </c>
      <c r="G377" s="2">
        <v>0.90092040200125401</v>
      </c>
    </row>
    <row r="378" spans="2:7" x14ac:dyDescent="0.3">
      <c r="B378" t="s">
        <v>203</v>
      </c>
      <c r="C378" t="s">
        <v>90</v>
      </c>
      <c r="D378" t="s">
        <v>91</v>
      </c>
      <c r="E378" t="s">
        <v>30</v>
      </c>
      <c r="F378" s="1">
        <v>3465</v>
      </c>
      <c r="G378" s="2">
        <v>0.91102877897224199</v>
      </c>
    </row>
    <row r="379" spans="2:7" x14ac:dyDescent="0.3">
      <c r="B379" t="s">
        <v>203</v>
      </c>
      <c r="C379" t="s">
        <v>90</v>
      </c>
      <c r="D379" t="s">
        <v>91</v>
      </c>
      <c r="E379" t="s">
        <v>36</v>
      </c>
      <c r="F379" s="1">
        <v>3225</v>
      </c>
      <c r="G379" s="2">
        <v>0.92043700862056399</v>
      </c>
    </row>
    <row r="380" spans="2:7" x14ac:dyDescent="0.3">
      <c r="B380" t="s">
        <v>203</v>
      </c>
      <c r="C380" t="s">
        <v>90</v>
      </c>
      <c r="D380" t="s">
        <v>91</v>
      </c>
      <c r="E380" t="s">
        <v>33</v>
      </c>
      <c r="F380" s="1">
        <v>2765</v>
      </c>
      <c r="G380" s="2">
        <v>0.92850328923377601</v>
      </c>
    </row>
    <row r="381" spans="2:7" x14ac:dyDescent="0.3">
      <c r="B381" t="s">
        <v>203</v>
      </c>
      <c r="C381" t="s">
        <v>90</v>
      </c>
      <c r="D381" t="s">
        <v>91</v>
      </c>
      <c r="E381" t="s">
        <v>31</v>
      </c>
      <c r="F381" s="1">
        <v>2578</v>
      </c>
      <c r="G381" s="2">
        <v>0.93602403839141202</v>
      </c>
    </row>
    <row r="382" spans="2:7" x14ac:dyDescent="0.3">
      <c r="B382" t="s">
        <v>203</v>
      </c>
      <c r="C382" t="s">
        <v>90</v>
      </c>
      <c r="D382" t="s">
        <v>91</v>
      </c>
      <c r="E382" t="s">
        <v>70</v>
      </c>
      <c r="F382" s="1">
        <v>2572</v>
      </c>
      <c r="G382" s="2">
        <v>0.94352728386597995</v>
      </c>
    </row>
    <row r="383" spans="2:7" x14ac:dyDescent="0.3">
      <c r="B383" t="s">
        <v>203</v>
      </c>
      <c r="C383" t="s">
        <v>90</v>
      </c>
      <c r="D383" t="s">
        <v>91</v>
      </c>
      <c r="E383" t="s">
        <v>39</v>
      </c>
      <c r="F383" s="1">
        <v>2329</v>
      </c>
      <c r="G383" s="2">
        <v>0.95032163017634996</v>
      </c>
    </row>
    <row r="384" spans="2:7" x14ac:dyDescent="0.3">
      <c r="B384" t="s">
        <v>203</v>
      </c>
      <c r="C384" t="s">
        <v>90</v>
      </c>
      <c r="D384" t="s">
        <v>91</v>
      </c>
      <c r="E384" t="s">
        <v>55</v>
      </c>
      <c r="F384" s="1">
        <v>1717</v>
      </c>
      <c r="G384" s="2">
        <v>0.95533060081392096</v>
      </c>
    </row>
    <row r="385" spans="2:7" x14ac:dyDescent="0.3">
      <c r="B385" t="s">
        <v>203</v>
      </c>
      <c r="C385" t="s">
        <v>90</v>
      </c>
      <c r="D385" t="s">
        <v>91</v>
      </c>
      <c r="E385" t="s">
        <v>40</v>
      </c>
      <c r="F385" s="1">
        <v>1489</v>
      </c>
      <c r="G385" s="2">
        <v>0.95967443149496001</v>
      </c>
    </row>
    <row r="386" spans="2:7" x14ac:dyDescent="0.3">
      <c r="B386" t="s">
        <v>203</v>
      </c>
      <c r="C386" t="s">
        <v>90</v>
      </c>
      <c r="D386" t="s">
        <v>91</v>
      </c>
      <c r="E386" t="s">
        <v>48</v>
      </c>
      <c r="F386" s="1">
        <v>1420</v>
      </c>
      <c r="G386" s="2">
        <v>0.96381696982073295</v>
      </c>
    </row>
    <row r="387" spans="2:7" x14ac:dyDescent="0.3">
      <c r="B387" t="s">
        <v>203</v>
      </c>
      <c r="C387" t="s">
        <v>90</v>
      </c>
      <c r="D387" t="s">
        <v>91</v>
      </c>
      <c r="E387" t="s">
        <v>44</v>
      </c>
      <c r="F387" s="1">
        <v>1113</v>
      </c>
      <c r="G387" s="2">
        <v>0.96706390302959599</v>
      </c>
    </row>
    <row r="388" spans="2:7" x14ac:dyDescent="0.3">
      <c r="B388" t="s">
        <v>203</v>
      </c>
      <c r="C388" t="s">
        <v>90</v>
      </c>
      <c r="D388" t="s">
        <v>91</v>
      </c>
      <c r="E388" t="s">
        <v>34</v>
      </c>
      <c r="F388" s="1">
        <v>1085</v>
      </c>
      <c r="G388" s="2">
        <v>0.97022915238414797</v>
      </c>
    </row>
    <row r="389" spans="2:7" x14ac:dyDescent="0.3">
      <c r="B389" t="s">
        <v>203</v>
      </c>
      <c r="C389" t="s">
        <v>90</v>
      </c>
      <c r="D389" t="s">
        <v>91</v>
      </c>
      <c r="E389" t="s">
        <v>37</v>
      </c>
      <c r="F389" s="1">
        <v>1074</v>
      </c>
      <c r="G389" s="2">
        <v>0.97336231165307696</v>
      </c>
    </row>
    <row r="390" spans="2:7" x14ac:dyDescent="0.3">
      <c r="B390" t="s">
        <v>203</v>
      </c>
      <c r="C390" t="s">
        <v>90</v>
      </c>
      <c r="D390" t="s">
        <v>91</v>
      </c>
      <c r="E390" t="s">
        <v>41</v>
      </c>
      <c r="F390" s="1">
        <v>979</v>
      </c>
      <c r="G390" s="2">
        <v>0.97621832927345098</v>
      </c>
    </row>
    <row r="391" spans="2:7" x14ac:dyDescent="0.3">
      <c r="B391" t="s">
        <v>203</v>
      </c>
      <c r="C391" t="s">
        <v>90</v>
      </c>
      <c r="D391" t="s">
        <v>91</v>
      </c>
      <c r="E391" t="s">
        <v>49</v>
      </c>
      <c r="F391" s="1">
        <v>900</v>
      </c>
      <c r="G391" s="2">
        <v>0.97884388173344805</v>
      </c>
    </row>
    <row r="392" spans="2:7" x14ac:dyDescent="0.3">
      <c r="B392" t="s">
        <v>203</v>
      </c>
      <c r="C392" t="s">
        <v>90</v>
      </c>
      <c r="D392" t="s">
        <v>91</v>
      </c>
      <c r="E392" t="s">
        <v>45</v>
      </c>
      <c r="F392" s="1">
        <v>774</v>
      </c>
      <c r="G392" s="2">
        <v>0.98110185684904505</v>
      </c>
    </row>
    <row r="393" spans="2:7" x14ac:dyDescent="0.3">
      <c r="B393" t="s">
        <v>203</v>
      </c>
      <c r="C393" t="s">
        <v>90</v>
      </c>
      <c r="D393" t="s">
        <v>91</v>
      </c>
      <c r="E393" t="s">
        <v>47</v>
      </c>
      <c r="F393" s="1">
        <v>749</v>
      </c>
      <c r="G393" s="2">
        <v>0.98328689995186502</v>
      </c>
    </row>
    <row r="394" spans="2:7" x14ac:dyDescent="0.3">
      <c r="B394" t="s">
        <v>203</v>
      </c>
      <c r="C394" t="s">
        <v>90</v>
      </c>
      <c r="D394" t="s">
        <v>91</v>
      </c>
      <c r="E394" t="s">
        <v>32</v>
      </c>
      <c r="F394" s="1">
        <v>660</v>
      </c>
      <c r="G394" s="2">
        <v>0.98521230508919599</v>
      </c>
    </row>
    <row r="395" spans="2:7" x14ac:dyDescent="0.3">
      <c r="B395" t="s">
        <v>203</v>
      </c>
      <c r="C395" t="s">
        <v>90</v>
      </c>
      <c r="D395" t="s">
        <v>91</v>
      </c>
      <c r="E395" t="s">
        <v>80</v>
      </c>
      <c r="F395" s="1">
        <v>624</v>
      </c>
      <c r="G395" s="2">
        <v>0.98703268812812694</v>
      </c>
    </row>
    <row r="396" spans="2:7" x14ac:dyDescent="0.3">
      <c r="B396" t="s">
        <v>203</v>
      </c>
      <c r="C396" t="s">
        <v>90</v>
      </c>
      <c r="D396" t="s">
        <v>91</v>
      </c>
      <c r="E396" t="s">
        <v>43</v>
      </c>
      <c r="F396" s="1">
        <v>542</v>
      </c>
      <c r="G396" s="2">
        <v>0.98861385416514702</v>
      </c>
    </row>
    <row r="397" spans="2:7" x14ac:dyDescent="0.3">
      <c r="B397" t="s">
        <v>203</v>
      </c>
      <c r="C397" t="s">
        <v>90</v>
      </c>
      <c r="D397" t="s">
        <v>91</v>
      </c>
      <c r="E397" t="s">
        <v>50</v>
      </c>
      <c r="F397" s="1">
        <v>485</v>
      </c>
      <c r="G397" s="2">
        <v>0.99002873521303403</v>
      </c>
    </row>
    <row r="398" spans="2:7" x14ac:dyDescent="0.3">
      <c r="B398" t="s">
        <v>203</v>
      </c>
      <c r="C398" t="s">
        <v>90</v>
      </c>
      <c r="D398" t="s">
        <v>91</v>
      </c>
      <c r="E398" t="s">
        <v>52</v>
      </c>
      <c r="F398" s="1">
        <v>473</v>
      </c>
      <c r="G398" s="2">
        <v>0.99140860889478799</v>
      </c>
    </row>
    <row r="399" spans="2:7" x14ac:dyDescent="0.3">
      <c r="B399" t="s">
        <v>203</v>
      </c>
      <c r="C399" t="s">
        <v>90</v>
      </c>
      <c r="D399" t="s">
        <v>91</v>
      </c>
      <c r="E399" t="s">
        <v>54</v>
      </c>
      <c r="F399" s="1">
        <v>362</v>
      </c>
      <c r="G399" s="2">
        <v>0.99246466443980896</v>
      </c>
    </row>
    <row r="400" spans="2:7" x14ac:dyDescent="0.3">
      <c r="B400" t="s">
        <v>203</v>
      </c>
      <c r="C400" t="s">
        <v>90</v>
      </c>
      <c r="D400" t="s">
        <v>91</v>
      </c>
      <c r="E400" t="s">
        <v>53</v>
      </c>
      <c r="F400" s="1">
        <v>357</v>
      </c>
      <c r="G400" s="2">
        <v>0.99350613358227502</v>
      </c>
    </row>
    <row r="401" spans="2:7" x14ac:dyDescent="0.3">
      <c r="B401" t="s">
        <v>203</v>
      </c>
      <c r="C401" t="s">
        <v>90</v>
      </c>
      <c r="D401" t="s">
        <v>91</v>
      </c>
      <c r="E401" t="s">
        <v>58</v>
      </c>
      <c r="F401" s="1">
        <v>265</v>
      </c>
      <c r="G401" s="2">
        <v>0.99427921291771804</v>
      </c>
    </row>
    <row r="402" spans="2:7" x14ac:dyDescent="0.3">
      <c r="B402" t="s">
        <v>203</v>
      </c>
      <c r="C402" t="s">
        <v>90</v>
      </c>
      <c r="D402" t="s">
        <v>91</v>
      </c>
      <c r="E402" t="s">
        <v>62</v>
      </c>
      <c r="F402" s="1">
        <v>242</v>
      </c>
      <c r="G402" s="2">
        <v>0.99498519480140601</v>
      </c>
    </row>
    <row r="403" spans="2:7" x14ac:dyDescent="0.3">
      <c r="B403" t="s">
        <v>203</v>
      </c>
      <c r="C403" t="s">
        <v>90</v>
      </c>
      <c r="D403" t="s">
        <v>91</v>
      </c>
      <c r="E403" t="s">
        <v>61</v>
      </c>
      <c r="F403" s="1">
        <v>205</v>
      </c>
      <c r="G403" s="2">
        <v>0.99558323730618303</v>
      </c>
    </row>
    <row r="404" spans="2:7" x14ac:dyDescent="0.3">
      <c r="B404" t="s">
        <v>203</v>
      </c>
      <c r="C404" t="s">
        <v>90</v>
      </c>
      <c r="D404" t="s">
        <v>91</v>
      </c>
      <c r="E404" t="s">
        <v>57</v>
      </c>
      <c r="F404" s="1">
        <v>204</v>
      </c>
      <c r="G404" s="2">
        <v>0.996178362530449</v>
      </c>
    </row>
    <row r="405" spans="2:7" x14ac:dyDescent="0.3">
      <c r="B405" t="s">
        <v>203</v>
      </c>
      <c r="C405" t="s">
        <v>90</v>
      </c>
      <c r="D405" t="s">
        <v>91</v>
      </c>
      <c r="E405" t="s">
        <v>204</v>
      </c>
      <c r="F405" s="1">
        <v>170</v>
      </c>
      <c r="G405" s="2">
        <v>0.99667430021733705</v>
      </c>
    </row>
    <row r="406" spans="2:7" x14ac:dyDescent="0.3">
      <c r="B406" t="s">
        <v>203</v>
      </c>
      <c r="C406" t="s">
        <v>90</v>
      </c>
      <c r="D406" t="s">
        <v>91</v>
      </c>
      <c r="E406" t="s">
        <v>81</v>
      </c>
      <c r="F406" s="1">
        <v>161</v>
      </c>
      <c r="G406" s="2">
        <v>0.99714398237962598</v>
      </c>
    </row>
    <row r="407" spans="2:7" x14ac:dyDescent="0.3">
      <c r="B407" t="s">
        <v>203</v>
      </c>
      <c r="C407" t="s">
        <v>90</v>
      </c>
      <c r="D407" t="s">
        <v>91</v>
      </c>
      <c r="E407" t="s">
        <v>60</v>
      </c>
      <c r="F407" s="1">
        <v>160</v>
      </c>
      <c r="G407" s="2">
        <v>0.99761074726140297</v>
      </c>
    </row>
    <row r="408" spans="2:7" x14ac:dyDescent="0.3">
      <c r="B408" t="s">
        <v>203</v>
      </c>
      <c r="C408" t="s">
        <v>90</v>
      </c>
      <c r="D408" t="s">
        <v>91</v>
      </c>
      <c r="E408" t="s">
        <v>51</v>
      </c>
      <c r="F408" s="1">
        <v>131</v>
      </c>
      <c r="G408" s="2">
        <v>0.99799291100835796</v>
      </c>
    </row>
    <row r="409" spans="2:7" x14ac:dyDescent="0.3">
      <c r="B409" t="s">
        <v>203</v>
      </c>
      <c r="C409" t="s">
        <v>90</v>
      </c>
      <c r="D409" t="s">
        <v>91</v>
      </c>
      <c r="E409" t="s">
        <v>65</v>
      </c>
      <c r="F409" s="1">
        <v>125</v>
      </c>
      <c r="G409" s="2">
        <v>0.99872223113613501</v>
      </c>
    </row>
    <row r="410" spans="2:7" x14ac:dyDescent="0.3">
      <c r="B410" t="s">
        <v>203</v>
      </c>
      <c r="C410" t="s">
        <v>90</v>
      </c>
      <c r="D410" t="s">
        <v>91</v>
      </c>
      <c r="E410" t="s">
        <v>38</v>
      </c>
      <c r="F410" s="1">
        <v>125</v>
      </c>
      <c r="G410" s="2">
        <v>0.99872223113613501</v>
      </c>
    </row>
    <row r="411" spans="2:7" x14ac:dyDescent="0.3">
      <c r="B411" t="s">
        <v>203</v>
      </c>
      <c r="C411" t="s">
        <v>90</v>
      </c>
      <c r="D411" t="s">
        <v>91</v>
      </c>
      <c r="E411" t="s">
        <v>42</v>
      </c>
      <c r="F411" s="1">
        <v>113</v>
      </c>
      <c r="G411" s="2">
        <v>0.99905188383388999</v>
      </c>
    </row>
    <row r="412" spans="2:7" x14ac:dyDescent="0.3">
      <c r="B412" t="s">
        <v>203</v>
      </c>
      <c r="C412" t="s">
        <v>90</v>
      </c>
      <c r="D412" t="s">
        <v>91</v>
      </c>
      <c r="E412" t="s">
        <v>46</v>
      </c>
      <c r="F412" s="1">
        <v>48</v>
      </c>
      <c r="G412" s="2">
        <v>0.99919191329842305</v>
      </c>
    </row>
    <row r="413" spans="2:7" x14ac:dyDescent="0.3">
      <c r="B413" t="s">
        <v>203</v>
      </c>
      <c r="C413" t="s">
        <v>90</v>
      </c>
      <c r="D413" t="s">
        <v>91</v>
      </c>
      <c r="E413" t="s">
        <v>56</v>
      </c>
      <c r="F413" s="1">
        <v>37</v>
      </c>
      <c r="G413" s="2">
        <v>0.99929985267733401</v>
      </c>
    </row>
    <row r="414" spans="2:7" x14ac:dyDescent="0.3">
      <c r="B414" t="s">
        <v>203</v>
      </c>
      <c r="C414" t="s">
        <v>90</v>
      </c>
      <c r="D414" t="s">
        <v>91</v>
      </c>
      <c r="E414" t="s">
        <v>85</v>
      </c>
      <c r="F414" s="1">
        <v>32</v>
      </c>
      <c r="G414" s="2">
        <v>0.99948655863004499</v>
      </c>
    </row>
    <row r="415" spans="2:7" x14ac:dyDescent="0.3">
      <c r="B415" t="s">
        <v>203</v>
      </c>
      <c r="C415" t="s">
        <v>90</v>
      </c>
      <c r="D415" t="s">
        <v>91</v>
      </c>
      <c r="E415" t="s">
        <v>59</v>
      </c>
      <c r="F415" s="1">
        <v>32</v>
      </c>
      <c r="G415" s="2">
        <v>0.99948655863004499</v>
      </c>
    </row>
    <row r="416" spans="2:7" x14ac:dyDescent="0.3">
      <c r="B416" t="s">
        <v>203</v>
      </c>
      <c r="C416" t="s">
        <v>90</v>
      </c>
      <c r="D416" t="s">
        <v>91</v>
      </c>
      <c r="E416" t="s">
        <v>66</v>
      </c>
      <c r="F416" s="1">
        <v>29</v>
      </c>
      <c r="G416" s="2">
        <v>0.99957115976486699</v>
      </c>
    </row>
    <row r="417" spans="2:7" x14ac:dyDescent="0.3">
      <c r="B417" t="s">
        <v>203</v>
      </c>
      <c r="C417" t="s">
        <v>90</v>
      </c>
      <c r="D417" t="s">
        <v>91</v>
      </c>
      <c r="E417" t="s">
        <v>71</v>
      </c>
      <c r="F417" s="1">
        <v>28</v>
      </c>
      <c r="G417" s="2">
        <v>0.99965284361917806</v>
      </c>
    </row>
    <row r="418" spans="2:7" x14ac:dyDescent="0.3">
      <c r="B418" t="s">
        <v>203</v>
      </c>
      <c r="C418" t="s">
        <v>90</v>
      </c>
      <c r="D418" t="s">
        <v>91</v>
      </c>
      <c r="E418" t="s">
        <v>76</v>
      </c>
      <c r="F418" s="1">
        <v>27</v>
      </c>
      <c r="G418" s="2">
        <v>0.99973161019297796</v>
      </c>
    </row>
    <row r="419" spans="2:7" x14ac:dyDescent="0.3">
      <c r="B419" t="s">
        <v>203</v>
      </c>
      <c r="C419" t="s">
        <v>90</v>
      </c>
      <c r="D419" t="s">
        <v>91</v>
      </c>
      <c r="E419" t="s">
        <v>64</v>
      </c>
      <c r="F419" s="1">
        <v>26</v>
      </c>
      <c r="G419" s="2">
        <v>0.999883308779556</v>
      </c>
    </row>
    <row r="420" spans="2:7" x14ac:dyDescent="0.3">
      <c r="B420" t="s">
        <v>203</v>
      </c>
      <c r="C420" t="s">
        <v>90</v>
      </c>
      <c r="D420" t="s">
        <v>91</v>
      </c>
      <c r="E420" t="s">
        <v>78</v>
      </c>
      <c r="F420" s="1">
        <v>26</v>
      </c>
      <c r="G420" s="2">
        <v>0.999883308779556</v>
      </c>
    </row>
    <row r="421" spans="2:7" x14ac:dyDescent="0.3">
      <c r="B421" t="s">
        <v>203</v>
      </c>
      <c r="C421" t="s">
        <v>90</v>
      </c>
      <c r="D421" t="s">
        <v>91</v>
      </c>
      <c r="E421" t="s">
        <v>86</v>
      </c>
      <c r="F421" s="1">
        <v>24</v>
      </c>
      <c r="G421" s="2">
        <v>0.99995332351182198</v>
      </c>
    </row>
    <row r="422" spans="2:7" x14ac:dyDescent="0.3">
      <c r="B422" t="s">
        <v>203</v>
      </c>
      <c r="C422" t="s">
        <v>90</v>
      </c>
      <c r="D422" t="s">
        <v>91</v>
      </c>
      <c r="E422" t="s">
        <v>69</v>
      </c>
      <c r="F422" s="1">
        <v>9</v>
      </c>
      <c r="G422" s="2">
        <v>0.99997957903642198</v>
      </c>
    </row>
    <row r="423" spans="2:7" x14ac:dyDescent="0.3">
      <c r="B423" t="s">
        <v>203</v>
      </c>
      <c r="C423" t="s">
        <v>90</v>
      </c>
      <c r="D423" t="s">
        <v>91</v>
      </c>
      <c r="E423" t="s">
        <v>82</v>
      </c>
      <c r="F423" s="1">
        <v>3</v>
      </c>
      <c r="G423" s="2">
        <v>0.99998833087795602</v>
      </c>
    </row>
    <row r="424" spans="2:7" x14ac:dyDescent="0.3">
      <c r="B424" t="s">
        <v>203</v>
      </c>
      <c r="C424" t="s">
        <v>90</v>
      </c>
      <c r="D424" t="s">
        <v>91</v>
      </c>
      <c r="E424" t="s">
        <v>77</v>
      </c>
      <c r="F424" s="1">
        <v>2</v>
      </c>
      <c r="G424" s="2">
        <v>0.99999416543897801</v>
      </c>
    </row>
    <row r="425" spans="2:7" x14ac:dyDescent="0.3">
      <c r="B425" t="s">
        <v>203</v>
      </c>
      <c r="C425" t="s">
        <v>90</v>
      </c>
      <c r="D425" t="s">
        <v>91</v>
      </c>
      <c r="E425" t="s">
        <v>73</v>
      </c>
      <c r="F425" s="1">
        <v>1</v>
      </c>
      <c r="G425" s="2">
        <v>1</v>
      </c>
    </row>
    <row r="426" spans="2:7" x14ac:dyDescent="0.3">
      <c r="B426" t="s">
        <v>203</v>
      </c>
      <c r="C426" t="s">
        <v>90</v>
      </c>
      <c r="D426" t="s">
        <v>91</v>
      </c>
      <c r="E426" t="s">
        <v>68</v>
      </c>
      <c r="F426" s="1">
        <v>0</v>
      </c>
      <c r="G426" s="2">
        <v>1</v>
      </c>
    </row>
    <row r="427" spans="2:7" x14ac:dyDescent="0.3">
      <c r="B427" t="s">
        <v>203</v>
      </c>
      <c r="C427" t="s">
        <v>90</v>
      </c>
      <c r="D427" t="s">
        <v>91</v>
      </c>
      <c r="E427" t="s">
        <v>87</v>
      </c>
      <c r="F427" s="1">
        <v>0</v>
      </c>
      <c r="G427" s="2">
        <v>1</v>
      </c>
    </row>
    <row r="428" spans="2:7" x14ac:dyDescent="0.3">
      <c r="B428" t="s">
        <v>203</v>
      </c>
      <c r="C428" t="s">
        <v>90</v>
      </c>
      <c r="D428" t="s">
        <v>91</v>
      </c>
      <c r="E428" t="s">
        <v>88</v>
      </c>
      <c r="F428" s="1">
        <v>0</v>
      </c>
      <c r="G428" s="2">
        <v>1</v>
      </c>
    </row>
    <row r="429" spans="2:7" x14ac:dyDescent="0.3">
      <c r="B429" t="s">
        <v>203</v>
      </c>
      <c r="C429" t="s">
        <v>90</v>
      </c>
      <c r="D429" t="s">
        <v>91</v>
      </c>
      <c r="E429" t="s">
        <v>84</v>
      </c>
      <c r="F429" s="1">
        <v>0</v>
      </c>
      <c r="G429" s="2">
        <v>1</v>
      </c>
    </row>
    <row r="430" spans="2:7" x14ac:dyDescent="0.3">
      <c r="B430" t="s">
        <v>203</v>
      </c>
      <c r="C430" t="s">
        <v>90</v>
      </c>
      <c r="D430" t="s">
        <v>91</v>
      </c>
      <c r="E430" t="s">
        <v>89</v>
      </c>
      <c r="F430" s="1">
        <v>1</v>
      </c>
      <c r="G430" s="2">
        <v>1</v>
      </c>
    </row>
    <row r="431" spans="2:7" x14ac:dyDescent="0.3">
      <c r="B431" t="s">
        <v>205</v>
      </c>
      <c r="C431" t="s">
        <v>90</v>
      </c>
      <c r="D431" t="s">
        <v>91</v>
      </c>
      <c r="E431" t="s">
        <v>17</v>
      </c>
      <c r="F431" s="1">
        <v>85114</v>
      </c>
      <c r="G431" s="2">
        <v>0.305421688908665</v>
      </c>
    </row>
    <row r="432" spans="2:7" x14ac:dyDescent="0.3">
      <c r="B432" t="s">
        <v>205</v>
      </c>
      <c r="C432" t="s">
        <v>90</v>
      </c>
      <c r="D432" t="s">
        <v>91</v>
      </c>
      <c r="E432" t="s">
        <v>18</v>
      </c>
      <c r="F432" s="1">
        <v>22310</v>
      </c>
      <c r="G432" s="2">
        <v>0.38547852890622503</v>
      </c>
    </row>
    <row r="433" spans="2:7" x14ac:dyDescent="0.3">
      <c r="B433" t="s">
        <v>205</v>
      </c>
      <c r="C433" t="s">
        <v>90</v>
      </c>
      <c r="D433" t="s">
        <v>91</v>
      </c>
      <c r="E433" t="s">
        <v>19</v>
      </c>
      <c r="F433" s="1">
        <v>17450</v>
      </c>
      <c r="G433" s="2">
        <v>0.448095824197907</v>
      </c>
    </row>
    <row r="434" spans="2:7" x14ac:dyDescent="0.3">
      <c r="B434" t="s">
        <v>205</v>
      </c>
      <c r="C434" t="s">
        <v>90</v>
      </c>
      <c r="D434" t="s">
        <v>91</v>
      </c>
      <c r="E434" t="s">
        <v>24</v>
      </c>
      <c r="F434" s="1">
        <v>14687</v>
      </c>
      <c r="G434" s="2">
        <v>0.50079841536976499</v>
      </c>
    </row>
    <row r="435" spans="2:7" x14ac:dyDescent="0.3">
      <c r="B435" t="s">
        <v>205</v>
      </c>
      <c r="C435" t="s">
        <v>90</v>
      </c>
      <c r="D435" t="s">
        <v>91</v>
      </c>
      <c r="E435" t="s">
        <v>23</v>
      </c>
      <c r="F435" s="1">
        <v>13604</v>
      </c>
      <c r="G435" s="2">
        <v>0.54961478701148603</v>
      </c>
    </row>
    <row r="436" spans="2:7" x14ac:dyDescent="0.3">
      <c r="B436" t="s">
        <v>205</v>
      </c>
      <c r="C436" t="s">
        <v>90</v>
      </c>
      <c r="D436" t="s">
        <v>91</v>
      </c>
      <c r="E436" t="s">
        <v>67</v>
      </c>
      <c r="F436" s="1">
        <v>13238</v>
      </c>
      <c r="G436" s="2">
        <v>0.59711781022473998</v>
      </c>
    </row>
    <row r="437" spans="2:7" x14ac:dyDescent="0.3">
      <c r="B437" t="s">
        <v>205</v>
      </c>
      <c r="C437" t="s">
        <v>90</v>
      </c>
      <c r="D437" t="s">
        <v>91</v>
      </c>
      <c r="E437" t="s">
        <v>25</v>
      </c>
      <c r="F437" s="1">
        <v>11074</v>
      </c>
      <c r="G437" s="2">
        <v>0.63685557114508895</v>
      </c>
    </row>
    <row r="438" spans="2:7" x14ac:dyDescent="0.3">
      <c r="B438" t="s">
        <v>205</v>
      </c>
      <c r="C438" t="s">
        <v>90</v>
      </c>
      <c r="D438" t="s">
        <v>91</v>
      </c>
      <c r="E438" t="s">
        <v>20</v>
      </c>
      <c r="F438" s="1">
        <v>10149</v>
      </c>
      <c r="G438" s="2">
        <v>0.67327407715742604</v>
      </c>
    </row>
    <row r="439" spans="2:7" x14ac:dyDescent="0.3">
      <c r="B439" t="s">
        <v>205</v>
      </c>
      <c r="C439" t="s">
        <v>90</v>
      </c>
      <c r="D439" t="s">
        <v>91</v>
      </c>
      <c r="E439" t="s">
        <v>204</v>
      </c>
      <c r="F439" s="1">
        <v>8427</v>
      </c>
      <c r="G439" s="2">
        <v>0.70351338646533401</v>
      </c>
    </row>
    <row r="440" spans="2:7" x14ac:dyDescent="0.3">
      <c r="B440" t="s">
        <v>205</v>
      </c>
      <c r="C440" t="s">
        <v>90</v>
      </c>
      <c r="D440" t="s">
        <v>91</v>
      </c>
      <c r="E440" t="s">
        <v>21</v>
      </c>
      <c r="F440" s="1">
        <v>7826</v>
      </c>
      <c r="G440" s="2">
        <v>0.73159607717895603</v>
      </c>
    </row>
    <row r="441" spans="2:7" x14ac:dyDescent="0.3">
      <c r="B441" t="s">
        <v>205</v>
      </c>
      <c r="C441" t="s">
        <v>90</v>
      </c>
      <c r="D441" t="s">
        <v>91</v>
      </c>
      <c r="E441" t="s">
        <v>27</v>
      </c>
      <c r="F441" s="1">
        <v>6413</v>
      </c>
      <c r="G441" s="2">
        <v>0.75460838174661005</v>
      </c>
    </row>
    <row r="442" spans="2:7" x14ac:dyDescent="0.3">
      <c r="B442" t="s">
        <v>205</v>
      </c>
      <c r="C442" t="s">
        <v>90</v>
      </c>
      <c r="D442" t="s">
        <v>91</v>
      </c>
      <c r="E442" t="s">
        <v>26</v>
      </c>
      <c r="F442" s="1">
        <v>6355</v>
      </c>
      <c r="G442" s="2">
        <v>0.77741256006057202</v>
      </c>
    </row>
    <row r="443" spans="2:7" x14ac:dyDescent="0.3">
      <c r="B443" t="s">
        <v>205</v>
      </c>
      <c r="C443" t="s">
        <v>90</v>
      </c>
      <c r="D443" t="s">
        <v>91</v>
      </c>
      <c r="E443" t="s">
        <v>75</v>
      </c>
      <c r="F443" s="1">
        <v>6224</v>
      </c>
      <c r="G443" s="2">
        <v>0.799746660111886</v>
      </c>
    </row>
    <row r="444" spans="2:7" x14ac:dyDescent="0.3">
      <c r="B444" t="s">
        <v>205</v>
      </c>
      <c r="C444" t="s">
        <v>90</v>
      </c>
      <c r="D444" t="s">
        <v>91</v>
      </c>
      <c r="E444" t="s">
        <v>29</v>
      </c>
      <c r="F444" s="1">
        <v>5132</v>
      </c>
      <c r="G444" s="2">
        <v>0.81816224517990399</v>
      </c>
    </row>
    <row r="445" spans="2:7" x14ac:dyDescent="0.3">
      <c r="B445" t="s">
        <v>205</v>
      </c>
      <c r="C445" t="s">
        <v>90</v>
      </c>
      <c r="D445" t="s">
        <v>91</v>
      </c>
      <c r="E445" t="s">
        <v>22</v>
      </c>
      <c r="F445" s="1">
        <v>4522</v>
      </c>
      <c r="G445" s="2">
        <v>0.83438891620047595</v>
      </c>
    </row>
    <row r="446" spans="2:7" x14ac:dyDescent="0.3">
      <c r="B446" t="s">
        <v>205</v>
      </c>
      <c r="C446" t="s">
        <v>90</v>
      </c>
      <c r="D446" t="s">
        <v>91</v>
      </c>
      <c r="E446" t="s">
        <v>70</v>
      </c>
      <c r="F446" s="1">
        <v>4388</v>
      </c>
      <c r="G446" s="2">
        <v>0.85013474380734699</v>
      </c>
    </row>
    <row r="447" spans="2:7" x14ac:dyDescent="0.3">
      <c r="B447" t="s">
        <v>205</v>
      </c>
      <c r="C447" t="s">
        <v>90</v>
      </c>
      <c r="D447" t="s">
        <v>91</v>
      </c>
      <c r="E447" t="s">
        <v>28</v>
      </c>
      <c r="F447" s="1">
        <v>4313</v>
      </c>
      <c r="G447" s="2">
        <v>0.86561144263789302</v>
      </c>
    </row>
    <row r="448" spans="2:7" x14ac:dyDescent="0.3">
      <c r="B448" t="s">
        <v>205</v>
      </c>
      <c r="C448" t="s">
        <v>90</v>
      </c>
      <c r="D448" t="s">
        <v>91</v>
      </c>
      <c r="E448" t="s">
        <v>30</v>
      </c>
      <c r="F448" s="1">
        <v>4075</v>
      </c>
      <c r="G448" s="2">
        <v>0.88023410615156605</v>
      </c>
    </row>
    <row r="449" spans="2:7" x14ac:dyDescent="0.3">
      <c r="B449" t="s">
        <v>205</v>
      </c>
      <c r="C449" t="s">
        <v>90</v>
      </c>
      <c r="D449" t="s">
        <v>91</v>
      </c>
      <c r="E449" t="s">
        <v>33</v>
      </c>
      <c r="F449" s="1">
        <v>3641</v>
      </c>
      <c r="G449" s="2">
        <v>0.89329941114623701</v>
      </c>
    </row>
    <row r="450" spans="2:7" x14ac:dyDescent="0.3">
      <c r="B450" t="s">
        <v>205</v>
      </c>
      <c r="C450" t="s">
        <v>90</v>
      </c>
      <c r="D450" t="s">
        <v>91</v>
      </c>
      <c r="E450" t="s">
        <v>36</v>
      </c>
      <c r="F450" s="1">
        <v>3276</v>
      </c>
      <c r="G450" s="2">
        <v>0.90505495609612596</v>
      </c>
    </row>
    <row r="451" spans="2:7" x14ac:dyDescent="0.3">
      <c r="B451" t="s">
        <v>205</v>
      </c>
      <c r="C451" t="s">
        <v>90</v>
      </c>
      <c r="D451" t="s">
        <v>91</v>
      </c>
      <c r="E451" t="s">
        <v>35</v>
      </c>
      <c r="F451" s="1">
        <v>3145</v>
      </c>
      <c r="G451" s="2">
        <v>0.91634042278336603</v>
      </c>
    </row>
    <row r="452" spans="2:7" x14ac:dyDescent="0.3">
      <c r="B452" t="s">
        <v>205</v>
      </c>
      <c r="C452" t="s">
        <v>90</v>
      </c>
      <c r="D452" t="s">
        <v>91</v>
      </c>
      <c r="E452" t="s">
        <v>31</v>
      </c>
      <c r="F452" s="1">
        <v>2858</v>
      </c>
      <c r="G452" s="2">
        <v>0.92659602335320101</v>
      </c>
    </row>
    <row r="453" spans="2:7" x14ac:dyDescent="0.3">
      <c r="B453" t="s">
        <v>205</v>
      </c>
      <c r="C453" t="s">
        <v>90</v>
      </c>
      <c r="D453" t="s">
        <v>91</v>
      </c>
      <c r="E453" t="s">
        <v>55</v>
      </c>
      <c r="F453" s="1">
        <v>2393</v>
      </c>
      <c r="G453" s="2">
        <v>0.93518302550982002</v>
      </c>
    </row>
    <row r="454" spans="2:7" x14ac:dyDescent="0.3">
      <c r="B454" t="s">
        <v>205</v>
      </c>
      <c r="C454" t="s">
        <v>90</v>
      </c>
      <c r="D454" t="s">
        <v>91</v>
      </c>
      <c r="E454" t="s">
        <v>39</v>
      </c>
      <c r="F454" s="1">
        <v>2015</v>
      </c>
      <c r="G454" s="2">
        <v>0.94241361863375905</v>
      </c>
    </row>
    <row r="455" spans="2:7" x14ac:dyDescent="0.3">
      <c r="B455" t="s">
        <v>205</v>
      </c>
      <c r="C455" t="s">
        <v>90</v>
      </c>
      <c r="D455" t="s">
        <v>91</v>
      </c>
      <c r="E455" t="s">
        <v>52</v>
      </c>
      <c r="F455" s="1">
        <v>1765</v>
      </c>
      <c r="G455" s="2">
        <v>0.94874711583661397</v>
      </c>
    </row>
    <row r="456" spans="2:7" x14ac:dyDescent="0.3">
      <c r="B456" t="s">
        <v>205</v>
      </c>
      <c r="C456" t="s">
        <v>90</v>
      </c>
      <c r="D456" t="s">
        <v>91</v>
      </c>
      <c r="E456" t="s">
        <v>44</v>
      </c>
      <c r="F456" s="1">
        <v>1354</v>
      </c>
      <c r="G456" s="2">
        <v>0.95360578734520596</v>
      </c>
    </row>
    <row r="457" spans="2:7" x14ac:dyDescent="0.3">
      <c r="B457" t="s">
        <v>205</v>
      </c>
      <c r="C457" t="s">
        <v>90</v>
      </c>
      <c r="D457" t="s">
        <v>91</v>
      </c>
      <c r="E457" t="s">
        <v>41</v>
      </c>
      <c r="F457" s="1">
        <v>1321</v>
      </c>
      <c r="G457" s="2">
        <v>0.95834604219221498</v>
      </c>
    </row>
    <row r="458" spans="2:7" x14ac:dyDescent="0.3">
      <c r="B458" t="s">
        <v>205</v>
      </c>
      <c r="C458" t="s">
        <v>90</v>
      </c>
      <c r="D458" t="s">
        <v>91</v>
      </c>
      <c r="E458" t="s">
        <v>40</v>
      </c>
      <c r="F458" s="1">
        <v>1224</v>
      </c>
      <c r="G458" s="2">
        <v>0.96273822382184404</v>
      </c>
    </row>
    <row r="459" spans="2:7" x14ac:dyDescent="0.3">
      <c r="B459" t="s">
        <v>205</v>
      </c>
      <c r="C459" t="s">
        <v>90</v>
      </c>
      <c r="D459" t="s">
        <v>91</v>
      </c>
      <c r="E459" t="s">
        <v>34</v>
      </c>
      <c r="F459" s="1">
        <v>1125</v>
      </c>
      <c r="G459" s="2">
        <v>0.96677515546672299</v>
      </c>
    </row>
    <row r="460" spans="2:7" x14ac:dyDescent="0.3">
      <c r="B460" t="s">
        <v>205</v>
      </c>
      <c r="C460" t="s">
        <v>90</v>
      </c>
      <c r="D460" t="s">
        <v>91</v>
      </c>
      <c r="E460" t="s">
        <v>37</v>
      </c>
      <c r="F460" s="1">
        <v>1067</v>
      </c>
      <c r="G460" s="2">
        <v>0.97060396085791101</v>
      </c>
    </row>
    <row r="461" spans="2:7" x14ac:dyDescent="0.3">
      <c r="B461" t="s">
        <v>205</v>
      </c>
      <c r="C461" t="s">
        <v>90</v>
      </c>
      <c r="D461" t="s">
        <v>91</v>
      </c>
      <c r="E461" t="s">
        <v>45</v>
      </c>
      <c r="F461" s="1">
        <v>998</v>
      </c>
      <c r="G461" s="2">
        <v>0.97418516777487896</v>
      </c>
    </row>
    <row r="462" spans="2:7" x14ac:dyDescent="0.3">
      <c r="B462" t="s">
        <v>205</v>
      </c>
      <c r="C462" t="s">
        <v>90</v>
      </c>
      <c r="D462" t="s">
        <v>91</v>
      </c>
      <c r="E462" t="s">
        <v>48</v>
      </c>
      <c r="F462" s="1">
        <v>949</v>
      </c>
      <c r="G462" s="2">
        <v>0.97759054389131494</v>
      </c>
    </row>
    <row r="463" spans="2:7" x14ac:dyDescent="0.3">
      <c r="B463" t="s">
        <v>205</v>
      </c>
      <c r="C463" t="s">
        <v>90</v>
      </c>
      <c r="D463" t="s">
        <v>91</v>
      </c>
      <c r="E463" t="s">
        <v>80</v>
      </c>
      <c r="F463" s="1">
        <v>915</v>
      </c>
      <c r="G463" s="2">
        <v>0.980873914962483</v>
      </c>
    </row>
    <row r="464" spans="2:7" x14ac:dyDescent="0.3">
      <c r="B464" t="s">
        <v>205</v>
      </c>
      <c r="C464" t="s">
        <v>90</v>
      </c>
      <c r="D464" t="s">
        <v>91</v>
      </c>
      <c r="E464" t="s">
        <v>49</v>
      </c>
      <c r="F464" s="1">
        <v>773</v>
      </c>
      <c r="G464" s="2">
        <v>0.98364773555047602</v>
      </c>
    </row>
    <row r="465" spans="2:7" x14ac:dyDescent="0.3">
      <c r="B465" t="s">
        <v>205</v>
      </c>
      <c r="C465" t="s">
        <v>90</v>
      </c>
      <c r="D465" t="s">
        <v>91</v>
      </c>
      <c r="E465" t="s">
        <v>47</v>
      </c>
      <c r="F465" s="1">
        <v>733</v>
      </c>
      <c r="G465" s="2">
        <v>0.98627802079109494</v>
      </c>
    </row>
    <row r="466" spans="2:7" x14ac:dyDescent="0.3">
      <c r="B466" t="s">
        <v>205</v>
      </c>
      <c r="C466" t="s">
        <v>90</v>
      </c>
      <c r="D466" t="s">
        <v>91</v>
      </c>
      <c r="E466" t="s">
        <v>32</v>
      </c>
      <c r="F466" s="1">
        <v>559</v>
      </c>
      <c r="G466" s="2">
        <v>0.98828392727063996</v>
      </c>
    </row>
    <row r="467" spans="2:7" x14ac:dyDescent="0.3">
      <c r="B467" t="s">
        <v>205</v>
      </c>
      <c r="C467" t="s">
        <v>90</v>
      </c>
      <c r="D467" t="s">
        <v>91</v>
      </c>
      <c r="E467" t="s">
        <v>43</v>
      </c>
      <c r="F467" s="1">
        <v>547</v>
      </c>
      <c r="G467" s="2">
        <v>0.99024677314597198</v>
      </c>
    </row>
    <row r="468" spans="2:7" x14ac:dyDescent="0.3">
      <c r="B468" t="s">
        <v>205</v>
      </c>
      <c r="C468" t="s">
        <v>90</v>
      </c>
      <c r="D468" t="s">
        <v>91</v>
      </c>
      <c r="E468" t="s">
        <v>62</v>
      </c>
      <c r="F468" s="1">
        <v>357</v>
      </c>
      <c r="G468" s="2">
        <v>0.99152782612127999</v>
      </c>
    </row>
    <row r="469" spans="2:7" x14ac:dyDescent="0.3">
      <c r="B469" t="s">
        <v>205</v>
      </c>
      <c r="C469" t="s">
        <v>90</v>
      </c>
      <c r="D469" t="s">
        <v>91</v>
      </c>
      <c r="E469" t="s">
        <v>54</v>
      </c>
      <c r="F469" s="1">
        <v>327</v>
      </c>
      <c r="G469" s="2">
        <v>0.99270122758605805</v>
      </c>
    </row>
    <row r="470" spans="2:7" x14ac:dyDescent="0.3">
      <c r="B470" t="s">
        <v>205</v>
      </c>
      <c r="C470" t="s">
        <v>90</v>
      </c>
      <c r="D470" t="s">
        <v>91</v>
      </c>
      <c r="E470" t="s">
        <v>51</v>
      </c>
      <c r="F470" s="1">
        <v>284</v>
      </c>
      <c r="G470" s="2">
        <v>0.99372032855240999</v>
      </c>
    </row>
    <row r="471" spans="2:7" x14ac:dyDescent="0.3">
      <c r="B471" t="s">
        <v>205</v>
      </c>
      <c r="C471" t="s">
        <v>90</v>
      </c>
      <c r="D471" t="s">
        <v>91</v>
      </c>
      <c r="E471" t="s">
        <v>50</v>
      </c>
      <c r="F471" s="1">
        <v>279</v>
      </c>
      <c r="G471" s="2">
        <v>0.99472148760033996</v>
      </c>
    </row>
    <row r="472" spans="2:7" x14ac:dyDescent="0.3">
      <c r="B472" t="s">
        <v>205</v>
      </c>
      <c r="C472" t="s">
        <v>90</v>
      </c>
      <c r="D472" t="s">
        <v>91</v>
      </c>
      <c r="E472" t="s">
        <v>53</v>
      </c>
      <c r="F472" s="1">
        <v>264</v>
      </c>
      <c r="G472" s="2">
        <v>0.99566882089300501</v>
      </c>
    </row>
    <row r="473" spans="2:7" x14ac:dyDescent="0.3">
      <c r="B473" t="s">
        <v>205</v>
      </c>
      <c r="C473" t="s">
        <v>90</v>
      </c>
      <c r="D473" t="s">
        <v>91</v>
      </c>
      <c r="E473" t="s">
        <v>57</v>
      </c>
      <c r="F473" s="1">
        <v>253</v>
      </c>
      <c r="G473" s="2">
        <v>0.99657668196514204</v>
      </c>
    </row>
    <row r="474" spans="2:7" x14ac:dyDescent="0.3">
      <c r="B474" t="s">
        <v>205</v>
      </c>
      <c r="C474" t="s">
        <v>90</v>
      </c>
      <c r="D474" t="s">
        <v>91</v>
      </c>
      <c r="E474" t="s">
        <v>81</v>
      </c>
      <c r="F474" s="1">
        <v>145</v>
      </c>
      <c r="G474" s="2">
        <v>0.99709699759937098</v>
      </c>
    </row>
    <row r="475" spans="2:7" x14ac:dyDescent="0.3">
      <c r="B475" t="s">
        <v>205</v>
      </c>
      <c r="C475" t="s">
        <v>90</v>
      </c>
      <c r="D475" t="s">
        <v>91</v>
      </c>
      <c r="E475" t="s">
        <v>61</v>
      </c>
      <c r="F475" s="1">
        <v>126</v>
      </c>
      <c r="G475" s="2">
        <v>0.99754913394359801</v>
      </c>
    </row>
    <row r="476" spans="2:7" x14ac:dyDescent="0.3">
      <c r="B476" t="s">
        <v>205</v>
      </c>
      <c r="C476" t="s">
        <v>90</v>
      </c>
      <c r="D476" t="s">
        <v>91</v>
      </c>
      <c r="E476" t="s">
        <v>65</v>
      </c>
      <c r="F476" s="1">
        <v>111</v>
      </c>
      <c r="G476" s="2">
        <v>0.99794744453255901</v>
      </c>
    </row>
    <row r="477" spans="2:7" x14ac:dyDescent="0.3">
      <c r="B477" t="s">
        <v>205</v>
      </c>
      <c r="C477" t="s">
        <v>90</v>
      </c>
      <c r="D477" t="s">
        <v>91</v>
      </c>
      <c r="E477" t="s">
        <v>60</v>
      </c>
      <c r="F477" s="1">
        <v>94</v>
      </c>
      <c r="G477" s="2">
        <v>0.99828475259888705</v>
      </c>
    </row>
    <row r="478" spans="2:7" x14ac:dyDescent="0.3">
      <c r="B478" t="s">
        <v>205</v>
      </c>
      <c r="C478" t="s">
        <v>90</v>
      </c>
      <c r="D478" t="s">
        <v>91</v>
      </c>
      <c r="E478" t="s">
        <v>42</v>
      </c>
      <c r="F478" s="1">
        <v>69</v>
      </c>
      <c r="G478" s="2">
        <v>0.99853235107310601</v>
      </c>
    </row>
    <row r="479" spans="2:7" x14ac:dyDescent="0.3">
      <c r="B479" t="s">
        <v>205</v>
      </c>
      <c r="C479" t="s">
        <v>90</v>
      </c>
      <c r="D479" t="s">
        <v>91</v>
      </c>
      <c r="E479" t="s">
        <v>59</v>
      </c>
      <c r="F479" s="1">
        <v>55</v>
      </c>
      <c r="G479" s="2">
        <v>0.99872971217574502</v>
      </c>
    </row>
    <row r="480" spans="2:7" x14ac:dyDescent="0.3">
      <c r="B480" t="s">
        <v>205</v>
      </c>
      <c r="C480" t="s">
        <v>90</v>
      </c>
      <c r="D480" t="s">
        <v>91</v>
      </c>
      <c r="E480" t="s">
        <v>66</v>
      </c>
      <c r="F480" s="1">
        <v>50</v>
      </c>
      <c r="G480" s="2">
        <v>0.99890913135996195</v>
      </c>
    </row>
    <row r="481" spans="2:7" x14ac:dyDescent="0.3">
      <c r="B481" t="s">
        <v>205</v>
      </c>
      <c r="C481" t="s">
        <v>90</v>
      </c>
      <c r="D481" t="s">
        <v>91</v>
      </c>
      <c r="E481" t="s">
        <v>86</v>
      </c>
      <c r="F481" s="1">
        <v>48</v>
      </c>
      <c r="G481" s="2">
        <v>0.99908137377680994</v>
      </c>
    </row>
    <row r="482" spans="2:7" x14ac:dyDescent="0.3">
      <c r="B482" t="s">
        <v>205</v>
      </c>
      <c r="C482" t="s">
        <v>90</v>
      </c>
      <c r="D482" t="s">
        <v>91</v>
      </c>
      <c r="E482" t="s">
        <v>56</v>
      </c>
      <c r="F482" s="1">
        <v>43</v>
      </c>
      <c r="G482" s="2">
        <v>0.99923567427523596</v>
      </c>
    </row>
    <row r="483" spans="2:7" x14ac:dyDescent="0.3">
      <c r="B483" t="s">
        <v>205</v>
      </c>
      <c r="C483" t="s">
        <v>90</v>
      </c>
      <c r="D483" t="s">
        <v>91</v>
      </c>
      <c r="E483" t="s">
        <v>78</v>
      </c>
      <c r="F483" s="1">
        <v>38</v>
      </c>
      <c r="G483" s="2">
        <v>0.99937203285524101</v>
      </c>
    </row>
    <row r="484" spans="2:7" x14ac:dyDescent="0.3">
      <c r="B484" t="s">
        <v>205</v>
      </c>
      <c r="C484" t="s">
        <v>90</v>
      </c>
      <c r="D484" t="s">
        <v>91</v>
      </c>
      <c r="E484" t="s">
        <v>76</v>
      </c>
      <c r="F484" s="1">
        <v>28</v>
      </c>
      <c r="G484" s="2">
        <v>0.999472507598402</v>
      </c>
    </row>
    <row r="485" spans="2:7" x14ac:dyDescent="0.3">
      <c r="B485" t="s">
        <v>205</v>
      </c>
      <c r="C485" t="s">
        <v>90</v>
      </c>
      <c r="D485" t="s">
        <v>91</v>
      </c>
      <c r="E485" t="s">
        <v>58</v>
      </c>
      <c r="F485" s="1">
        <v>25</v>
      </c>
      <c r="G485" s="2">
        <v>0.99956221719051097</v>
      </c>
    </row>
    <row r="486" spans="2:7" x14ac:dyDescent="0.3">
      <c r="B486" t="s">
        <v>205</v>
      </c>
      <c r="C486" t="s">
        <v>90</v>
      </c>
      <c r="D486" t="s">
        <v>91</v>
      </c>
      <c r="E486" t="s">
        <v>38</v>
      </c>
      <c r="F486" s="1">
        <v>18</v>
      </c>
      <c r="G486" s="2">
        <v>0.99962680809682902</v>
      </c>
    </row>
    <row r="487" spans="2:7" x14ac:dyDescent="0.3">
      <c r="B487" t="s">
        <v>205</v>
      </c>
      <c r="C487" t="s">
        <v>90</v>
      </c>
      <c r="D487" t="s">
        <v>91</v>
      </c>
      <c r="E487" t="s">
        <v>46</v>
      </c>
      <c r="F487" s="1">
        <v>17</v>
      </c>
      <c r="G487" s="2">
        <v>0.99968781061946299</v>
      </c>
    </row>
    <row r="488" spans="2:7" x14ac:dyDescent="0.3">
      <c r="B488" t="s">
        <v>205</v>
      </c>
      <c r="C488" t="s">
        <v>90</v>
      </c>
      <c r="D488" t="s">
        <v>91</v>
      </c>
      <c r="E488" t="s">
        <v>85</v>
      </c>
      <c r="F488" s="1">
        <v>16</v>
      </c>
      <c r="G488" s="2">
        <v>0.99986005303631098</v>
      </c>
    </row>
    <row r="489" spans="2:7" x14ac:dyDescent="0.3">
      <c r="B489" t="s">
        <v>205</v>
      </c>
      <c r="C489" t="s">
        <v>90</v>
      </c>
      <c r="D489" t="s">
        <v>91</v>
      </c>
      <c r="E489" t="s">
        <v>64</v>
      </c>
      <c r="F489" s="1">
        <v>16</v>
      </c>
      <c r="G489" s="2">
        <v>0.99986005303631098</v>
      </c>
    </row>
    <row r="490" spans="2:7" x14ac:dyDescent="0.3">
      <c r="B490" t="s">
        <v>205</v>
      </c>
      <c r="C490" t="s">
        <v>90</v>
      </c>
      <c r="D490" t="s">
        <v>91</v>
      </c>
      <c r="E490" t="s">
        <v>72</v>
      </c>
      <c r="F490" s="1">
        <v>16</v>
      </c>
      <c r="G490" s="2">
        <v>0.99986005303631098</v>
      </c>
    </row>
    <row r="491" spans="2:7" x14ac:dyDescent="0.3">
      <c r="B491" t="s">
        <v>205</v>
      </c>
      <c r="C491" t="s">
        <v>90</v>
      </c>
      <c r="D491" t="s">
        <v>91</v>
      </c>
      <c r="E491" t="s">
        <v>63</v>
      </c>
      <c r="F491" s="1">
        <v>12</v>
      </c>
      <c r="G491" s="2">
        <v>0.99990311364052298</v>
      </c>
    </row>
    <row r="492" spans="2:7" x14ac:dyDescent="0.3">
      <c r="B492" t="s">
        <v>205</v>
      </c>
      <c r="C492" t="s">
        <v>90</v>
      </c>
      <c r="D492" t="s">
        <v>91</v>
      </c>
      <c r="E492" t="s">
        <v>69</v>
      </c>
      <c r="F492" s="1">
        <v>11</v>
      </c>
      <c r="G492" s="2">
        <v>0.999942585861051</v>
      </c>
    </row>
    <row r="493" spans="2:7" x14ac:dyDescent="0.3">
      <c r="B493" t="s">
        <v>205</v>
      </c>
      <c r="C493" t="s">
        <v>90</v>
      </c>
      <c r="D493" t="s">
        <v>91</v>
      </c>
      <c r="E493" t="s">
        <v>71</v>
      </c>
      <c r="F493" s="1">
        <v>9</v>
      </c>
      <c r="G493" s="2">
        <v>0.99997488131420997</v>
      </c>
    </row>
    <row r="494" spans="2:7" x14ac:dyDescent="0.3">
      <c r="B494" t="s">
        <v>205</v>
      </c>
      <c r="C494" t="s">
        <v>90</v>
      </c>
      <c r="D494" t="s">
        <v>91</v>
      </c>
      <c r="E494" t="s">
        <v>82</v>
      </c>
      <c r="F494" s="1">
        <v>6</v>
      </c>
      <c r="G494" s="2">
        <v>0.99999641161631603</v>
      </c>
    </row>
    <row r="495" spans="2:7" x14ac:dyDescent="0.3">
      <c r="B495" t="s">
        <v>205</v>
      </c>
      <c r="C495" t="s">
        <v>90</v>
      </c>
      <c r="D495" t="s">
        <v>91</v>
      </c>
      <c r="E495" t="s">
        <v>73</v>
      </c>
      <c r="F495" s="1">
        <v>0</v>
      </c>
      <c r="G495" s="2">
        <v>1</v>
      </c>
    </row>
    <row r="496" spans="2:7" x14ac:dyDescent="0.3">
      <c r="B496" t="s">
        <v>205</v>
      </c>
      <c r="C496" t="s">
        <v>90</v>
      </c>
      <c r="D496" t="s">
        <v>91</v>
      </c>
      <c r="E496" t="s">
        <v>88</v>
      </c>
      <c r="F496" s="1">
        <v>0</v>
      </c>
      <c r="G496" s="2">
        <v>1</v>
      </c>
    </row>
    <row r="497" spans="2:7" x14ac:dyDescent="0.3">
      <c r="B497" t="s">
        <v>205</v>
      </c>
      <c r="C497" t="s">
        <v>90</v>
      </c>
      <c r="D497" t="s">
        <v>91</v>
      </c>
      <c r="E497" t="s">
        <v>89</v>
      </c>
      <c r="F497" s="1">
        <v>1</v>
      </c>
      <c r="G497" s="2">
        <v>1</v>
      </c>
    </row>
    <row r="498" spans="2:7" x14ac:dyDescent="0.3">
      <c r="B498" t="s">
        <v>92</v>
      </c>
      <c r="C498" t="s">
        <v>90</v>
      </c>
      <c r="D498" t="s">
        <v>206</v>
      </c>
      <c r="E498" t="s">
        <v>210</v>
      </c>
      <c r="F498" s="1">
        <v>221578</v>
      </c>
      <c r="G498" s="2">
        <v>0.62501198810779701</v>
      </c>
    </row>
    <row r="499" spans="2:7" x14ac:dyDescent="0.3">
      <c r="B499" t="s">
        <v>92</v>
      </c>
      <c r="C499" t="s">
        <v>90</v>
      </c>
      <c r="D499" t="s">
        <v>206</v>
      </c>
      <c r="E499" t="s">
        <v>211</v>
      </c>
      <c r="F499" s="1">
        <v>77871</v>
      </c>
      <c r="G499" s="2">
        <v>0.84466515099374395</v>
      </c>
    </row>
    <row r="500" spans="2:7" x14ac:dyDescent="0.3">
      <c r="B500" t="s">
        <v>92</v>
      </c>
      <c r="C500" t="s">
        <v>90</v>
      </c>
      <c r="D500" t="s">
        <v>206</v>
      </c>
      <c r="E500" t="s">
        <v>212</v>
      </c>
      <c r="F500" s="1">
        <v>47892</v>
      </c>
      <c r="G500" s="2">
        <v>0.97975561184481497</v>
      </c>
    </row>
    <row r="501" spans="2:7" x14ac:dyDescent="0.3">
      <c r="B501" t="s">
        <v>92</v>
      </c>
      <c r="C501" t="s">
        <v>90</v>
      </c>
      <c r="D501" t="s">
        <v>206</v>
      </c>
      <c r="E501" t="s">
        <v>213</v>
      </c>
      <c r="F501" s="1">
        <v>6382</v>
      </c>
      <c r="G501" s="2">
        <v>0.99775751865913698</v>
      </c>
    </row>
    <row r="502" spans="2:7" x14ac:dyDescent="0.3">
      <c r="B502" t="s">
        <v>92</v>
      </c>
      <c r="C502" t="s">
        <v>90</v>
      </c>
      <c r="D502" t="s">
        <v>206</v>
      </c>
      <c r="E502" t="s">
        <v>214</v>
      </c>
      <c r="F502" s="1">
        <v>515</v>
      </c>
      <c r="G502" s="2">
        <v>0.99921019525101695</v>
      </c>
    </row>
    <row r="503" spans="2:7" x14ac:dyDescent="0.3">
      <c r="B503" t="s">
        <v>92</v>
      </c>
      <c r="C503" t="s">
        <v>90</v>
      </c>
      <c r="D503" t="s">
        <v>206</v>
      </c>
      <c r="E503" t="s">
        <v>215</v>
      </c>
      <c r="F503" s="1">
        <v>103</v>
      </c>
      <c r="G503" s="2">
        <v>0.99950073056939304</v>
      </c>
    </row>
    <row r="504" spans="2:7" x14ac:dyDescent="0.3">
      <c r="B504" t="s">
        <v>92</v>
      </c>
      <c r="C504" t="s">
        <v>90</v>
      </c>
      <c r="D504" t="s">
        <v>206</v>
      </c>
      <c r="E504" t="s">
        <v>216</v>
      </c>
      <c r="F504" s="1">
        <v>93</v>
      </c>
      <c r="G504" s="2">
        <v>0.99976305857530501</v>
      </c>
    </row>
    <row r="505" spans="2:7" x14ac:dyDescent="0.3">
      <c r="B505" t="s">
        <v>92</v>
      </c>
      <c r="C505" t="s">
        <v>90</v>
      </c>
      <c r="D505" t="s">
        <v>206</v>
      </c>
      <c r="E505" t="s">
        <v>217</v>
      </c>
      <c r="F505" s="1">
        <v>84</v>
      </c>
      <c r="G505" s="2">
        <v>1</v>
      </c>
    </row>
    <row r="506" spans="2:7" x14ac:dyDescent="0.3">
      <c r="B506" t="s">
        <v>191</v>
      </c>
      <c r="C506" t="s">
        <v>90</v>
      </c>
      <c r="D506" t="s">
        <v>206</v>
      </c>
      <c r="E506" t="s">
        <v>210</v>
      </c>
      <c r="F506" s="1">
        <v>179718</v>
      </c>
      <c r="G506" s="2">
        <v>0.67706206345737996</v>
      </c>
    </row>
    <row r="507" spans="2:7" x14ac:dyDescent="0.3">
      <c r="B507" t="s">
        <v>191</v>
      </c>
      <c r="C507" t="s">
        <v>90</v>
      </c>
      <c r="D507" t="s">
        <v>206</v>
      </c>
      <c r="E507" t="s">
        <v>211</v>
      </c>
      <c r="F507" s="1">
        <v>52285</v>
      </c>
      <c r="G507" s="2">
        <v>0.87403838184434801</v>
      </c>
    </row>
    <row r="508" spans="2:7" x14ac:dyDescent="0.3">
      <c r="B508" t="s">
        <v>191</v>
      </c>
      <c r="C508" t="s">
        <v>90</v>
      </c>
      <c r="D508" t="s">
        <v>206</v>
      </c>
      <c r="E508" t="s">
        <v>212</v>
      </c>
      <c r="F508" s="1">
        <v>27632</v>
      </c>
      <c r="G508" s="2">
        <v>0.97813802093144198</v>
      </c>
    </row>
    <row r="509" spans="2:7" x14ac:dyDescent="0.3">
      <c r="B509" t="s">
        <v>191</v>
      </c>
      <c r="C509" t="s">
        <v>90</v>
      </c>
      <c r="D509" t="s">
        <v>206</v>
      </c>
      <c r="E509" t="s">
        <v>213</v>
      </c>
      <c r="F509" s="1">
        <v>5036</v>
      </c>
      <c r="G509" s="2">
        <v>0.99711043633541496</v>
      </c>
    </row>
    <row r="510" spans="2:7" x14ac:dyDescent="0.3">
      <c r="B510" t="s">
        <v>191</v>
      </c>
      <c r="C510" t="s">
        <v>90</v>
      </c>
      <c r="D510" t="s">
        <v>206</v>
      </c>
      <c r="E510" t="s">
        <v>214</v>
      </c>
      <c r="F510" s="1">
        <v>456</v>
      </c>
      <c r="G510" s="2">
        <v>0.99882835163013595</v>
      </c>
    </row>
    <row r="511" spans="2:7" x14ac:dyDescent="0.3">
      <c r="B511" t="s">
        <v>191</v>
      </c>
      <c r="C511" t="s">
        <v>90</v>
      </c>
      <c r="D511" t="s">
        <v>206</v>
      </c>
      <c r="E511" t="s">
        <v>217</v>
      </c>
      <c r="F511" s="1">
        <v>152</v>
      </c>
      <c r="G511" s="2">
        <v>0.99940099006170902</v>
      </c>
    </row>
    <row r="512" spans="2:7" x14ac:dyDescent="0.3">
      <c r="B512" t="s">
        <v>191</v>
      </c>
      <c r="C512" t="s">
        <v>90</v>
      </c>
      <c r="D512" t="s">
        <v>206</v>
      </c>
      <c r="E512" t="s">
        <v>216</v>
      </c>
      <c r="F512" s="1">
        <v>101</v>
      </c>
      <c r="G512" s="2">
        <v>0.99978149323005705</v>
      </c>
    </row>
    <row r="513" spans="2:7" x14ac:dyDescent="0.3">
      <c r="B513" t="s">
        <v>191</v>
      </c>
      <c r="C513" t="s">
        <v>90</v>
      </c>
      <c r="D513" t="s">
        <v>206</v>
      </c>
      <c r="E513" t="s">
        <v>215</v>
      </c>
      <c r="F513" s="1">
        <v>58</v>
      </c>
      <c r="G513" s="2">
        <v>1</v>
      </c>
    </row>
    <row r="514" spans="2:7" x14ac:dyDescent="0.3">
      <c r="B514" t="s">
        <v>192</v>
      </c>
      <c r="C514" t="s">
        <v>90</v>
      </c>
      <c r="D514" t="s">
        <v>206</v>
      </c>
      <c r="E514" t="s">
        <v>210</v>
      </c>
      <c r="F514" s="1">
        <v>219150</v>
      </c>
      <c r="G514" s="2">
        <v>0.66641528482677503</v>
      </c>
    </row>
    <row r="515" spans="2:7" x14ac:dyDescent="0.3">
      <c r="B515" t="s">
        <v>192</v>
      </c>
      <c r="C515" t="s">
        <v>90</v>
      </c>
      <c r="D515" t="s">
        <v>206</v>
      </c>
      <c r="E515" t="s">
        <v>211</v>
      </c>
      <c r="F515" s="1">
        <v>71789</v>
      </c>
      <c r="G515" s="2">
        <v>0.88471912640756101</v>
      </c>
    </row>
    <row r="516" spans="2:7" x14ac:dyDescent="0.3">
      <c r="B516" t="s">
        <v>192</v>
      </c>
      <c r="C516" t="s">
        <v>90</v>
      </c>
      <c r="D516" t="s">
        <v>206</v>
      </c>
      <c r="E516" t="s">
        <v>212</v>
      </c>
      <c r="F516" s="1">
        <v>31529</v>
      </c>
      <c r="G516" s="2">
        <v>0.98059595741510497</v>
      </c>
    </row>
    <row r="517" spans="2:7" x14ac:dyDescent="0.3">
      <c r="B517" t="s">
        <v>192</v>
      </c>
      <c r="C517" t="s">
        <v>90</v>
      </c>
      <c r="D517" t="s">
        <v>206</v>
      </c>
      <c r="E517" t="s">
        <v>213</v>
      </c>
      <c r="F517" s="1">
        <v>4985</v>
      </c>
      <c r="G517" s="2">
        <v>0.99575489054246802</v>
      </c>
    </row>
    <row r="518" spans="2:7" x14ac:dyDescent="0.3">
      <c r="B518" t="s">
        <v>192</v>
      </c>
      <c r="C518" t="s">
        <v>90</v>
      </c>
      <c r="D518" t="s">
        <v>206</v>
      </c>
      <c r="E518" t="s">
        <v>214</v>
      </c>
      <c r="F518" s="1">
        <v>890</v>
      </c>
      <c r="G518" s="2">
        <v>0.99846129986711196</v>
      </c>
    </row>
    <row r="519" spans="2:7" x14ac:dyDescent="0.3">
      <c r="B519" t="s">
        <v>192</v>
      </c>
      <c r="C519" t="s">
        <v>90</v>
      </c>
      <c r="D519" t="s">
        <v>206</v>
      </c>
      <c r="E519" t="s">
        <v>215</v>
      </c>
      <c r="F519" s="1">
        <v>317</v>
      </c>
      <c r="G519" s="2">
        <v>0.99942526813218202</v>
      </c>
    </row>
    <row r="520" spans="2:7" x14ac:dyDescent="0.3">
      <c r="B520" t="s">
        <v>192</v>
      </c>
      <c r="C520" t="s">
        <v>90</v>
      </c>
      <c r="D520" t="s">
        <v>206</v>
      </c>
      <c r="E520" t="s">
        <v>216</v>
      </c>
      <c r="F520" s="1">
        <v>108</v>
      </c>
      <c r="G520" s="2">
        <v>0.99975368634236395</v>
      </c>
    </row>
    <row r="521" spans="2:7" x14ac:dyDescent="0.3">
      <c r="B521" t="s">
        <v>192</v>
      </c>
      <c r="C521" t="s">
        <v>90</v>
      </c>
      <c r="D521" t="s">
        <v>206</v>
      </c>
      <c r="E521" t="s">
        <v>217</v>
      </c>
      <c r="F521" s="1">
        <v>81</v>
      </c>
      <c r="G521" s="2">
        <v>1</v>
      </c>
    </row>
    <row r="522" spans="2:7" x14ac:dyDescent="0.3">
      <c r="B522" t="s">
        <v>194</v>
      </c>
      <c r="C522" t="s">
        <v>90</v>
      </c>
      <c r="D522" t="s">
        <v>206</v>
      </c>
      <c r="E522" t="s">
        <v>210</v>
      </c>
      <c r="F522" s="1">
        <v>205718</v>
      </c>
      <c r="G522" s="2">
        <v>0.640323464229687</v>
      </c>
    </row>
    <row r="523" spans="2:7" x14ac:dyDescent="0.3">
      <c r="B523" t="s">
        <v>194</v>
      </c>
      <c r="C523" t="s">
        <v>90</v>
      </c>
      <c r="D523" t="s">
        <v>206</v>
      </c>
      <c r="E523" t="s">
        <v>211</v>
      </c>
      <c r="F523" s="1">
        <v>74091</v>
      </c>
      <c r="G523" s="2">
        <v>0.87094113399238005</v>
      </c>
    </row>
    <row r="524" spans="2:7" x14ac:dyDescent="0.3">
      <c r="B524" t="s">
        <v>194</v>
      </c>
      <c r="C524" t="s">
        <v>90</v>
      </c>
      <c r="D524" t="s">
        <v>206</v>
      </c>
      <c r="E524" t="s">
        <v>212</v>
      </c>
      <c r="F524" s="1">
        <v>34346</v>
      </c>
      <c r="G524" s="2">
        <v>0.97784743145994701</v>
      </c>
    </row>
    <row r="525" spans="2:7" x14ac:dyDescent="0.3">
      <c r="B525" t="s">
        <v>194</v>
      </c>
      <c r="C525" t="s">
        <v>90</v>
      </c>
      <c r="D525" t="s">
        <v>206</v>
      </c>
      <c r="E525" t="s">
        <v>213</v>
      </c>
      <c r="F525" s="1">
        <v>6113</v>
      </c>
      <c r="G525" s="2">
        <v>0.99687492218431695</v>
      </c>
    </row>
    <row r="526" spans="2:7" x14ac:dyDescent="0.3">
      <c r="B526" t="s">
        <v>194</v>
      </c>
      <c r="C526" t="s">
        <v>90</v>
      </c>
      <c r="D526" t="s">
        <v>206</v>
      </c>
      <c r="E526" t="s">
        <v>214</v>
      </c>
      <c r="F526" s="1">
        <v>702</v>
      </c>
      <c r="G526" s="2">
        <v>0.99905998655344996</v>
      </c>
    </row>
    <row r="527" spans="2:7" x14ac:dyDescent="0.3">
      <c r="B527" t="s">
        <v>194</v>
      </c>
      <c r="C527" t="s">
        <v>90</v>
      </c>
      <c r="D527" t="s">
        <v>206</v>
      </c>
      <c r="E527" t="s">
        <v>215</v>
      </c>
      <c r="F527" s="1">
        <v>178</v>
      </c>
      <c r="G527" s="2">
        <v>0.99961403421399897</v>
      </c>
    </row>
    <row r="528" spans="2:7" x14ac:dyDescent="0.3">
      <c r="B528" t="s">
        <v>194</v>
      </c>
      <c r="C528" t="s">
        <v>90</v>
      </c>
      <c r="D528" t="s">
        <v>206</v>
      </c>
      <c r="E528" t="s">
        <v>216</v>
      </c>
      <c r="F528" s="1">
        <v>106</v>
      </c>
      <c r="G528" s="2">
        <v>0.99994397270848401</v>
      </c>
    </row>
    <row r="529" spans="2:7" x14ac:dyDescent="0.3">
      <c r="B529" t="s">
        <v>194</v>
      </c>
      <c r="C529" t="s">
        <v>90</v>
      </c>
      <c r="D529" t="s">
        <v>206</v>
      </c>
      <c r="E529" t="s">
        <v>217</v>
      </c>
      <c r="F529" s="1">
        <v>18</v>
      </c>
      <c r="G529" s="2">
        <v>1</v>
      </c>
    </row>
    <row r="530" spans="2:7" x14ac:dyDescent="0.3">
      <c r="B530" t="s">
        <v>202</v>
      </c>
      <c r="C530" t="s">
        <v>90</v>
      </c>
      <c r="D530" t="s">
        <v>206</v>
      </c>
      <c r="E530" t="s">
        <v>210</v>
      </c>
      <c r="F530" s="1">
        <v>203133</v>
      </c>
      <c r="G530" s="2">
        <v>0.63433469693657696</v>
      </c>
    </row>
    <row r="531" spans="2:7" x14ac:dyDescent="0.3">
      <c r="B531" t="s">
        <v>202</v>
      </c>
      <c r="C531" t="s">
        <v>90</v>
      </c>
      <c r="D531" t="s">
        <v>206</v>
      </c>
      <c r="E531" t="s">
        <v>211</v>
      </c>
      <c r="F531" s="1">
        <v>80154</v>
      </c>
      <c r="G531" s="2">
        <v>0.88463604284420605</v>
      </c>
    </row>
    <row r="532" spans="2:7" x14ac:dyDescent="0.3">
      <c r="B532" t="s">
        <v>202</v>
      </c>
      <c r="C532" t="s">
        <v>90</v>
      </c>
      <c r="D532" t="s">
        <v>206</v>
      </c>
      <c r="E532" t="s">
        <v>212</v>
      </c>
      <c r="F532" s="1">
        <v>34245</v>
      </c>
      <c r="G532" s="2">
        <v>0.991574805608469</v>
      </c>
    </row>
    <row r="533" spans="2:7" x14ac:dyDescent="0.3">
      <c r="B533" t="s">
        <v>202</v>
      </c>
      <c r="C533" t="s">
        <v>90</v>
      </c>
      <c r="D533" t="s">
        <v>206</v>
      </c>
      <c r="E533" t="s">
        <v>213</v>
      </c>
      <c r="F533" s="1">
        <v>1880</v>
      </c>
      <c r="G533" s="2">
        <v>0.99744558598507305</v>
      </c>
    </row>
    <row r="534" spans="2:7" x14ac:dyDescent="0.3">
      <c r="B534" t="s">
        <v>202</v>
      </c>
      <c r="C534" t="s">
        <v>90</v>
      </c>
      <c r="D534" t="s">
        <v>206</v>
      </c>
      <c r="E534" t="s">
        <v>214</v>
      </c>
      <c r="F534" s="1">
        <v>623</v>
      </c>
      <c r="G534" s="2">
        <v>0.99939106267370303</v>
      </c>
    </row>
    <row r="535" spans="2:7" x14ac:dyDescent="0.3">
      <c r="B535" t="s">
        <v>202</v>
      </c>
      <c r="C535" t="s">
        <v>90</v>
      </c>
      <c r="D535" t="s">
        <v>206</v>
      </c>
      <c r="E535" t="s">
        <v>216</v>
      </c>
      <c r="F535" s="1">
        <v>112</v>
      </c>
      <c r="G535" s="2">
        <v>0.99974081129188397</v>
      </c>
    </row>
    <row r="536" spans="2:7" x14ac:dyDescent="0.3">
      <c r="B536" t="s">
        <v>202</v>
      </c>
      <c r="C536" t="s">
        <v>90</v>
      </c>
      <c r="D536" t="s">
        <v>206</v>
      </c>
      <c r="E536" t="s">
        <v>215</v>
      </c>
      <c r="F536" s="1">
        <v>42</v>
      </c>
      <c r="G536" s="2">
        <v>0.99987196702370196</v>
      </c>
    </row>
    <row r="537" spans="2:7" x14ac:dyDescent="0.3">
      <c r="B537" t="s">
        <v>202</v>
      </c>
      <c r="C537" t="s">
        <v>90</v>
      </c>
      <c r="D537" t="s">
        <v>206</v>
      </c>
      <c r="E537" t="s">
        <v>217</v>
      </c>
      <c r="F537" s="1">
        <v>41</v>
      </c>
      <c r="G537" s="2">
        <v>1</v>
      </c>
    </row>
    <row r="538" spans="2:7" x14ac:dyDescent="0.3">
      <c r="B538" t="s">
        <v>203</v>
      </c>
      <c r="C538" t="s">
        <v>90</v>
      </c>
      <c r="D538" t="s">
        <v>206</v>
      </c>
      <c r="E538" t="s">
        <v>210</v>
      </c>
      <c r="F538" s="1">
        <v>209194</v>
      </c>
      <c r="G538" s="2">
        <v>0.55925252633267397</v>
      </c>
    </row>
    <row r="539" spans="2:7" x14ac:dyDescent="0.3">
      <c r="B539" t="s">
        <v>203</v>
      </c>
      <c r="C539" t="s">
        <v>90</v>
      </c>
      <c r="D539" t="s">
        <v>206</v>
      </c>
      <c r="E539" t="s">
        <v>211</v>
      </c>
      <c r="F539" s="1">
        <v>80021</v>
      </c>
      <c r="G539" s="2">
        <v>0.77317809977009</v>
      </c>
    </row>
    <row r="540" spans="2:7" x14ac:dyDescent="0.3">
      <c r="B540" t="s">
        <v>203</v>
      </c>
      <c r="C540" t="s">
        <v>90</v>
      </c>
      <c r="D540" t="s">
        <v>206</v>
      </c>
      <c r="E540" t="s">
        <v>212</v>
      </c>
      <c r="F540" s="1">
        <v>42166</v>
      </c>
      <c r="G540" s="2">
        <v>0.88590333101641405</v>
      </c>
    </row>
    <row r="541" spans="2:7" x14ac:dyDescent="0.3">
      <c r="B541" t="s">
        <v>203</v>
      </c>
      <c r="C541" t="s">
        <v>90</v>
      </c>
      <c r="D541" t="s">
        <v>206</v>
      </c>
      <c r="E541" t="s">
        <v>213</v>
      </c>
      <c r="F541" s="1">
        <v>41671</v>
      </c>
      <c r="G541" s="2">
        <v>0.99730524514783703</v>
      </c>
    </row>
    <row r="542" spans="2:7" x14ac:dyDescent="0.3">
      <c r="B542" t="s">
        <v>203</v>
      </c>
      <c r="C542" t="s">
        <v>90</v>
      </c>
      <c r="D542" t="s">
        <v>206</v>
      </c>
      <c r="E542" t="s">
        <v>214</v>
      </c>
      <c r="F542" s="1">
        <v>714</v>
      </c>
      <c r="G542" s="2">
        <v>0.99921402983478602</v>
      </c>
    </row>
    <row r="543" spans="2:7" x14ac:dyDescent="0.3">
      <c r="B543" t="s">
        <v>203</v>
      </c>
      <c r="C543" t="s">
        <v>90</v>
      </c>
      <c r="D543" t="s">
        <v>206</v>
      </c>
      <c r="E543" t="s">
        <v>215</v>
      </c>
      <c r="F543" s="1">
        <v>91</v>
      </c>
      <c r="G543" s="2">
        <v>0.99945730631449503</v>
      </c>
    </row>
    <row r="544" spans="2:7" x14ac:dyDescent="0.3">
      <c r="B544" t="s">
        <v>203</v>
      </c>
      <c r="C544" t="s">
        <v>90</v>
      </c>
      <c r="D544" t="s">
        <v>206</v>
      </c>
      <c r="E544" t="s">
        <v>217</v>
      </c>
      <c r="F544" s="1">
        <v>89</v>
      </c>
      <c r="G544" s="2">
        <v>0.99969523605838595</v>
      </c>
    </row>
    <row r="545" spans="2:7" x14ac:dyDescent="0.3">
      <c r="B545" t="s">
        <v>203</v>
      </c>
      <c r="C545" t="s">
        <v>90</v>
      </c>
      <c r="D545" t="s">
        <v>206</v>
      </c>
      <c r="E545" t="s">
        <v>216</v>
      </c>
      <c r="F545" s="1">
        <v>88</v>
      </c>
      <c r="G545" s="2">
        <v>0.99993049243436904</v>
      </c>
    </row>
    <row r="546" spans="2:7" x14ac:dyDescent="0.3">
      <c r="B546" t="s">
        <v>203</v>
      </c>
      <c r="C546" t="s">
        <v>90</v>
      </c>
      <c r="D546" t="s">
        <v>206</v>
      </c>
      <c r="E546" t="s">
        <v>218</v>
      </c>
      <c r="F546" s="1">
        <v>26</v>
      </c>
      <c r="G546" s="2">
        <v>1</v>
      </c>
    </row>
    <row r="547" spans="2:7" x14ac:dyDescent="0.3">
      <c r="B547" t="s">
        <v>205</v>
      </c>
      <c r="C547" t="s">
        <v>90</v>
      </c>
      <c r="D547" t="s">
        <v>206</v>
      </c>
      <c r="E547" t="s">
        <v>210</v>
      </c>
      <c r="F547" s="1">
        <v>203498</v>
      </c>
      <c r="G547" s="2">
        <v>0.55662292050744799</v>
      </c>
    </row>
    <row r="548" spans="2:7" x14ac:dyDescent="0.3">
      <c r="B548" t="s">
        <v>205</v>
      </c>
      <c r="C548" t="s">
        <v>90</v>
      </c>
      <c r="D548" t="s">
        <v>206</v>
      </c>
      <c r="E548" t="s">
        <v>218</v>
      </c>
      <c r="F548" s="1">
        <v>69520</v>
      </c>
      <c r="G548" s="2">
        <v>0.74677921410088799</v>
      </c>
    </row>
    <row r="549" spans="2:7" x14ac:dyDescent="0.3">
      <c r="B549" t="s">
        <v>205</v>
      </c>
      <c r="C549" t="s">
        <v>90</v>
      </c>
      <c r="D549" t="s">
        <v>206</v>
      </c>
      <c r="E549" t="s">
        <v>211</v>
      </c>
      <c r="F549" s="1">
        <v>59923</v>
      </c>
      <c r="G549" s="2">
        <v>0.91068507688857003</v>
      </c>
    </row>
    <row r="550" spans="2:7" x14ac:dyDescent="0.3">
      <c r="B550" t="s">
        <v>205</v>
      </c>
      <c r="C550" t="s">
        <v>90</v>
      </c>
      <c r="D550" t="s">
        <v>206</v>
      </c>
      <c r="E550" t="s">
        <v>212</v>
      </c>
      <c r="F550" s="1">
        <v>26571</v>
      </c>
      <c r="G550" s="2">
        <v>0.98336405958522299</v>
      </c>
    </row>
    <row r="551" spans="2:7" x14ac:dyDescent="0.3">
      <c r="B551" t="s">
        <v>205</v>
      </c>
      <c r="C551" t="s">
        <v>90</v>
      </c>
      <c r="D551" t="s">
        <v>206</v>
      </c>
      <c r="E551" t="s">
        <v>213</v>
      </c>
      <c r="F551" s="1">
        <v>5329</v>
      </c>
      <c r="G551" s="2">
        <v>0.99794033818935801</v>
      </c>
    </row>
    <row r="552" spans="2:7" x14ac:dyDescent="0.3">
      <c r="B552" t="s">
        <v>205</v>
      </c>
      <c r="C552" t="s">
        <v>90</v>
      </c>
      <c r="D552" t="s">
        <v>206</v>
      </c>
      <c r="E552" t="s">
        <v>214</v>
      </c>
      <c r="F552" s="1">
        <v>505</v>
      </c>
      <c r="G552" s="2">
        <v>0.99932165188706601</v>
      </c>
    </row>
    <row r="553" spans="2:7" x14ac:dyDescent="0.3">
      <c r="B553" t="s">
        <v>205</v>
      </c>
      <c r="C553" t="s">
        <v>90</v>
      </c>
      <c r="D553" t="s">
        <v>206</v>
      </c>
      <c r="E553" t="s">
        <v>216</v>
      </c>
      <c r="F553" s="1">
        <v>111</v>
      </c>
      <c r="G553" s="2">
        <v>0.99962526737309698</v>
      </c>
    </row>
    <row r="554" spans="2:7" x14ac:dyDescent="0.3">
      <c r="B554" t="s">
        <v>205</v>
      </c>
      <c r="C554" t="s">
        <v>90</v>
      </c>
      <c r="D554" t="s">
        <v>206</v>
      </c>
      <c r="E554" t="s">
        <v>215</v>
      </c>
      <c r="F554" s="1">
        <v>97</v>
      </c>
      <c r="G554" s="2">
        <v>0.99989058901404304</v>
      </c>
    </row>
    <row r="555" spans="2:7" x14ac:dyDescent="0.3">
      <c r="B555" t="s">
        <v>205</v>
      </c>
      <c r="C555" t="s">
        <v>90</v>
      </c>
      <c r="D555" t="s">
        <v>206</v>
      </c>
      <c r="E555" t="s">
        <v>217</v>
      </c>
      <c r="F555" s="1">
        <v>40</v>
      </c>
      <c r="G555" s="2">
        <v>1</v>
      </c>
    </row>
    <row r="556" spans="2:7" x14ac:dyDescent="0.3">
      <c r="B556" t="s">
        <v>92</v>
      </c>
      <c r="C556" t="s">
        <v>219</v>
      </c>
      <c r="D556" t="s">
        <v>91</v>
      </c>
      <c r="E556" t="s">
        <v>210</v>
      </c>
      <c r="F556" s="1">
        <v>202407</v>
      </c>
      <c r="G556" s="2">
        <v>0.93605971336475002</v>
      </c>
    </row>
    <row r="557" spans="2:7" x14ac:dyDescent="0.3">
      <c r="B557" t="s">
        <v>92</v>
      </c>
      <c r="C557" t="s">
        <v>219</v>
      </c>
      <c r="D557" t="s">
        <v>91</v>
      </c>
      <c r="E557" t="s">
        <v>220</v>
      </c>
      <c r="F557" s="1">
        <v>8897</v>
      </c>
      <c r="G557" s="2">
        <v>0.97720514445066198</v>
      </c>
    </row>
    <row r="558" spans="2:7" x14ac:dyDescent="0.3">
      <c r="B558" t="s">
        <v>92</v>
      </c>
      <c r="C558" t="s">
        <v>219</v>
      </c>
      <c r="D558" t="s">
        <v>91</v>
      </c>
      <c r="E558" t="s">
        <v>221</v>
      </c>
      <c r="F558" s="1">
        <v>2022</v>
      </c>
      <c r="G558" s="2">
        <v>0.98655616857741402</v>
      </c>
    </row>
    <row r="559" spans="2:7" x14ac:dyDescent="0.3">
      <c r="B559" t="s">
        <v>92</v>
      </c>
      <c r="C559" t="s">
        <v>219</v>
      </c>
      <c r="D559" t="s">
        <v>91</v>
      </c>
      <c r="E559" t="s">
        <v>211</v>
      </c>
      <c r="F559" s="1">
        <v>1609</v>
      </c>
      <c r="G559" s="2">
        <v>0.99399721596611101</v>
      </c>
    </row>
    <row r="560" spans="2:7" x14ac:dyDescent="0.3">
      <c r="B560" t="s">
        <v>92</v>
      </c>
      <c r="C560" t="s">
        <v>219</v>
      </c>
      <c r="D560" t="s">
        <v>91</v>
      </c>
      <c r="E560" t="s">
        <v>214</v>
      </c>
      <c r="F560" s="1">
        <v>936</v>
      </c>
      <c r="G560" s="2">
        <v>0.99832587995356903</v>
      </c>
    </row>
    <row r="561" spans="2:7" x14ac:dyDescent="0.3">
      <c r="B561" t="s">
        <v>92</v>
      </c>
      <c r="C561" t="s">
        <v>219</v>
      </c>
      <c r="D561" t="s">
        <v>91</v>
      </c>
      <c r="E561" t="s">
        <v>216</v>
      </c>
      <c r="F561" s="1">
        <v>153</v>
      </c>
      <c r="G561" s="2">
        <v>0.99903345002844202</v>
      </c>
    </row>
    <row r="562" spans="2:7" x14ac:dyDescent="0.3">
      <c r="B562" t="s">
        <v>92</v>
      </c>
      <c r="C562" t="s">
        <v>219</v>
      </c>
      <c r="D562" t="s">
        <v>91</v>
      </c>
      <c r="E562" t="s">
        <v>215</v>
      </c>
      <c r="F562" s="1">
        <v>139</v>
      </c>
      <c r="G562" s="2">
        <v>0.99967627512914303</v>
      </c>
    </row>
    <row r="563" spans="2:7" x14ac:dyDescent="0.3">
      <c r="B563" t="s">
        <v>92</v>
      </c>
      <c r="C563" t="s">
        <v>219</v>
      </c>
      <c r="D563" t="s">
        <v>91</v>
      </c>
      <c r="E563" t="s">
        <v>217</v>
      </c>
      <c r="F563" s="1">
        <v>70</v>
      </c>
      <c r="G563" s="2">
        <v>1</v>
      </c>
    </row>
    <row r="564" spans="2:7" x14ac:dyDescent="0.3">
      <c r="B564" t="s">
        <v>191</v>
      </c>
      <c r="C564" t="s">
        <v>219</v>
      </c>
      <c r="D564" t="s">
        <v>91</v>
      </c>
      <c r="E564" t="s">
        <v>210</v>
      </c>
      <c r="F564" s="1">
        <v>182660</v>
      </c>
      <c r="G564" s="2">
        <v>0.94609153251704103</v>
      </c>
    </row>
    <row r="565" spans="2:7" x14ac:dyDescent="0.3">
      <c r="B565" t="s">
        <v>191</v>
      </c>
      <c r="C565" t="s">
        <v>219</v>
      </c>
      <c r="D565" t="s">
        <v>91</v>
      </c>
      <c r="E565" t="s">
        <v>220</v>
      </c>
      <c r="F565" s="1">
        <v>5776</v>
      </c>
      <c r="G565" s="2">
        <v>0.97600845298029704</v>
      </c>
    </row>
    <row r="566" spans="2:7" x14ac:dyDescent="0.3">
      <c r="B566" t="s">
        <v>191</v>
      </c>
      <c r="C566" t="s">
        <v>219</v>
      </c>
      <c r="D566" t="s">
        <v>91</v>
      </c>
      <c r="E566" t="s">
        <v>221</v>
      </c>
      <c r="F566" s="1">
        <v>1868</v>
      </c>
      <c r="G566" s="2">
        <v>0.98568380052623905</v>
      </c>
    </row>
    <row r="567" spans="2:7" x14ac:dyDescent="0.3">
      <c r="B567" t="s">
        <v>191</v>
      </c>
      <c r="C567" t="s">
        <v>219</v>
      </c>
      <c r="D567" t="s">
        <v>91</v>
      </c>
      <c r="E567" t="s">
        <v>211</v>
      </c>
      <c r="F567" s="1">
        <v>1705</v>
      </c>
      <c r="G567" s="2">
        <v>0.99451488594691995</v>
      </c>
    </row>
    <row r="568" spans="2:7" x14ac:dyDescent="0.3">
      <c r="B568" t="s">
        <v>191</v>
      </c>
      <c r="C568" t="s">
        <v>219</v>
      </c>
      <c r="D568" t="s">
        <v>91</v>
      </c>
      <c r="E568" t="s">
        <v>214</v>
      </c>
      <c r="F568" s="1">
        <v>864</v>
      </c>
      <c r="G568" s="2">
        <v>0.99898999316303105</v>
      </c>
    </row>
    <row r="569" spans="2:7" x14ac:dyDescent="0.3">
      <c r="B569" t="s">
        <v>191</v>
      </c>
      <c r="C569" t="s">
        <v>219</v>
      </c>
      <c r="D569" t="s">
        <v>91</v>
      </c>
      <c r="E569" t="s">
        <v>216</v>
      </c>
      <c r="F569" s="1">
        <v>81</v>
      </c>
      <c r="G569" s="2">
        <v>0.99940953446454095</v>
      </c>
    </row>
    <row r="570" spans="2:7" x14ac:dyDescent="0.3">
      <c r="B570" t="s">
        <v>191</v>
      </c>
      <c r="C570" t="s">
        <v>219</v>
      </c>
      <c r="D570" t="s">
        <v>91</v>
      </c>
      <c r="E570" t="s">
        <v>217</v>
      </c>
      <c r="F570" s="1">
        <v>76</v>
      </c>
      <c r="G570" s="2">
        <v>0.99980317815484698</v>
      </c>
    </row>
    <row r="571" spans="2:7" x14ac:dyDescent="0.3">
      <c r="B571" t="s">
        <v>191</v>
      </c>
      <c r="C571" t="s">
        <v>219</v>
      </c>
      <c r="D571" t="s">
        <v>91</v>
      </c>
      <c r="E571" t="s">
        <v>215</v>
      </c>
      <c r="F571" s="1">
        <v>38</v>
      </c>
      <c r="G571" s="2">
        <v>1</v>
      </c>
    </row>
    <row r="572" spans="2:7" x14ac:dyDescent="0.3">
      <c r="B572" t="s">
        <v>192</v>
      </c>
      <c r="C572" t="s">
        <v>219</v>
      </c>
      <c r="D572" t="s">
        <v>91</v>
      </c>
      <c r="E572" t="s">
        <v>210</v>
      </c>
      <c r="F572" s="1">
        <v>200934</v>
      </c>
      <c r="G572" s="2">
        <v>0.955481797086012</v>
      </c>
    </row>
    <row r="573" spans="2:7" x14ac:dyDescent="0.3">
      <c r="B573" t="s">
        <v>192</v>
      </c>
      <c r="C573" t="s">
        <v>219</v>
      </c>
      <c r="D573" t="s">
        <v>91</v>
      </c>
      <c r="E573" t="s">
        <v>220</v>
      </c>
      <c r="F573" s="1">
        <v>4527</v>
      </c>
      <c r="G573" s="2">
        <v>0.97700859740556201</v>
      </c>
    </row>
    <row r="574" spans="2:7" x14ac:dyDescent="0.3">
      <c r="B574" t="s">
        <v>192</v>
      </c>
      <c r="C574" t="s">
        <v>219</v>
      </c>
      <c r="D574" t="s">
        <v>91</v>
      </c>
      <c r="E574" t="s">
        <v>221</v>
      </c>
      <c r="F574" s="1">
        <v>1869</v>
      </c>
      <c r="G574" s="2">
        <v>0.98589607030090898</v>
      </c>
    </row>
    <row r="575" spans="2:7" x14ac:dyDescent="0.3">
      <c r="B575" t="s">
        <v>192</v>
      </c>
      <c r="C575" t="s">
        <v>219</v>
      </c>
      <c r="D575" t="s">
        <v>91</v>
      </c>
      <c r="E575" t="s">
        <v>214</v>
      </c>
      <c r="F575" s="1">
        <v>1439</v>
      </c>
      <c r="G575" s="2">
        <v>0.99273880625404198</v>
      </c>
    </row>
    <row r="576" spans="2:7" x14ac:dyDescent="0.3">
      <c r="B576" t="s">
        <v>192</v>
      </c>
      <c r="C576" t="s">
        <v>219</v>
      </c>
      <c r="D576" t="s">
        <v>91</v>
      </c>
      <c r="E576" t="s">
        <v>211</v>
      </c>
      <c r="F576" s="1">
        <v>927</v>
      </c>
      <c r="G576" s="2">
        <v>0.99714687868528196</v>
      </c>
    </row>
    <row r="577" spans="2:7" x14ac:dyDescent="0.3">
      <c r="B577" t="s">
        <v>192</v>
      </c>
      <c r="C577" t="s">
        <v>219</v>
      </c>
      <c r="D577" t="s">
        <v>91</v>
      </c>
      <c r="E577" t="s">
        <v>217</v>
      </c>
      <c r="F577" s="1">
        <v>266</v>
      </c>
      <c r="G577" s="2">
        <v>0.99841176246814001</v>
      </c>
    </row>
    <row r="578" spans="2:7" x14ac:dyDescent="0.3">
      <c r="B578" t="s">
        <v>192</v>
      </c>
      <c r="C578" t="s">
        <v>219</v>
      </c>
      <c r="D578" t="s">
        <v>91</v>
      </c>
      <c r="E578" t="s">
        <v>215</v>
      </c>
      <c r="F578" s="1">
        <v>217</v>
      </c>
      <c r="G578" s="2">
        <v>0.99944364134362995</v>
      </c>
    </row>
    <row r="579" spans="2:7" x14ac:dyDescent="0.3">
      <c r="B579" t="s">
        <v>192</v>
      </c>
      <c r="C579" t="s">
        <v>219</v>
      </c>
      <c r="D579" t="s">
        <v>91</v>
      </c>
      <c r="E579" t="s">
        <v>216</v>
      </c>
      <c r="F579" s="1">
        <v>117</v>
      </c>
      <c r="G579" s="2">
        <v>1</v>
      </c>
    </row>
    <row r="580" spans="2:7" x14ac:dyDescent="0.3">
      <c r="B580" t="s">
        <v>194</v>
      </c>
      <c r="C580" t="s">
        <v>219</v>
      </c>
      <c r="D580" t="s">
        <v>91</v>
      </c>
      <c r="E580" t="s">
        <v>210</v>
      </c>
      <c r="F580" s="1">
        <v>198030</v>
      </c>
      <c r="G580" s="2">
        <v>0.94972040246698097</v>
      </c>
    </row>
    <row r="581" spans="2:7" x14ac:dyDescent="0.3">
      <c r="B581" t="s">
        <v>194</v>
      </c>
      <c r="C581" t="s">
        <v>219</v>
      </c>
      <c r="D581" t="s">
        <v>91</v>
      </c>
      <c r="E581" t="s">
        <v>220</v>
      </c>
      <c r="F581" s="1">
        <v>4993</v>
      </c>
      <c r="G581" s="2">
        <v>0.973666036812876</v>
      </c>
    </row>
    <row r="582" spans="2:7" x14ac:dyDescent="0.3">
      <c r="B582" t="s">
        <v>194</v>
      </c>
      <c r="C582" t="s">
        <v>219</v>
      </c>
      <c r="D582" t="s">
        <v>91</v>
      </c>
      <c r="E582" t="s">
        <v>221</v>
      </c>
      <c r="F582" s="1">
        <v>2224</v>
      </c>
      <c r="G582" s="2">
        <v>0.984331987300613</v>
      </c>
    </row>
    <row r="583" spans="2:7" x14ac:dyDescent="0.3">
      <c r="B583" t="s">
        <v>194</v>
      </c>
      <c r="C583" t="s">
        <v>219</v>
      </c>
      <c r="D583" t="s">
        <v>91</v>
      </c>
      <c r="E583" t="s">
        <v>214</v>
      </c>
      <c r="F583" s="1">
        <v>2157</v>
      </c>
      <c r="G583" s="2">
        <v>0.99467661643822503</v>
      </c>
    </row>
    <row r="584" spans="2:7" x14ac:dyDescent="0.3">
      <c r="B584" t="s">
        <v>194</v>
      </c>
      <c r="C584" t="s">
        <v>219</v>
      </c>
      <c r="D584" t="s">
        <v>91</v>
      </c>
      <c r="E584" t="s">
        <v>211</v>
      </c>
      <c r="F584" s="1">
        <v>657</v>
      </c>
      <c r="G584" s="2">
        <v>0.99782748400586996</v>
      </c>
    </row>
    <row r="585" spans="2:7" x14ac:dyDescent="0.3">
      <c r="B585" t="s">
        <v>194</v>
      </c>
      <c r="C585" t="s">
        <v>219</v>
      </c>
      <c r="D585" t="s">
        <v>91</v>
      </c>
      <c r="E585" t="s">
        <v>215</v>
      </c>
      <c r="F585" s="1">
        <v>333</v>
      </c>
      <c r="G585" s="2">
        <v>0.99942449907440301</v>
      </c>
    </row>
    <row r="586" spans="2:7" x14ac:dyDescent="0.3">
      <c r="B586" t="s">
        <v>194</v>
      </c>
      <c r="C586" t="s">
        <v>219</v>
      </c>
      <c r="D586" t="s">
        <v>91</v>
      </c>
      <c r="E586" t="s">
        <v>216</v>
      </c>
      <c r="F586" s="1">
        <v>85</v>
      </c>
      <c r="G586" s="2">
        <v>0.99983214556336697</v>
      </c>
    </row>
    <row r="587" spans="2:7" x14ac:dyDescent="0.3">
      <c r="B587" t="s">
        <v>194</v>
      </c>
      <c r="C587" t="s">
        <v>219</v>
      </c>
      <c r="D587" t="s">
        <v>91</v>
      </c>
      <c r="E587" t="s">
        <v>217</v>
      </c>
      <c r="F587" s="1">
        <v>35</v>
      </c>
      <c r="G587" s="2">
        <v>1</v>
      </c>
    </row>
    <row r="588" spans="2:7" x14ac:dyDescent="0.3">
      <c r="B588" t="s">
        <v>202</v>
      </c>
      <c r="C588" t="s">
        <v>219</v>
      </c>
      <c r="D588" t="s">
        <v>91</v>
      </c>
      <c r="E588" t="s">
        <v>210</v>
      </c>
      <c r="F588" s="1">
        <v>192329</v>
      </c>
      <c r="G588" s="2">
        <v>0.94520783573654199</v>
      </c>
    </row>
    <row r="589" spans="2:7" x14ac:dyDescent="0.3">
      <c r="B589" t="s">
        <v>202</v>
      </c>
      <c r="C589" t="s">
        <v>219</v>
      </c>
      <c r="D589" t="s">
        <v>91</v>
      </c>
      <c r="E589" t="s">
        <v>220</v>
      </c>
      <c r="F589" s="1">
        <v>7575</v>
      </c>
      <c r="G589" s="2">
        <v>0.982435447566813</v>
      </c>
    </row>
    <row r="590" spans="2:7" x14ac:dyDescent="0.3">
      <c r="B590" t="s">
        <v>202</v>
      </c>
      <c r="C590" t="s">
        <v>219</v>
      </c>
      <c r="D590" t="s">
        <v>91</v>
      </c>
      <c r="E590" t="s">
        <v>221</v>
      </c>
      <c r="F590" s="1">
        <v>1761</v>
      </c>
      <c r="G590" s="2">
        <v>0.99108994584181098</v>
      </c>
    </row>
    <row r="591" spans="2:7" x14ac:dyDescent="0.3">
      <c r="B591" t="s">
        <v>202</v>
      </c>
      <c r="C591" t="s">
        <v>219</v>
      </c>
      <c r="D591" t="s">
        <v>91</v>
      </c>
      <c r="E591" t="s">
        <v>214</v>
      </c>
      <c r="F591" s="1">
        <v>802</v>
      </c>
      <c r="G591" s="2">
        <v>0.99503140388641498</v>
      </c>
    </row>
    <row r="592" spans="2:7" x14ac:dyDescent="0.3">
      <c r="B592" t="s">
        <v>202</v>
      </c>
      <c r="C592" t="s">
        <v>219</v>
      </c>
      <c r="D592" t="s">
        <v>91</v>
      </c>
      <c r="E592" t="s">
        <v>211</v>
      </c>
      <c r="F592" s="1">
        <v>558</v>
      </c>
      <c r="G592" s="2">
        <v>0.99777371509450696</v>
      </c>
    </row>
    <row r="593" spans="2:7" x14ac:dyDescent="0.3">
      <c r="B593" t="s">
        <v>202</v>
      </c>
      <c r="C593" t="s">
        <v>219</v>
      </c>
      <c r="D593" t="s">
        <v>91</v>
      </c>
      <c r="E593" t="s">
        <v>216</v>
      </c>
      <c r="F593" s="1">
        <v>216</v>
      </c>
      <c r="G593" s="2">
        <v>0.99883525491699299</v>
      </c>
    </row>
    <row r="594" spans="2:7" x14ac:dyDescent="0.3">
      <c r="B594" t="s">
        <v>202</v>
      </c>
      <c r="C594" t="s">
        <v>219</v>
      </c>
      <c r="D594" t="s">
        <v>91</v>
      </c>
      <c r="E594" t="s">
        <v>215</v>
      </c>
      <c r="F594" s="1">
        <v>167</v>
      </c>
      <c r="G594" s="2">
        <v>0.99965598246493503</v>
      </c>
    </row>
    <row r="595" spans="2:7" x14ac:dyDescent="0.3">
      <c r="B595" t="s">
        <v>202</v>
      </c>
      <c r="C595" t="s">
        <v>219</v>
      </c>
      <c r="D595" t="s">
        <v>91</v>
      </c>
      <c r="E595" t="s">
        <v>217</v>
      </c>
      <c r="F595" s="1">
        <v>70</v>
      </c>
      <c r="G595" s="2">
        <v>1</v>
      </c>
    </row>
    <row r="596" spans="2:7" x14ac:dyDescent="0.3">
      <c r="B596" t="s">
        <v>203</v>
      </c>
      <c r="C596" t="s">
        <v>219</v>
      </c>
      <c r="D596" t="s">
        <v>91</v>
      </c>
      <c r="E596" t="s">
        <v>210</v>
      </c>
      <c r="F596" s="1">
        <v>201639</v>
      </c>
      <c r="G596" s="2">
        <v>0.93595777864423801</v>
      </c>
    </row>
    <row r="597" spans="2:7" x14ac:dyDescent="0.3">
      <c r="B597" t="s">
        <v>203</v>
      </c>
      <c r="C597" t="s">
        <v>219</v>
      </c>
      <c r="D597" t="s">
        <v>91</v>
      </c>
      <c r="E597" t="s">
        <v>220</v>
      </c>
      <c r="F597" s="1">
        <v>9011</v>
      </c>
      <c r="G597" s="2">
        <v>0.977784585677417</v>
      </c>
    </row>
    <row r="598" spans="2:7" x14ac:dyDescent="0.3">
      <c r="B598" t="s">
        <v>203</v>
      </c>
      <c r="C598" t="s">
        <v>219</v>
      </c>
      <c r="D598" t="s">
        <v>91</v>
      </c>
      <c r="E598" t="s">
        <v>221</v>
      </c>
      <c r="F598" s="1">
        <v>2285</v>
      </c>
      <c r="G598" s="2">
        <v>0.98839098386527802</v>
      </c>
    </row>
    <row r="599" spans="2:7" x14ac:dyDescent="0.3">
      <c r="B599" t="s">
        <v>203</v>
      </c>
      <c r="C599" t="s">
        <v>219</v>
      </c>
      <c r="D599" t="s">
        <v>91</v>
      </c>
      <c r="E599" t="s">
        <v>211</v>
      </c>
      <c r="F599" s="1">
        <v>1338</v>
      </c>
      <c r="G599" s="2">
        <v>0.99460164503611304</v>
      </c>
    </row>
    <row r="600" spans="2:7" x14ac:dyDescent="0.3">
      <c r="B600" t="s">
        <v>203</v>
      </c>
      <c r="C600" t="s">
        <v>219</v>
      </c>
      <c r="D600" t="s">
        <v>91</v>
      </c>
      <c r="E600" t="s">
        <v>214</v>
      </c>
      <c r="F600" s="1">
        <v>727</v>
      </c>
      <c r="G600" s="2">
        <v>0.99797619710726204</v>
      </c>
    </row>
    <row r="601" spans="2:7" x14ac:dyDescent="0.3">
      <c r="B601" t="s">
        <v>203</v>
      </c>
      <c r="C601" t="s">
        <v>219</v>
      </c>
      <c r="D601" t="s">
        <v>91</v>
      </c>
      <c r="E601" t="s">
        <v>215</v>
      </c>
      <c r="F601" s="1">
        <v>218</v>
      </c>
      <c r="G601" s="2">
        <v>0.99898809855363102</v>
      </c>
    </row>
    <row r="602" spans="2:7" x14ac:dyDescent="0.3">
      <c r="B602" t="s">
        <v>203</v>
      </c>
      <c r="C602" t="s">
        <v>219</v>
      </c>
      <c r="D602" t="s">
        <v>91</v>
      </c>
      <c r="E602" t="s">
        <v>216</v>
      </c>
      <c r="F602" s="1">
        <v>166</v>
      </c>
      <c r="G602" s="2">
        <v>0.999758629012793</v>
      </c>
    </row>
    <row r="603" spans="2:7" x14ac:dyDescent="0.3">
      <c r="B603" t="s">
        <v>203</v>
      </c>
      <c r="C603" t="s">
        <v>219</v>
      </c>
      <c r="D603" t="s">
        <v>91</v>
      </c>
      <c r="E603" t="s">
        <v>217</v>
      </c>
      <c r="F603" s="1">
        <v>52</v>
      </c>
      <c r="G603" s="2">
        <v>1</v>
      </c>
    </row>
    <row r="604" spans="2:7" x14ac:dyDescent="0.3">
      <c r="B604" t="s">
        <v>205</v>
      </c>
      <c r="C604" t="s">
        <v>219</v>
      </c>
      <c r="D604" t="s">
        <v>91</v>
      </c>
      <c r="E604" t="s">
        <v>210</v>
      </c>
      <c r="F604" s="1">
        <v>243205</v>
      </c>
      <c r="G604" s="2">
        <v>0.89186047364445098</v>
      </c>
    </row>
    <row r="605" spans="2:7" x14ac:dyDescent="0.3">
      <c r="B605" t="s">
        <v>205</v>
      </c>
      <c r="C605" t="s">
        <v>219</v>
      </c>
      <c r="D605" t="s">
        <v>91</v>
      </c>
      <c r="E605" t="s">
        <v>218</v>
      </c>
      <c r="F605" s="1">
        <v>17988</v>
      </c>
      <c r="G605" s="2">
        <v>0.95782452125826001</v>
      </c>
    </row>
    <row r="606" spans="2:7" x14ac:dyDescent="0.3">
      <c r="B606" t="s">
        <v>205</v>
      </c>
      <c r="C606" t="s">
        <v>219</v>
      </c>
      <c r="D606" t="s">
        <v>91</v>
      </c>
      <c r="E606" t="s">
        <v>220</v>
      </c>
      <c r="F606" s="1">
        <v>7576</v>
      </c>
      <c r="G606" s="2">
        <v>0.98560657733576795</v>
      </c>
    </row>
    <row r="607" spans="2:7" x14ac:dyDescent="0.3">
      <c r="B607" t="s">
        <v>205</v>
      </c>
      <c r="C607" t="s">
        <v>219</v>
      </c>
      <c r="D607" t="s">
        <v>91</v>
      </c>
      <c r="E607" t="s">
        <v>221</v>
      </c>
      <c r="F607" s="1">
        <v>2272</v>
      </c>
      <c r="G607" s="2">
        <v>0.993938260467777</v>
      </c>
    </row>
    <row r="608" spans="2:7" x14ac:dyDescent="0.3">
      <c r="B608" t="s">
        <v>205</v>
      </c>
      <c r="C608" t="s">
        <v>219</v>
      </c>
      <c r="D608" t="s">
        <v>91</v>
      </c>
      <c r="E608" t="s">
        <v>211</v>
      </c>
      <c r="F608" s="1">
        <v>946</v>
      </c>
      <c r="G608" s="2">
        <v>0.99740735036341099</v>
      </c>
    </row>
    <row r="609" spans="2:7" x14ac:dyDescent="0.3">
      <c r="B609" t="s">
        <v>205</v>
      </c>
      <c r="C609" t="s">
        <v>219</v>
      </c>
      <c r="D609" t="s">
        <v>91</v>
      </c>
      <c r="E609" t="s">
        <v>214</v>
      </c>
      <c r="F609" s="1">
        <v>472</v>
      </c>
      <c r="G609" s="2">
        <v>0.99913822819717302</v>
      </c>
    </row>
    <row r="610" spans="2:7" x14ac:dyDescent="0.3">
      <c r="B610" t="s">
        <v>205</v>
      </c>
      <c r="C610" t="s">
        <v>219</v>
      </c>
      <c r="D610" t="s">
        <v>91</v>
      </c>
      <c r="E610" t="s">
        <v>215</v>
      </c>
      <c r="F610" s="1">
        <v>104</v>
      </c>
      <c r="G610" s="2">
        <v>0.99951960805884998</v>
      </c>
    </row>
    <row r="611" spans="2:7" x14ac:dyDescent="0.3">
      <c r="B611" t="s">
        <v>205</v>
      </c>
      <c r="C611" t="s">
        <v>219</v>
      </c>
      <c r="D611" t="s">
        <v>91</v>
      </c>
      <c r="E611" t="s">
        <v>216</v>
      </c>
      <c r="F611" s="1">
        <v>100</v>
      </c>
      <c r="G611" s="2">
        <v>0.99988631946430795</v>
      </c>
    </row>
    <row r="612" spans="2:7" x14ac:dyDescent="0.3">
      <c r="B612" t="s">
        <v>205</v>
      </c>
      <c r="C612" t="s">
        <v>219</v>
      </c>
      <c r="D612" t="s">
        <v>91</v>
      </c>
      <c r="E612" t="s">
        <v>217</v>
      </c>
      <c r="F612" s="1">
        <v>31</v>
      </c>
      <c r="G612" s="2">
        <v>1</v>
      </c>
    </row>
    <row r="613" spans="2:7" x14ac:dyDescent="0.3">
      <c r="B613" t="s">
        <v>92</v>
      </c>
      <c r="C613" t="s">
        <v>219</v>
      </c>
      <c r="D613" t="s">
        <v>206</v>
      </c>
      <c r="E613" t="s">
        <v>222</v>
      </c>
      <c r="F613" s="1">
        <v>31949</v>
      </c>
      <c r="G613" s="2">
        <v>0.25134329297554098</v>
      </c>
    </row>
    <row r="614" spans="2:7" x14ac:dyDescent="0.3">
      <c r="B614" t="s">
        <v>92</v>
      </c>
      <c r="C614" t="s">
        <v>219</v>
      </c>
      <c r="D614" t="s">
        <v>206</v>
      </c>
      <c r="E614" t="s">
        <v>18</v>
      </c>
      <c r="F614" s="1">
        <v>17933</v>
      </c>
      <c r="G614" s="2">
        <v>0.39242249022523301</v>
      </c>
    </row>
    <row r="615" spans="2:7" x14ac:dyDescent="0.3">
      <c r="B615" t="s">
        <v>92</v>
      </c>
      <c r="C615" t="s">
        <v>219</v>
      </c>
      <c r="D615" t="s">
        <v>206</v>
      </c>
      <c r="E615" t="s">
        <v>223</v>
      </c>
      <c r="F615" s="1">
        <v>14425</v>
      </c>
      <c r="G615" s="2">
        <v>0.50590419547961296</v>
      </c>
    </row>
    <row r="616" spans="2:7" x14ac:dyDescent="0.3">
      <c r="B616" t="s">
        <v>92</v>
      </c>
      <c r="C616" t="s">
        <v>219</v>
      </c>
      <c r="D616" t="s">
        <v>206</v>
      </c>
      <c r="E616" t="s">
        <v>23</v>
      </c>
      <c r="F616" s="1">
        <v>10967</v>
      </c>
      <c r="G616" s="2">
        <v>0.59218175953678998</v>
      </c>
    </row>
    <row r="617" spans="2:7" x14ac:dyDescent="0.3">
      <c r="B617" t="s">
        <v>92</v>
      </c>
      <c r="C617" t="s">
        <v>219</v>
      </c>
      <c r="D617" t="s">
        <v>206</v>
      </c>
      <c r="E617" t="s">
        <v>224</v>
      </c>
      <c r="F617" s="1">
        <v>10794</v>
      </c>
      <c r="G617" s="2">
        <v>0.67709832983251095</v>
      </c>
    </row>
    <row r="618" spans="2:7" x14ac:dyDescent="0.3">
      <c r="B618" t="s">
        <v>92</v>
      </c>
      <c r="C618" t="s">
        <v>219</v>
      </c>
      <c r="D618" t="s">
        <v>206</v>
      </c>
      <c r="E618" t="s">
        <v>22</v>
      </c>
      <c r="F618" s="1">
        <v>6231</v>
      </c>
      <c r="G618" s="2">
        <v>0.72611770629282602</v>
      </c>
    </row>
    <row r="619" spans="2:7" x14ac:dyDescent="0.3">
      <c r="B619" t="s">
        <v>92</v>
      </c>
      <c r="C619" t="s">
        <v>219</v>
      </c>
      <c r="D619" t="s">
        <v>206</v>
      </c>
      <c r="E619" t="s">
        <v>27</v>
      </c>
      <c r="F619" s="1">
        <v>4912</v>
      </c>
      <c r="G619" s="2">
        <v>0.76476048869903201</v>
      </c>
    </row>
    <row r="620" spans="2:7" x14ac:dyDescent="0.3">
      <c r="B620" t="s">
        <v>92</v>
      </c>
      <c r="C620" t="s">
        <v>219</v>
      </c>
      <c r="D620" t="s">
        <v>206</v>
      </c>
      <c r="E620" t="s">
        <v>24</v>
      </c>
      <c r="F620" s="1">
        <v>4611</v>
      </c>
      <c r="G620" s="2">
        <v>0.80103529930062201</v>
      </c>
    </row>
    <row r="621" spans="2:7" x14ac:dyDescent="0.3">
      <c r="B621" t="s">
        <v>92</v>
      </c>
      <c r="C621" t="s">
        <v>219</v>
      </c>
      <c r="D621" t="s">
        <v>206</v>
      </c>
      <c r="E621" t="s">
        <v>225</v>
      </c>
      <c r="F621" s="1">
        <v>4189</v>
      </c>
      <c r="G621" s="2">
        <v>0.83399022916617505</v>
      </c>
    </row>
    <row r="622" spans="2:7" x14ac:dyDescent="0.3">
      <c r="B622" t="s">
        <v>92</v>
      </c>
      <c r="C622" t="s">
        <v>219</v>
      </c>
      <c r="D622" t="s">
        <v>206</v>
      </c>
      <c r="E622" t="s">
        <v>26</v>
      </c>
      <c r="F622" s="1">
        <v>3843</v>
      </c>
      <c r="G622" s="2">
        <v>0.864223171508815</v>
      </c>
    </row>
    <row r="623" spans="2:7" x14ac:dyDescent="0.3">
      <c r="B623" t="s">
        <v>92</v>
      </c>
      <c r="C623" t="s">
        <v>219</v>
      </c>
      <c r="D623" t="s">
        <v>206</v>
      </c>
      <c r="E623" t="s">
        <v>44</v>
      </c>
      <c r="F623" s="1">
        <v>3645</v>
      </c>
      <c r="G623" s="2">
        <v>0.89289844469094404</v>
      </c>
    </row>
    <row r="624" spans="2:7" x14ac:dyDescent="0.3">
      <c r="B624" t="s">
        <v>92</v>
      </c>
      <c r="C624" t="s">
        <v>219</v>
      </c>
      <c r="D624" t="s">
        <v>206</v>
      </c>
      <c r="E624" t="s">
        <v>25</v>
      </c>
      <c r="F624" s="1">
        <v>3317</v>
      </c>
      <c r="G624" s="2">
        <v>0.91899333663747995</v>
      </c>
    </row>
    <row r="625" spans="2:7" x14ac:dyDescent="0.3">
      <c r="B625" t="s">
        <v>92</v>
      </c>
      <c r="C625" t="s">
        <v>219</v>
      </c>
      <c r="D625" t="s">
        <v>206</v>
      </c>
      <c r="E625" t="s">
        <v>39</v>
      </c>
      <c r="F625" s="1">
        <v>1880</v>
      </c>
      <c r="G625" s="2">
        <v>0.93378332664636998</v>
      </c>
    </row>
    <row r="626" spans="2:7" x14ac:dyDescent="0.3">
      <c r="B626" t="s">
        <v>92</v>
      </c>
      <c r="C626" t="s">
        <v>219</v>
      </c>
      <c r="D626" t="s">
        <v>206</v>
      </c>
      <c r="E626" t="s">
        <v>20</v>
      </c>
      <c r="F626" s="1">
        <v>1440</v>
      </c>
      <c r="G626" s="2">
        <v>0.94511182963190199</v>
      </c>
    </row>
    <row r="627" spans="2:7" x14ac:dyDescent="0.3">
      <c r="B627" t="s">
        <v>92</v>
      </c>
      <c r="C627" t="s">
        <v>219</v>
      </c>
      <c r="D627" t="s">
        <v>206</v>
      </c>
      <c r="E627" t="s">
        <v>45</v>
      </c>
      <c r="F627" s="1">
        <v>1013</v>
      </c>
      <c r="G627" s="2">
        <v>0.95308111680158603</v>
      </c>
    </row>
    <row r="628" spans="2:7" x14ac:dyDescent="0.3">
      <c r="B628" t="s">
        <v>92</v>
      </c>
      <c r="C628" t="s">
        <v>219</v>
      </c>
      <c r="D628" t="s">
        <v>206</v>
      </c>
      <c r="E628" t="s">
        <v>28</v>
      </c>
      <c r="F628" s="1">
        <v>1005</v>
      </c>
      <c r="G628" s="2">
        <v>0.96098746784357203</v>
      </c>
    </row>
    <row r="629" spans="2:7" x14ac:dyDescent="0.3">
      <c r="B629" t="s">
        <v>92</v>
      </c>
      <c r="C629" t="s">
        <v>219</v>
      </c>
      <c r="D629" t="s">
        <v>206</v>
      </c>
      <c r="E629" t="s">
        <v>32</v>
      </c>
      <c r="F629" s="1">
        <v>840</v>
      </c>
      <c r="G629" s="2">
        <v>0.96759576125180002</v>
      </c>
    </row>
    <row r="630" spans="2:7" x14ac:dyDescent="0.3">
      <c r="B630" t="s">
        <v>92</v>
      </c>
      <c r="C630" t="s">
        <v>219</v>
      </c>
      <c r="D630" t="s">
        <v>206</v>
      </c>
      <c r="E630" t="s">
        <v>226</v>
      </c>
      <c r="F630" s="1">
        <v>679</v>
      </c>
      <c r="G630" s="2">
        <v>0.97293746509011703</v>
      </c>
    </row>
    <row r="631" spans="2:7" x14ac:dyDescent="0.3">
      <c r="B631" t="s">
        <v>92</v>
      </c>
      <c r="C631" t="s">
        <v>219</v>
      </c>
      <c r="D631" t="s">
        <v>206</v>
      </c>
      <c r="E631" t="s">
        <v>35</v>
      </c>
      <c r="F631" s="1">
        <v>586</v>
      </c>
      <c r="G631" s="2">
        <v>0.97754753644395098</v>
      </c>
    </row>
    <row r="632" spans="2:7" x14ac:dyDescent="0.3">
      <c r="B632" t="s">
        <v>92</v>
      </c>
      <c r="C632" t="s">
        <v>219</v>
      </c>
      <c r="D632" t="s">
        <v>206</v>
      </c>
      <c r="E632" t="s">
        <v>33</v>
      </c>
      <c r="F632" s="1">
        <v>514</v>
      </c>
      <c r="G632" s="2">
        <v>0.98159118264850997</v>
      </c>
    </row>
    <row r="633" spans="2:7" x14ac:dyDescent="0.3">
      <c r="B633" t="s">
        <v>92</v>
      </c>
      <c r="C633" t="s">
        <v>219</v>
      </c>
      <c r="D633" t="s">
        <v>206</v>
      </c>
      <c r="E633" t="s">
        <v>50</v>
      </c>
      <c r="F633" s="1">
        <v>369</v>
      </c>
      <c r="G633" s="2">
        <v>0.98449411153855204</v>
      </c>
    </row>
    <row r="634" spans="2:7" x14ac:dyDescent="0.3">
      <c r="B634" t="s">
        <v>92</v>
      </c>
      <c r="C634" t="s">
        <v>219</v>
      </c>
      <c r="D634" t="s">
        <v>206</v>
      </c>
      <c r="E634" t="s">
        <v>41</v>
      </c>
      <c r="F634" s="1">
        <v>322</v>
      </c>
      <c r="G634" s="2">
        <v>0.98702729067837303</v>
      </c>
    </row>
    <row r="635" spans="2:7" x14ac:dyDescent="0.3">
      <c r="B635" t="s">
        <v>92</v>
      </c>
      <c r="C635" t="s">
        <v>219</v>
      </c>
      <c r="D635" t="s">
        <v>206</v>
      </c>
      <c r="E635" t="s">
        <v>53</v>
      </c>
      <c r="F635" s="1">
        <v>217</v>
      </c>
      <c r="G635" s="2">
        <v>0.98873443314216503</v>
      </c>
    </row>
    <row r="636" spans="2:7" x14ac:dyDescent="0.3">
      <c r="B636" t="s">
        <v>92</v>
      </c>
      <c r="C636" t="s">
        <v>219</v>
      </c>
      <c r="D636" t="s">
        <v>206</v>
      </c>
      <c r="E636" t="s">
        <v>38</v>
      </c>
      <c r="F636" s="1">
        <v>184</v>
      </c>
      <c r="G636" s="2">
        <v>0.990181964079205</v>
      </c>
    </row>
    <row r="637" spans="2:7" x14ac:dyDescent="0.3">
      <c r="B637" t="s">
        <v>92</v>
      </c>
      <c r="C637" t="s">
        <v>219</v>
      </c>
      <c r="D637" t="s">
        <v>206</v>
      </c>
      <c r="E637" t="s">
        <v>221</v>
      </c>
      <c r="F637" s="1">
        <v>170</v>
      </c>
      <c r="G637" s="2">
        <v>0.99151935679277503</v>
      </c>
    </row>
    <row r="638" spans="2:7" x14ac:dyDescent="0.3">
      <c r="B638" t="s">
        <v>92</v>
      </c>
      <c r="C638" t="s">
        <v>219</v>
      </c>
      <c r="D638" t="s">
        <v>206</v>
      </c>
      <c r="E638" t="s">
        <v>47</v>
      </c>
      <c r="F638" s="1">
        <v>164</v>
      </c>
      <c r="G638" s="2">
        <v>0.99280954741057204</v>
      </c>
    </row>
    <row r="639" spans="2:7" x14ac:dyDescent="0.3">
      <c r="B639" t="s">
        <v>92</v>
      </c>
      <c r="C639" t="s">
        <v>219</v>
      </c>
      <c r="D639" t="s">
        <v>206</v>
      </c>
      <c r="E639" t="s">
        <v>48</v>
      </c>
      <c r="F639" s="1">
        <v>163</v>
      </c>
      <c r="G639" s="2">
        <v>0.99409187101240604</v>
      </c>
    </row>
    <row r="640" spans="2:7" x14ac:dyDescent="0.3">
      <c r="B640" t="s">
        <v>92</v>
      </c>
      <c r="C640" t="s">
        <v>219</v>
      </c>
      <c r="D640" t="s">
        <v>206</v>
      </c>
      <c r="E640" t="s">
        <v>37</v>
      </c>
      <c r="F640" s="1">
        <v>141</v>
      </c>
      <c r="G640" s="2">
        <v>0.99520112026307295</v>
      </c>
    </row>
    <row r="641" spans="2:7" x14ac:dyDescent="0.3">
      <c r="B641" t="s">
        <v>92</v>
      </c>
      <c r="C641" t="s">
        <v>219</v>
      </c>
      <c r="D641" t="s">
        <v>206</v>
      </c>
      <c r="E641" t="s">
        <v>46</v>
      </c>
      <c r="F641" s="1">
        <v>123</v>
      </c>
      <c r="G641" s="2">
        <v>0.99616876322642101</v>
      </c>
    </row>
    <row r="642" spans="2:7" x14ac:dyDescent="0.3">
      <c r="B642" t="s">
        <v>92</v>
      </c>
      <c r="C642" t="s">
        <v>219</v>
      </c>
      <c r="D642" t="s">
        <v>206</v>
      </c>
      <c r="E642" t="s">
        <v>54</v>
      </c>
      <c r="F642" s="1">
        <v>59</v>
      </c>
      <c r="G642" s="2">
        <v>0.99663291716818903</v>
      </c>
    </row>
    <row r="643" spans="2:7" x14ac:dyDescent="0.3">
      <c r="B643" t="s">
        <v>92</v>
      </c>
      <c r="C643" t="s">
        <v>219</v>
      </c>
      <c r="D643" t="s">
        <v>206</v>
      </c>
      <c r="E643" t="s">
        <v>49</v>
      </c>
      <c r="F643" s="1">
        <v>53</v>
      </c>
      <c r="G643" s="2">
        <v>0.99746682086018001</v>
      </c>
    </row>
    <row r="644" spans="2:7" x14ac:dyDescent="0.3">
      <c r="B644" t="s">
        <v>92</v>
      </c>
      <c r="C644" t="s">
        <v>219</v>
      </c>
      <c r="D644" t="s">
        <v>206</v>
      </c>
      <c r="E644" t="s">
        <v>76</v>
      </c>
      <c r="F644" s="1">
        <v>53</v>
      </c>
      <c r="G644" s="2">
        <v>0.99746682086018001</v>
      </c>
    </row>
    <row r="645" spans="2:7" x14ac:dyDescent="0.3">
      <c r="B645" t="s">
        <v>92</v>
      </c>
      <c r="C645" t="s">
        <v>219</v>
      </c>
      <c r="D645" t="s">
        <v>206</v>
      </c>
      <c r="E645" t="s">
        <v>52</v>
      </c>
      <c r="F645" s="1">
        <v>52</v>
      </c>
      <c r="G645" s="2">
        <v>0.99787590569021301</v>
      </c>
    </row>
    <row r="646" spans="2:7" x14ac:dyDescent="0.3">
      <c r="B646" t="s">
        <v>92</v>
      </c>
      <c r="C646" t="s">
        <v>219</v>
      </c>
      <c r="D646" t="s">
        <v>206</v>
      </c>
      <c r="E646" t="s">
        <v>36</v>
      </c>
      <c r="F646" s="1">
        <v>39</v>
      </c>
      <c r="G646" s="2">
        <v>0.99818271931273705</v>
      </c>
    </row>
    <row r="647" spans="2:7" x14ac:dyDescent="0.3">
      <c r="B647" t="s">
        <v>92</v>
      </c>
      <c r="C647" t="s">
        <v>219</v>
      </c>
      <c r="D647" t="s">
        <v>206</v>
      </c>
      <c r="E647" t="s">
        <v>30</v>
      </c>
      <c r="F647" s="1">
        <v>35</v>
      </c>
      <c r="G647" s="2">
        <v>0.99873341043009001</v>
      </c>
    </row>
    <row r="648" spans="2:7" x14ac:dyDescent="0.3">
      <c r="B648" t="s">
        <v>92</v>
      </c>
      <c r="C648" t="s">
        <v>219</v>
      </c>
      <c r="D648" t="s">
        <v>206</v>
      </c>
      <c r="E648" t="s">
        <v>43</v>
      </c>
      <c r="F648" s="1">
        <v>35</v>
      </c>
      <c r="G648" s="2">
        <v>0.99873341043009001</v>
      </c>
    </row>
    <row r="649" spans="2:7" x14ac:dyDescent="0.3">
      <c r="B649" t="s">
        <v>92</v>
      </c>
      <c r="C649" t="s">
        <v>219</v>
      </c>
      <c r="D649" t="s">
        <v>206</v>
      </c>
      <c r="E649" t="s">
        <v>42</v>
      </c>
      <c r="F649" s="1">
        <v>32</v>
      </c>
      <c r="G649" s="2">
        <v>0.99898515494087903</v>
      </c>
    </row>
    <row r="650" spans="2:7" x14ac:dyDescent="0.3">
      <c r="B650" t="s">
        <v>92</v>
      </c>
      <c r="C650" t="s">
        <v>219</v>
      </c>
      <c r="D650" t="s">
        <v>206</v>
      </c>
      <c r="E650" t="s">
        <v>80</v>
      </c>
      <c r="F650" s="1">
        <v>25</v>
      </c>
      <c r="G650" s="2">
        <v>0.99918183033993402</v>
      </c>
    </row>
    <row r="651" spans="2:7" x14ac:dyDescent="0.3">
      <c r="B651" t="s">
        <v>92</v>
      </c>
      <c r="C651" t="s">
        <v>219</v>
      </c>
      <c r="D651" t="s">
        <v>206</v>
      </c>
      <c r="E651" t="s">
        <v>213</v>
      </c>
      <c r="F651" s="1">
        <v>19</v>
      </c>
      <c r="G651" s="2">
        <v>0.99948077694649595</v>
      </c>
    </row>
    <row r="652" spans="2:7" x14ac:dyDescent="0.3">
      <c r="B652" t="s">
        <v>92</v>
      </c>
      <c r="C652" t="s">
        <v>219</v>
      </c>
      <c r="D652" t="s">
        <v>206</v>
      </c>
      <c r="E652" t="s">
        <v>88</v>
      </c>
      <c r="F652" s="1">
        <v>19</v>
      </c>
      <c r="G652" s="2">
        <v>0.99948077694649595</v>
      </c>
    </row>
    <row r="653" spans="2:7" x14ac:dyDescent="0.3">
      <c r="B653" t="s">
        <v>92</v>
      </c>
      <c r="C653" t="s">
        <v>219</v>
      </c>
      <c r="D653" t="s">
        <v>206</v>
      </c>
      <c r="E653" t="s">
        <v>51</v>
      </c>
      <c r="F653" s="1">
        <v>16</v>
      </c>
      <c r="G653" s="2">
        <v>0.99960664920189102</v>
      </c>
    </row>
    <row r="654" spans="2:7" x14ac:dyDescent="0.3">
      <c r="B654" t="s">
        <v>92</v>
      </c>
      <c r="C654" t="s">
        <v>219</v>
      </c>
      <c r="D654" t="s">
        <v>206</v>
      </c>
      <c r="E654" t="s">
        <v>79</v>
      </c>
      <c r="F654" s="1">
        <v>10</v>
      </c>
      <c r="G654" s="2">
        <v>0.99968531936151295</v>
      </c>
    </row>
    <row r="655" spans="2:7" x14ac:dyDescent="0.3">
      <c r="B655" t="s">
        <v>92</v>
      </c>
      <c r="C655" t="s">
        <v>219</v>
      </c>
      <c r="D655" t="s">
        <v>206</v>
      </c>
      <c r="E655" t="s">
        <v>65</v>
      </c>
      <c r="F655" s="1">
        <v>9</v>
      </c>
      <c r="G655" s="2">
        <v>0.99975612250517298</v>
      </c>
    </row>
    <row r="656" spans="2:7" x14ac:dyDescent="0.3">
      <c r="B656" t="s">
        <v>92</v>
      </c>
      <c r="C656" t="s">
        <v>219</v>
      </c>
      <c r="D656" t="s">
        <v>206</v>
      </c>
      <c r="E656" t="s">
        <v>83</v>
      </c>
      <c r="F656" s="1">
        <v>6</v>
      </c>
      <c r="G656" s="2">
        <v>0.99989772879249195</v>
      </c>
    </row>
    <row r="657" spans="2:7" x14ac:dyDescent="0.3">
      <c r="B657" t="s">
        <v>92</v>
      </c>
      <c r="C657" t="s">
        <v>219</v>
      </c>
      <c r="D657" t="s">
        <v>206</v>
      </c>
      <c r="E657" t="s">
        <v>59</v>
      </c>
      <c r="F657" s="1">
        <v>6</v>
      </c>
      <c r="G657" s="2">
        <v>0.99989772879249195</v>
      </c>
    </row>
    <row r="658" spans="2:7" x14ac:dyDescent="0.3">
      <c r="B658" t="s">
        <v>92</v>
      </c>
      <c r="C658" t="s">
        <v>219</v>
      </c>
      <c r="D658" t="s">
        <v>206</v>
      </c>
      <c r="E658" t="s">
        <v>63</v>
      </c>
      <c r="F658" s="1">
        <v>6</v>
      </c>
      <c r="G658" s="2">
        <v>0.99989772879249195</v>
      </c>
    </row>
    <row r="659" spans="2:7" x14ac:dyDescent="0.3">
      <c r="B659" t="s">
        <v>92</v>
      </c>
      <c r="C659" t="s">
        <v>219</v>
      </c>
      <c r="D659" t="s">
        <v>206</v>
      </c>
      <c r="E659" t="s">
        <v>89</v>
      </c>
      <c r="F659" s="1">
        <v>5</v>
      </c>
      <c r="G659" s="2">
        <v>0.99993706387230297</v>
      </c>
    </row>
    <row r="660" spans="2:7" x14ac:dyDescent="0.3">
      <c r="B660" t="s">
        <v>92</v>
      </c>
      <c r="C660" t="s">
        <v>219</v>
      </c>
      <c r="D660" t="s">
        <v>206</v>
      </c>
      <c r="E660" t="s">
        <v>74</v>
      </c>
      <c r="F660" s="1">
        <v>3</v>
      </c>
      <c r="G660" s="2">
        <v>0.99998426596807599</v>
      </c>
    </row>
    <row r="661" spans="2:7" x14ac:dyDescent="0.3">
      <c r="B661" t="s">
        <v>92</v>
      </c>
      <c r="C661" t="s">
        <v>219</v>
      </c>
      <c r="D661" t="s">
        <v>206</v>
      </c>
      <c r="E661" t="s">
        <v>84</v>
      </c>
      <c r="F661" s="1">
        <v>3</v>
      </c>
      <c r="G661" s="2">
        <v>0.99998426596807599</v>
      </c>
    </row>
    <row r="662" spans="2:7" x14ac:dyDescent="0.3">
      <c r="B662" t="s">
        <v>92</v>
      </c>
      <c r="C662" t="s">
        <v>219</v>
      </c>
      <c r="D662" t="s">
        <v>206</v>
      </c>
      <c r="E662" t="s">
        <v>77</v>
      </c>
      <c r="F662" s="1">
        <v>1</v>
      </c>
      <c r="G662" s="2">
        <v>1</v>
      </c>
    </row>
    <row r="663" spans="2:7" x14ac:dyDescent="0.3">
      <c r="B663" t="s">
        <v>92</v>
      </c>
      <c r="C663" t="s">
        <v>219</v>
      </c>
      <c r="D663" t="s">
        <v>206</v>
      </c>
      <c r="E663" t="s">
        <v>70</v>
      </c>
      <c r="F663" s="1">
        <v>1</v>
      </c>
      <c r="G663" s="2">
        <v>1</v>
      </c>
    </row>
    <row r="664" spans="2:7" x14ac:dyDescent="0.3">
      <c r="B664" t="s">
        <v>92</v>
      </c>
      <c r="C664" t="s">
        <v>219</v>
      </c>
      <c r="D664" t="s">
        <v>206</v>
      </c>
      <c r="E664" t="s">
        <v>81</v>
      </c>
      <c r="F664" s="1">
        <v>0</v>
      </c>
      <c r="G664" s="2">
        <v>1</v>
      </c>
    </row>
    <row r="665" spans="2:7" x14ac:dyDescent="0.3">
      <c r="B665" t="s">
        <v>92</v>
      </c>
      <c r="C665" t="s">
        <v>219</v>
      </c>
      <c r="D665" t="s">
        <v>206</v>
      </c>
      <c r="E665" t="s">
        <v>85</v>
      </c>
      <c r="F665" s="1">
        <v>0</v>
      </c>
      <c r="G665" s="2">
        <v>1</v>
      </c>
    </row>
    <row r="666" spans="2:7" x14ac:dyDescent="0.3">
      <c r="B666" t="s">
        <v>92</v>
      </c>
      <c r="C666" t="s">
        <v>219</v>
      </c>
      <c r="D666" t="s">
        <v>206</v>
      </c>
      <c r="E666" t="s">
        <v>87</v>
      </c>
      <c r="F666" s="1">
        <v>0</v>
      </c>
      <c r="G666" s="2">
        <v>1</v>
      </c>
    </row>
    <row r="667" spans="2:7" x14ac:dyDescent="0.3">
      <c r="B667" t="s">
        <v>92</v>
      </c>
      <c r="C667" t="s">
        <v>219</v>
      </c>
      <c r="D667" t="s">
        <v>206</v>
      </c>
      <c r="E667" t="s">
        <v>66</v>
      </c>
      <c r="F667" s="1">
        <v>0</v>
      </c>
      <c r="G667" s="2">
        <v>1</v>
      </c>
    </row>
    <row r="668" spans="2:7" x14ac:dyDescent="0.3">
      <c r="B668" t="s">
        <v>92</v>
      </c>
      <c r="C668" t="s">
        <v>219</v>
      </c>
      <c r="D668" t="s">
        <v>206</v>
      </c>
      <c r="E668" t="s">
        <v>75</v>
      </c>
      <c r="F668" s="1">
        <v>0</v>
      </c>
      <c r="G668" s="2">
        <v>1</v>
      </c>
    </row>
    <row r="669" spans="2:7" x14ac:dyDescent="0.3">
      <c r="B669" t="s">
        <v>191</v>
      </c>
      <c r="C669" t="s">
        <v>219</v>
      </c>
      <c r="D669" t="s">
        <v>206</v>
      </c>
      <c r="E669" t="s">
        <v>222</v>
      </c>
      <c r="F669" s="1">
        <v>28081</v>
      </c>
      <c r="G669" s="2">
        <v>0.25239760194864103</v>
      </c>
    </row>
    <row r="670" spans="2:7" x14ac:dyDescent="0.3">
      <c r="B670" t="s">
        <v>191</v>
      </c>
      <c r="C670" t="s">
        <v>219</v>
      </c>
      <c r="D670" t="s">
        <v>206</v>
      </c>
      <c r="E670" t="s">
        <v>18</v>
      </c>
      <c r="F670" s="1">
        <v>13250</v>
      </c>
      <c r="G670" s="2">
        <v>0.371491232012368</v>
      </c>
    </row>
    <row r="671" spans="2:7" x14ac:dyDescent="0.3">
      <c r="B671" t="s">
        <v>191</v>
      </c>
      <c r="C671" t="s">
        <v>219</v>
      </c>
      <c r="D671" t="s">
        <v>206</v>
      </c>
      <c r="E671" t="s">
        <v>223</v>
      </c>
      <c r="F671" s="1">
        <v>11270</v>
      </c>
      <c r="G671" s="2">
        <v>0.47278822905524998</v>
      </c>
    </row>
    <row r="672" spans="2:7" x14ac:dyDescent="0.3">
      <c r="B672" t="s">
        <v>191</v>
      </c>
      <c r="C672" t="s">
        <v>219</v>
      </c>
      <c r="D672" t="s">
        <v>206</v>
      </c>
      <c r="E672" t="s">
        <v>23</v>
      </c>
      <c r="F672" s="1">
        <v>10017</v>
      </c>
      <c r="G672" s="2">
        <v>0.56282301338342799</v>
      </c>
    </row>
    <row r="673" spans="2:7" x14ac:dyDescent="0.3">
      <c r="B673" t="s">
        <v>191</v>
      </c>
      <c r="C673" t="s">
        <v>219</v>
      </c>
      <c r="D673" t="s">
        <v>206</v>
      </c>
      <c r="E673" t="s">
        <v>22</v>
      </c>
      <c r="F673" s="1">
        <v>8939</v>
      </c>
      <c r="G673" s="2">
        <v>0.64316851973359002</v>
      </c>
    </row>
    <row r="674" spans="2:7" x14ac:dyDescent="0.3">
      <c r="B674" t="s">
        <v>191</v>
      </c>
      <c r="C674" t="s">
        <v>219</v>
      </c>
      <c r="D674" t="s">
        <v>206</v>
      </c>
      <c r="E674" t="s">
        <v>224</v>
      </c>
      <c r="F674" s="1">
        <v>8336</v>
      </c>
      <c r="G674" s="2">
        <v>0.71809414239104097</v>
      </c>
    </row>
    <row r="675" spans="2:7" x14ac:dyDescent="0.3">
      <c r="B675" t="s">
        <v>191</v>
      </c>
      <c r="C675" t="s">
        <v>219</v>
      </c>
      <c r="D675" t="s">
        <v>206</v>
      </c>
      <c r="E675" t="s">
        <v>26</v>
      </c>
      <c r="F675" s="1">
        <v>6048</v>
      </c>
      <c r="G675" s="2">
        <v>0.77245476689107195</v>
      </c>
    </row>
    <row r="676" spans="2:7" x14ac:dyDescent="0.3">
      <c r="B676" t="s">
        <v>191</v>
      </c>
      <c r="C676" t="s">
        <v>219</v>
      </c>
      <c r="D676" t="s">
        <v>206</v>
      </c>
      <c r="E676" t="s">
        <v>225</v>
      </c>
      <c r="F676" s="1">
        <v>4984</v>
      </c>
      <c r="G676" s="2">
        <v>0.81725194819202396</v>
      </c>
    </row>
    <row r="677" spans="2:7" x14ac:dyDescent="0.3">
      <c r="B677" t="s">
        <v>191</v>
      </c>
      <c r="C677" t="s">
        <v>219</v>
      </c>
      <c r="D677" t="s">
        <v>206</v>
      </c>
      <c r="E677" t="s">
        <v>24</v>
      </c>
      <c r="F677" s="1">
        <v>3911</v>
      </c>
      <c r="G677" s="2">
        <v>0.85240479250743795</v>
      </c>
    </row>
    <row r="678" spans="2:7" x14ac:dyDescent="0.3">
      <c r="B678" t="s">
        <v>191</v>
      </c>
      <c r="C678" t="s">
        <v>219</v>
      </c>
      <c r="D678" t="s">
        <v>206</v>
      </c>
      <c r="E678" t="s">
        <v>27</v>
      </c>
      <c r="F678" s="1">
        <v>3193</v>
      </c>
      <c r="G678" s="2">
        <v>0.88110411030317204</v>
      </c>
    </row>
    <row r="679" spans="2:7" x14ac:dyDescent="0.3">
      <c r="B679" t="s">
        <v>191</v>
      </c>
      <c r="C679" t="s">
        <v>219</v>
      </c>
      <c r="D679" t="s">
        <v>206</v>
      </c>
      <c r="E679" t="s">
        <v>44</v>
      </c>
      <c r="F679" s="1">
        <v>3032</v>
      </c>
      <c r="G679" s="2">
        <v>0.90835632814115097</v>
      </c>
    </row>
    <row r="680" spans="2:7" x14ac:dyDescent="0.3">
      <c r="B680" t="s">
        <v>191</v>
      </c>
      <c r="C680" t="s">
        <v>219</v>
      </c>
      <c r="D680" t="s">
        <v>206</v>
      </c>
      <c r="E680" t="s">
        <v>25</v>
      </c>
      <c r="F680" s="1">
        <v>2289</v>
      </c>
      <c r="G680" s="2">
        <v>0.92893031449706498</v>
      </c>
    </row>
    <row r="681" spans="2:7" x14ac:dyDescent="0.3">
      <c r="B681" t="s">
        <v>191</v>
      </c>
      <c r="C681" t="s">
        <v>219</v>
      </c>
      <c r="D681" t="s">
        <v>206</v>
      </c>
      <c r="E681" t="s">
        <v>39</v>
      </c>
      <c r="F681" s="1">
        <v>1065</v>
      </c>
      <c r="G681" s="2">
        <v>0.93850274589464</v>
      </c>
    </row>
    <row r="682" spans="2:7" x14ac:dyDescent="0.3">
      <c r="B682" t="s">
        <v>191</v>
      </c>
      <c r="C682" t="s">
        <v>219</v>
      </c>
      <c r="D682" t="s">
        <v>206</v>
      </c>
      <c r="E682" t="s">
        <v>20</v>
      </c>
      <c r="F682" s="1">
        <v>943</v>
      </c>
      <c r="G682" s="2">
        <v>0.94697861707577902</v>
      </c>
    </row>
    <row r="683" spans="2:7" x14ac:dyDescent="0.3">
      <c r="B683" t="s">
        <v>191</v>
      </c>
      <c r="C683" t="s">
        <v>219</v>
      </c>
      <c r="D683" t="s">
        <v>206</v>
      </c>
      <c r="E683" t="s">
        <v>226</v>
      </c>
      <c r="F683" s="1">
        <v>753</v>
      </c>
      <c r="G683" s="2">
        <v>0.95374673054279702</v>
      </c>
    </row>
    <row r="684" spans="2:7" x14ac:dyDescent="0.3">
      <c r="B684" t="s">
        <v>191</v>
      </c>
      <c r="C684" t="s">
        <v>219</v>
      </c>
      <c r="D684" t="s">
        <v>206</v>
      </c>
      <c r="E684" t="s">
        <v>28</v>
      </c>
      <c r="F684" s="1">
        <v>694</v>
      </c>
      <c r="G684" s="2">
        <v>0.95998454029858804</v>
      </c>
    </row>
    <row r="685" spans="2:7" x14ac:dyDescent="0.3">
      <c r="B685" t="s">
        <v>191</v>
      </c>
      <c r="C685" t="s">
        <v>219</v>
      </c>
      <c r="D685" t="s">
        <v>206</v>
      </c>
      <c r="E685" t="s">
        <v>41</v>
      </c>
      <c r="F685" s="1">
        <v>693</v>
      </c>
      <c r="G685" s="2">
        <v>0.96621336185588302</v>
      </c>
    </row>
    <row r="686" spans="2:7" x14ac:dyDescent="0.3">
      <c r="B686" t="s">
        <v>191</v>
      </c>
      <c r="C686" t="s">
        <v>219</v>
      </c>
      <c r="D686" t="s">
        <v>206</v>
      </c>
      <c r="E686" t="s">
        <v>32</v>
      </c>
      <c r="F686" s="1">
        <v>654</v>
      </c>
      <c r="G686" s="2">
        <v>0.97209164367185896</v>
      </c>
    </row>
    <row r="687" spans="2:7" x14ac:dyDescent="0.3">
      <c r="B687" t="s">
        <v>191</v>
      </c>
      <c r="C687" t="s">
        <v>219</v>
      </c>
      <c r="D687" t="s">
        <v>206</v>
      </c>
      <c r="E687" t="s">
        <v>45</v>
      </c>
      <c r="F687" s="1">
        <v>603</v>
      </c>
      <c r="G687" s="2">
        <v>0.97751152736457003</v>
      </c>
    </row>
    <row r="688" spans="2:7" x14ac:dyDescent="0.3">
      <c r="B688" t="s">
        <v>191</v>
      </c>
      <c r="C688" t="s">
        <v>219</v>
      </c>
      <c r="D688" t="s">
        <v>206</v>
      </c>
      <c r="E688" t="s">
        <v>35</v>
      </c>
      <c r="F688" s="1">
        <v>507</v>
      </c>
      <c r="G688" s="2">
        <v>0.98206854400172605</v>
      </c>
    </row>
    <row r="689" spans="2:7" x14ac:dyDescent="0.3">
      <c r="B689" t="s">
        <v>191</v>
      </c>
      <c r="C689" t="s">
        <v>219</v>
      </c>
      <c r="D689" t="s">
        <v>206</v>
      </c>
      <c r="E689" t="s">
        <v>33</v>
      </c>
      <c r="F689" s="1">
        <v>422</v>
      </c>
      <c r="G689" s="2">
        <v>0.98586156376677403</v>
      </c>
    </row>
    <row r="690" spans="2:7" x14ac:dyDescent="0.3">
      <c r="B690" t="s">
        <v>191</v>
      </c>
      <c r="C690" t="s">
        <v>219</v>
      </c>
      <c r="D690" t="s">
        <v>206</v>
      </c>
      <c r="E690" t="s">
        <v>50</v>
      </c>
      <c r="F690" s="1">
        <v>271</v>
      </c>
      <c r="G690" s="2">
        <v>0.98829736555902103</v>
      </c>
    </row>
    <row r="691" spans="2:7" x14ac:dyDescent="0.3">
      <c r="B691" t="s">
        <v>191</v>
      </c>
      <c r="C691" t="s">
        <v>219</v>
      </c>
      <c r="D691" t="s">
        <v>206</v>
      </c>
      <c r="E691" t="s">
        <v>46</v>
      </c>
      <c r="F691" s="1">
        <v>250</v>
      </c>
      <c r="G691" s="2">
        <v>0.99054441518286496</v>
      </c>
    </row>
    <row r="692" spans="2:7" x14ac:dyDescent="0.3">
      <c r="B692" t="s">
        <v>191</v>
      </c>
      <c r="C692" t="s">
        <v>219</v>
      </c>
      <c r="D692" t="s">
        <v>206</v>
      </c>
      <c r="E692" t="s">
        <v>53</v>
      </c>
      <c r="F692" s="1">
        <v>179</v>
      </c>
      <c r="G692" s="2">
        <v>0.99215330271353697</v>
      </c>
    </row>
    <row r="693" spans="2:7" x14ac:dyDescent="0.3">
      <c r="B693" t="s">
        <v>191</v>
      </c>
      <c r="C693" t="s">
        <v>219</v>
      </c>
      <c r="D693" t="s">
        <v>206</v>
      </c>
      <c r="E693" t="s">
        <v>47</v>
      </c>
      <c r="F693" s="1">
        <v>166</v>
      </c>
      <c r="G693" s="2">
        <v>0.993645343663769</v>
      </c>
    </row>
    <row r="694" spans="2:7" x14ac:dyDescent="0.3">
      <c r="B694" t="s">
        <v>191</v>
      </c>
      <c r="C694" t="s">
        <v>219</v>
      </c>
      <c r="D694" t="s">
        <v>206</v>
      </c>
      <c r="E694" t="s">
        <v>38</v>
      </c>
      <c r="F694" s="1">
        <v>150</v>
      </c>
      <c r="G694" s="2">
        <v>0.99499357343807604</v>
      </c>
    </row>
    <row r="695" spans="2:7" x14ac:dyDescent="0.3">
      <c r="B695" t="s">
        <v>191</v>
      </c>
      <c r="C695" t="s">
        <v>219</v>
      </c>
      <c r="D695" t="s">
        <v>206</v>
      </c>
      <c r="E695" t="s">
        <v>221</v>
      </c>
      <c r="F695" s="1">
        <v>108</v>
      </c>
      <c r="G695" s="2">
        <v>0.99596429887557603</v>
      </c>
    </row>
    <row r="696" spans="2:7" x14ac:dyDescent="0.3">
      <c r="B696" t="s">
        <v>191</v>
      </c>
      <c r="C696" t="s">
        <v>219</v>
      </c>
      <c r="D696" t="s">
        <v>206</v>
      </c>
      <c r="E696" t="s">
        <v>48</v>
      </c>
      <c r="F696" s="1">
        <v>105</v>
      </c>
      <c r="G696" s="2">
        <v>0.996908059717591</v>
      </c>
    </row>
    <row r="697" spans="2:7" x14ac:dyDescent="0.3">
      <c r="B697" t="s">
        <v>191</v>
      </c>
      <c r="C697" t="s">
        <v>219</v>
      </c>
      <c r="D697" t="s">
        <v>206</v>
      </c>
      <c r="E697" t="s">
        <v>37</v>
      </c>
      <c r="F697" s="1">
        <v>57</v>
      </c>
      <c r="G697" s="2">
        <v>0.997420387031827</v>
      </c>
    </row>
    <row r="698" spans="2:7" x14ac:dyDescent="0.3">
      <c r="B698" t="s">
        <v>191</v>
      </c>
      <c r="C698" t="s">
        <v>219</v>
      </c>
      <c r="D698" t="s">
        <v>206</v>
      </c>
      <c r="E698" t="s">
        <v>54</v>
      </c>
      <c r="F698" s="1">
        <v>51</v>
      </c>
      <c r="G698" s="2">
        <v>0.99787878515509099</v>
      </c>
    </row>
    <row r="699" spans="2:7" x14ac:dyDescent="0.3">
      <c r="B699" t="s">
        <v>191</v>
      </c>
      <c r="C699" t="s">
        <v>219</v>
      </c>
      <c r="D699" t="s">
        <v>206</v>
      </c>
      <c r="E699" t="s">
        <v>76</v>
      </c>
      <c r="F699" s="1">
        <v>38</v>
      </c>
      <c r="G699" s="2">
        <v>0.99822033669791599</v>
      </c>
    </row>
    <row r="700" spans="2:7" x14ac:dyDescent="0.3">
      <c r="B700" t="s">
        <v>191</v>
      </c>
      <c r="C700" t="s">
        <v>219</v>
      </c>
      <c r="D700" t="s">
        <v>206</v>
      </c>
      <c r="E700" t="s">
        <v>80</v>
      </c>
      <c r="F700" s="1">
        <v>28</v>
      </c>
      <c r="G700" s="2">
        <v>0.99847200625578603</v>
      </c>
    </row>
    <row r="701" spans="2:7" x14ac:dyDescent="0.3">
      <c r="B701" t="s">
        <v>191</v>
      </c>
      <c r="C701" t="s">
        <v>219</v>
      </c>
      <c r="D701" t="s">
        <v>206</v>
      </c>
      <c r="E701" t="s">
        <v>51</v>
      </c>
      <c r="F701" s="1">
        <v>27</v>
      </c>
      <c r="G701" s="2">
        <v>0.99871468761516102</v>
      </c>
    </row>
    <row r="702" spans="2:7" x14ac:dyDescent="0.3">
      <c r="B702" t="s">
        <v>191</v>
      </c>
      <c r="C702" t="s">
        <v>219</v>
      </c>
      <c r="D702" t="s">
        <v>206</v>
      </c>
      <c r="E702" t="s">
        <v>36</v>
      </c>
      <c r="F702" s="1">
        <v>24</v>
      </c>
      <c r="G702" s="2">
        <v>0.99893040437905001</v>
      </c>
    </row>
    <row r="703" spans="2:7" x14ac:dyDescent="0.3">
      <c r="B703" t="s">
        <v>191</v>
      </c>
      <c r="C703" t="s">
        <v>219</v>
      </c>
      <c r="D703" t="s">
        <v>206</v>
      </c>
      <c r="E703" t="s">
        <v>30</v>
      </c>
      <c r="F703" s="1">
        <v>21</v>
      </c>
      <c r="G703" s="2">
        <v>0.99930790871585595</v>
      </c>
    </row>
    <row r="704" spans="2:7" x14ac:dyDescent="0.3">
      <c r="B704" t="s">
        <v>191</v>
      </c>
      <c r="C704" t="s">
        <v>219</v>
      </c>
      <c r="D704" t="s">
        <v>206</v>
      </c>
      <c r="E704" t="s">
        <v>89</v>
      </c>
      <c r="F704" s="1">
        <v>21</v>
      </c>
      <c r="G704" s="2">
        <v>0.99930790871585595</v>
      </c>
    </row>
    <row r="705" spans="2:7" x14ac:dyDescent="0.3">
      <c r="B705" t="s">
        <v>191</v>
      </c>
      <c r="C705" t="s">
        <v>219</v>
      </c>
      <c r="D705" t="s">
        <v>206</v>
      </c>
      <c r="E705" t="s">
        <v>43</v>
      </c>
      <c r="F705" s="1">
        <v>14</v>
      </c>
      <c r="G705" s="2">
        <v>0.99943374349479097</v>
      </c>
    </row>
    <row r="706" spans="2:7" x14ac:dyDescent="0.3">
      <c r="B706" t="s">
        <v>191</v>
      </c>
      <c r="C706" t="s">
        <v>219</v>
      </c>
      <c r="D706" t="s">
        <v>206</v>
      </c>
      <c r="E706" t="s">
        <v>65</v>
      </c>
      <c r="F706" s="1">
        <v>11</v>
      </c>
      <c r="G706" s="2">
        <v>0.99953261367823998</v>
      </c>
    </row>
    <row r="707" spans="2:7" x14ac:dyDescent="0.3">
      <c r="B707" t="s">
        <v>191</v>
      </c>
      <c r="C707" t="s">
        <v>219</v>
      </c>
      <c r="D707" t="s">
        <v>206</v>
      </c>
      <c r="E707" t="s">
        <v>49</v>
      </c>
      <c r="F707" s="1">
        <v>10</v>
      </c>
      <c r="G707" s="2">
        <v>0.99962249566319406</v>
      </c>
    </row>
    <row r="708" spans="2:7" x14ac:dyDescent="0.3">
      <c r="B708" t="s">
        <v>191</v>
      </c>
      <c r="C708" t="s">
        <v>219</v>
      </c>
      <c r="D708" t="s">
        <v>206</v>
      </c>
      <c r="E708" t="s">
        <v>88</v>
      </c>
      <c r="F708" s="1">
        <v>9</v>
      </c>
      <c r="G708" s="2">
        <v>0.99970338944965298</v>
      </c>
    </row>
    <row r="709" spans="2:7" x14ac:dyDescent="0.3">
      <c r="B709" t="s">
        <v>191</v>
      </c>
      <c r="C709" t="s">
        <v>219</v>
      </c>
      <c r="D709" t="s">
        <v>206</v>
      </c>
      <c r="E709" t="s">
        <v>42</v>
      </c>
      <c r="F709" s="1">
        <v>8</v>
      </c>
      <c r="G709" s="2">
        <v>0.99984720062557897</v>
      </c>
    </row>
    <row r="710" spans="2:7" x14ac:dyDescent="0.3">
      <c r="B710" t="s">
        <v>191</v>
      </c>
      <c r="C710" t="s">
        <v>219</v>
      </c>
      <c r="D710" t="s">
        <v>206</v>
      </c>
      <c r="E710" t="s">
        <v>227</v>
      </c>
      <c r="F710" s="1">
        <v>8</v>
      </c>
      <c r="G710" s="2">
        <v>0.99984720062557897</v>
      </c>
    </row>
    <row r="711" spans="2:7" x14ac:dyDescent="0.3">
      <c r="B711" t="s">
        <v>191</v>
      </c>
      <c r="C711" t="s">
        <v>219</v>
      </c>
      <c r="D711" t="s">
        <v>206</v>
      </c>
      <c r="E711" t="s">
        <v>74</v>
      </c>
      <c r="F711" s="1">
        <v>7</v>
      </c>
      <c r="G711" s="2">
        <v>0.99991011801504603</v>
      </c>
    </row>
    <row r="712" spans="2:7" x14ac:dyDescent="0.3">
      <c r="B712" t="s">
        <v>191</v>
      </c>
      <c r="C712" t="s">
        <v>219</v>
      </c>
      <c r="D712" t="s">
        <v>206</v>
      </c>
      <c r="E712" t="s">
        <v>68</v>
      </c>
      <c r="F712" s="1">
        <v>3</v>
      </c>
      <c r="G712" s="2">
        <v>0.99993708261053205</v>
      </c>
    </row>
    <row r="713" spans="2:7" x14ac:dyDescent="0.3">
      <c r="B713" t="s">
        <v>191</v>
      </c>
      <c r="C713" t="s">
        <v>219</v>
      </c>
      <c r="D713" t="s">
        <v>206</v>
      </c>
      <c r="E713" t="s">
        <v>52</v>
      </c>
      <c r="F713" s="1">
        <v>2</v>
      </c>
      <c r="G713" s="2">
        <v>0.99997303540451399</v>
      </c>
    </row>
    <row r="714" spans="2:7" x14ac:dyDescent="0.3">
      <c r="B714" t="s">
        <v>191</v>
      </c>
      <c r="C714" t="s">
        <v>219</v>
      </c>
      <c r="D714" t="s">
        <v>206</v>
      </c>
      <c r="E714" t="s">
        <v>63</v>
      </c>
      <c r="F714" s="1">
        <v>2</v>
      </c>
      <c r="G714" s="2">
        <v>0.99997303540451399</v>
      </c>
    </row>
    <row r="715" spans="2:7" x14ac:dyDescent="0.3">
      <c r="B715" t="s">
        <v>191</v>
      </c>
      <c r="C715" t="s">
        <v>219</v>
      </c>
      <c r="D715" t="s">
        <v>206</v>
      </c>
      <c r="E715" t="s">
        <v>87</v>
      </c>
      <c r="F715" s="1">
        <v>1</v>
      </c>
      <c r="G715" s="2">
        <v>1</v>
      </c>
    </row>
    <row r="716" spans="2:7" x14ac:dyDescent="0.3">
      <c r="B716" t="s">
        <v>191</v>
      </c>
      <c r="C716" t="s">
        <v>219</v>
      </c>
      <c r="D716" t="s">
        <v>206</v>
      </c>
      <c r="E716" t="s">
        <v>66</v>
      </c>
      <c r="F716" s="1">
        <v>1</v>
      </c>
      <c r="G716" s="2">
        <v>1</v>
      </c>
    </row>
    <row r="717" spans="2:7" x14ac:dyDescent="0.3">
      <c r="B717" t="s">
        <v>191</v>
      </c>
      <c r="C717" t="s">
        <v>219</v>
      </c>
      <c r="D717" t="s">
        <v>206</v>
      </c>
      <c r="E717" t="s">
        <v>59</v>
      </c>
      <c r="F717" s="1">
        <v>1</v>
      </c>
      <c r="G717" s="2">
        <v>1</v>
      </c>
    </row>
    <row r="718" spans="2:7" x14ac:dyDescent="0.3">
      <c r="B718" t="s">
        <v>191</v>
      </c>
      <c r="C718" t="s">
        <v>219</v>
      </c>
      <c r="D718" t="s">
        <v>206</v>
      </c>
      <c r="E718" t="s">
        <v>81</v>
      </c>
      <c r="F718" s="1">
        <v>0</v>
      </c>
      <c r="G718" s="2">
        <v>1</v>
      </c>
    </row>
    <row r="719" spans="2:7" x14ac:dyDescent="0.3">
      <c r="B719" t="s">
        <v>191</v>
      </c>
      <c r="C719" t="s">
        <v>219</v>
      </c>
      <c r="D719" t="s">
        <v>206</v>
      </c>
      <c r="E719" t="s">
        <v>85</v>
      </c>
      <c r="F719" s="1">
        <v>0</v>
      </c>
      <c r="G719" s="2">
        <v>1</v>
      </c>
    </row>
    <row r="720" spans="2:7" x14ac:dyDescent="0.3">
      <c r="B720" t="s">
        <v>191</v>
      </c>
      <c r="C720" t="s">
        <v>219</v>
      </c>
      <c r="D720" t="s">
        <v>206</v>
      </c>
      <c r="E720" t="s">
        <v>83</v>
      </c>
      <c r="F720" s="1">
        <v>0</v>
      </c>
      <c r="G720" s="2">
        <v>1</v>
      </c>
    </row>
    <row r="721" spans="2:7" x14ac:dyDescent="0.3">
      <c r="B721" t="s">
        <v>191</v>
      </c>
      <c r="C721" t="s">
        <v>219</v>
      </c>
      <c r="D721" t="s">
        <v>206</v>
      </c>
      <c r="E721" t="s">
        <v>77</v>
      </c>
      <c r="F721" s="1">
        <v>0</v>
      </c>
      <c r="G721" s="2">
        <v>1</v>
      </c>
    </row>
    <row r="722" spans="2:7" x14ac:dyDescent="0.3">
      <c r="B722" t="s">
        <v>191</v>
      </c>
      <c r="C722" t="s">
        <v>219</v>
      </c>
      <c r="D722" t="s">
        <v>206</v>
      </c>
      <c r="E722" t="s">
        <v>79</v>
      </c>
      <c r="F722" s="1">
        <v>0</v>
      </c>
      <c r="G722" s="2">
        <v>1</v>
      </c>
    </row>
    <row r="723" spans="2:7" x14ac:dyDescent="0.3">
      <c r="B723" t="s">
        <v>191</v>
      </c>
      <c r="C723" t="s">
        <v>219</v>
      </c>
      <c r="D723" t="s">
        <v>206</v>
      </c>
      <c r="E723" t="s">
        <v>213</v>
      </c>
      <c r="F723" s="1">
        <v>0</v>
      </c>
      <c r="G723" s="2">
        <v>1</v>
      </c>
    </row>
    <row r="724" spans="2:7" x14ac:dyDescent="0.3">
      <c r="B724" t="s">
        <v>192</v>
      </c>
      <c r="C724" t="s">
        <v>219</v>
      </c>
      <c r="D724" t="s">
        <v>206</v>
      </c>
      <c r="E724" t="s">
        <v>222</v>
      </c>
      <c r="F724" s="1">
        <v>29198</v>
      </c>
      <c r="G724" s="2">
        <v>0.28161651234567903</v>
      </c>
    </row>
    <row r="725" spans="2:7" x14ac:dyDescent="0.3">
      <c r="B725" t="s">
        <v>192</v>
      </c>
      <c r="C725" t="s">
        <v>219</v>
      </c>
      <c r="D725" t="s">
        <v>206</v>
      </c>
      <c r="E725" t="s">
        <v>223</v>
      </c>
      <c r="F725" s="1">
        <v>12704</v>
      </c>
      <c r="G725" s="2">
        <v>0.40414737654320998</v>
      </c>
    </row>
    <row r="726" spans="2:7" x14ac:dyDescent="0.3">
      <c r="B726" t="s">
        <v>192</v>
      </c>
      <c r="C726" t="s">
        <v>219</v>
      </c>
      <c r="D726" t="s">
        <v>206</v>
      </c>
      <c r="E726" t="s">
        <v>18</v>
      </c>
      <c r="F726" s="1">
        <v>12182</v>
      </c>
      <c r="G726" s="2">
        <v>0.52164351851851898</v>
      </c>
    </row>
    <row r="727" spans="2:7" x14ac:dyDescent="0.3">
      <c r="B727" t="s">
        <v>192</v>
      </c>
      <c r="C727" t="s">
        <v>219</v>
      </c>
      <c r="D727" t="s">
        <v>206</v>
      </c>
      <c r="E727" t="s">
        <v>224</v>
      </c>
      <c r="F727" s="1">
        <v>8241</v>
      </c>
      <c r="G727" s="2">
        <v>0.60112847222222199</v>
      </c>
    </row>
    <row r="728" spans="2:7" x14ac:dyDescent="0.3">
      <c r="B728" t="s">
        <v>192</v>
      </c>
      <c r="C728" t="s">
        <v>219</v>
      </c>
      <c r="D728" t="s">
        <v>206</v>
      </c>
      <c r="E728" t="s">
        <v>23</v>
      </c>
      <c r="F728" s="1">
        <v>7290</v>
      </c>
      <c r="G728" s="2">
        <v>0.67144097222222199</v>
      </c>
    </row>
    <row r="729" spans="2:7" x14ac:dyDescent="0.3">
      <c r="B729" t="s">
        <v>192</v>
      </c>
      <c r="C729" t="s">
        <v>219</v>
      </c>
      <c r="D729" t="s">
        <v>206</v>
      </c>
      <c r="E729" t="s">
        <v>26</v>
      </c>
      <c r="F729" s="1">
        <v>6224</v>
      </c>
      <c r="G729" s="2">
        <v>0.731471836419753</v>
      </c>
    </row>
    <row r="730" spans="2:7" x14ac:dyDescent="0.3">
      <c r="B730" t="s">
        <v>192</v>
      </c>
      <c r="C730" t="s">
        <v>219</v>
      </c>
      <c r="D730" t="s">
        <v>206</v>
      </c>
      <c r="E730" t="s">
        <v>22</v>
      </c>
      <c r="F730" s="1">
        <v>4624</v>
      </c>
      <c r="G730" s="2">
        <v>0.77607060185185195</v>
      </c>
    </row>
    <row r="731" spans="2:7" x14ac:dyDescent="0.3">
      <c r="B731" t="s">
        <v>192</v>
      </c>
      <c r="C731" t="s">
        <v>219</v>
      </c>
      <c r="D731" t="s">
        <v>206</v>
      </c>
      <c r="E731" t="s">
        <v>44</v>
      </c>
      <c r="F731" s="1">
        <v>3867</v>
      </c>
      <c r="G731" s="2">
        <v>0.81336805555555602</v>
      </c>
    </row>
    <row r="732" spans="2:7" x14ac:dyDescent="0.3">
      <c r="B732" t="s">
        <v>192</v>
      </c>
      <c r="C732" t="s">
        <v>219</v>
      </c>
      <c r="D732" t="s">
        <v>206</v>
      </c>
      <c r="E732" t="s">
        <v>25</v>
      </c>
      <c r="F732" s="1">
        <v>3248</v>
      </c>
      <c r="G732" s="2">
        <v>0.84469521604938302</v>
      </c>
    </row>
    <row r="733" spans="2:7" x14ac:dyDescent="0.3">
      <c r="B733" t="s">
        <v>192</v>
      </c>
      <c r="C733" t="s">
        <v>219</v>
      </c>
      <c r="D733" t="s">
        <v>206</v>
      </c>
      <c r="E733" t="s">
        <v>27</v>
      </c>
      <c r="F733" s="1">
        <v>3040</v>
      </c>
      <c r="G733" s="2">
        <v>0.87401620370370403</v>
      </c>
    </row>
    <row r="734" spans="2:7" x14ac:dyDescent="0.3">
      <c r="B734" t="s">
        <v>192</v>
      </c>
      <c r="C734" t="s">
        <v>219</v>
      </c>
      <c r="D734" t="s">
        <v>206</v>
      </c>
      <c r="E734" t="s">
        <v>225</v>
      </c>
      <c r="F734" s="1">
        <v>2610</v>
      </c>
      <c r="G734" s="2">
        <v>0.89918981481481497</v>
      </c>
    </row>
    <row r="735" spans="2:7" x14ac:dyDescent="0.3">
      <c r="B735" t="s">
        <v>192</v>
      </c>
      <c r="C735" t="s">
        <v>219</v>
      </c>
      <c r="D735" t="s">
        <v>206</v>
      </c>
      <c r="E735" t="s">
        <v>24</v>
      </c>
      <c r="F735" s="1">
        <v>2384</v>
      </c>
      <c r="G735" s="2">
        <v>0.922183641975309</v>
      </c>
    </row>
    <row r="736" spans="2:7" x14ac:dyDescent="0.3">
      <c r="B736" t="s">
        <v>192</v>
      </c>
      <c r="C736" t="s">
        <v>219</v>
      </c>
      <c r="D736" t="s">
        <v>206</v>
      </c>
      <c r="E736" t="s">
        <v>39</v>
      </c>
      <c r="F736" s="1">
        <v>1686</v>
      </c>
      <c r="G736" s="2">
        <v>0.93844521604938302</v>
      </c>
    </row>
    <row r="737" spans="2:7" x14ac:dyDescent="0.3">
      <c r="B737" t="s">
        <v>192</v>
      </c>
      <c r="C737" t="s">
        <v>219</v>
      </c>
      <c r="D737" t="s">
        <v>206</v>
      </c>
      <c r="E737" t="s">
        <v>20</v>
      </c>
      <c r="F737" s="1">
        <v>1289</v>
      </c>
      <c r="G737" s="2">
        <v>0.95087770061728405</v>
      </c>
    </row>
    <row r="738" spans="2:7" x14ac:dyDescent="0.3">
      <c r="B738" t="s">
        <v>192</v>
      </c>
      <c r="C738" t="s">
        <v>219</v>
      </c>
      <c r="D738" t="s">
        <v>206</v>
      </c>
      <c r="E738" t="s">
        <v>28</v>
      </c>
      <c r="F738" s="1">
        <v>727</v>
      </c>
      <c r="G738" s="2">
        <v>0.95788966049382696</v>
      </c>
    </row>
    <row r="739" spans="2:7" x14ac:dyDescent="0.3">
      <c r="B739" t="s">
        <v>192</v>
      </c>
      <c r="C739" t="s">
        <v>219</v>
      </c>
      <c r="D739" t="s">
        <v>206</v>
      </c>
      <c r="E739" t="s">
        <v>45</v>
      </c>
      <c r="F739" s="1">
        <v>603</v>
      </c>
      <c r="G739" s="2">
        <v>0.96370563271604903</v>
      </c>
    </row>
    <row r="740" spans="2:7" x14ac:dyDescent="0.3">
      <c r="B740" t="s">
        <v>192</v>
      </c>
      <c r="C740" t="s">
        <v>219</v>
      </c>
      <c r="D740" t="s">
        <v>206</v>
      </c>
      <c r="E740" t="s">
        <v>32</v>
      </c>
      <c r="F740" s="1">
        <v>559</v>
      </c>
      <c r="G740" s="2">
        <v>0.96909722222222205</v>
      </c>
    </row>
    <row r="741" spans="2:7" x14ac:dyDescent="0.3">
      <c r="B741" t="s">
        <v>192</v>
      </c>
      <c r="C741" t="s">
        <v>219</v>
      </c>
      <c r="D741" t="s">
        <v>206</v>
      </c>
      <c r="E741" t="s">
        <v>226</v>
      </c>
      <c r="F741" s="1">
        <v>557</v>
      </c>
      <c r="G741" s="2">
        <v>0.97446952160493805</v>
      </c>
    </row>
    <row r="742" spans="2:7" x14ac:dyDescent="0.3">
      <c r="B742" t="s">
        <v>192</v>
      </c>
      <c r="C742" t="s">
        <v>219</v>
      </c>
      <c r="D742" t="s">
        <v>206</v>
      </c>
      <c r="E742" t="s">
        <v>35</v>
      </c>
      <c r="F742" s="1">
        <v>526</v>
      </c>
      <c r="G742" s="2">
        <v>0.979542824074074</v>
      </c>
    </row>
    <row r="743" spans="2:7" x14ac:dyDescent="0.3">
      <c r="B743" t="s">
        <v>192</v>
      </c>
      <c r="C743" t="s">
        <v>219</v>
      </c>
      <c r="D743" t="s">
        <v>206</v>
      </c>
      <c r="E743" t="s">
        <v>50</v>
      </c>
      <c r="F743" s="1">
        <v>490</v>
      </c>
      <c r="G743" s="2">
        <v>0.98426890432098801</v>
      </c>
    </row>
    <row r="744" spans="2:7" x14ac:dyDescent="0.3">
      <c r="B744" t="s">
        <v>192</v>
      </c>
      <c r="C744" t="s">
        <v>219</v>
      </c>
      <c r="D744" t="s">
        <v>206</v>
      </c>
      <c r="E744" t="s">
        <v>53</v>
      </c>
      <c r="F744" s="1">
        <v>288</v>
      </c>
      <c r="G744" s="2">
        <v>0.987046682098765</v>
      </c>
    </row>
    <row r="745" spans="2:7" x14ac:dyDescent="0.3">
      <c r="B745" t="s">
        <v>192</v>
      </c>
      <c r="C745" t="s">
        <v>219</v>
      </c>
      <c r="D745" t="s">
        <v>206</v>
      </c>
      <c r="E745" t="s">
        <v>41</v>
      </c>
      <c r="F745" s="1">
        <v>266</v>
      </c>
      <c r="G745" s="2">
        <v>0.98961226851851802</v>
      </c>
    </row>
    <row r="746" spans="2:7" x14ac:dyDescent="0.3">
      <c r="B746" t="s">
        <v>192</v>
      </c>
      <c r="C746" t="s">
        <v>219</v>
      </c>
      <c r="D746" t="s">
        <v>206</v>
      </c>
      <c r="E746" t="s">
        <v>33</v>
      </c>
      <c r="F746" s="1">
        <v>174</v>
      </c>
      <c r="G746" s="2">
        <v>0.99129050925925899</v>
      </c>
    </row>
    <row r="747" spans="2:7" x14ac:dyDescent="0.3">
      <c r="B747" t="s">
        <v>192</v>
      </c>
      <c r="C747" t="s">
        <v>219</v>
      </c>
      <c r="D747" t="s">
        <v>206</v>
      </c>
      <c r="E747" t="s">
        <v>221</v>
      </c>
      <c r="F747" s="1">
        <v>121</v>
      </c>
      <c r="G747" s="2">
        <v>0.99245756172839505</v>
      </c>
    </row>
    <row r="748" spans="2:7" x14ac:dyDescent="0.3">
      <c r="B748" t="s">
        <v>192</v>
      </c>
      <c r="C748" t="s">
        <v>219</v>
      </c>
      <c r="D748" t="s">
        <v>206</v>
      </c>
      <c r="E748" t="s">
        <v>47</v>
      </c>
      <c r="F748" s="1">
        <v>112</v>
      </c>
      <c r="G748" s="2">
        <v>0.99353780864197505</v>
      </c>
    </row>
    <row r="749" spans="2:7" x14ac:dyDescent="0.3">
      <c r="B749" t="s">
        <v>192</v>
      </c>
      <c r="C749" t="s">
        <v>219</v>
      </c>
      <c r="D749" t="s">
        <v>206</v>
      </c>
      <c r="E749" t="s">
        <v>38</v>
      </c>
      <c r="F749" s="1">
        <v>94</v>
      </c>
      <c r="G749" s="2">
        <v>0.99444444444444402</v>
      </c>
    </row>
    <row r="750" spans="2:7" x14ac:dyDescent="0.3">
      <c r="B750" t="s">
        <v>192</v>
      </c>
      <c r="C750" t="s">
        <v>219</v>
      </c>
      <c r="D750" t="s">
        <v>206</v>
      </c>
      <c r="E750" t="s">
        <v>46</v>
      </c>
      <c r="F750" s="1">
        <v>93</v>
      </c>
      <c r="G750" s="2">
        <v>0.99534143518518503</v>
      </c>
    </row>
    <row r="751" spans="2:7" x14ac:dyDescent="0.3">
      <c r="B751" t="s">
        <v>192</v>
      </c>
      <c r="C751" t="s">
        <v>219</v>
      </c>
      <c r="D751" t="s">
        <v>206</v>
      </c>
      <c r="E751" t="s">
        <v>30</v>
      </c>
      <c r="F751" s="1">
        <v>47</v>
      </c>
      <c r="G751" s="2">
        <v>0.99579475308641996</v>
      </c>
    </row>
    <row r="752" spans="2:7" x14ac:dyDescent="0.3">
      <c r="B752" t="s">
        <v>192</v>
      </c>
      <c r="C752" t="s">
        <v>219</v>
      </c>
      <c r="D752" t="s">
        <v>206</v>
      </c>
      <c r="E752" t="s">
        <v>54</v>
      </c>
      <c r="F752" s="1">
        <v>45</v>
      </c>
      <c r="G752" s="2">
        <v>0.99622878086419797</v>
      </c>
    </row>
    <row r="753" spans="2:7" x14ac:dyDescent="0.3">
      <c r="B753" t="s">
        <v>192</v>
      </c>
      <c r="C753" t="s">
        <v>219</v>
      </c>
      <c r="D753" t="s">
        <v>206</v>
      </c>
      <c r="E753" t="s">
        <v>80</v>
      </c>
      <c r="F753" s="1">
        <v>44</v>
      </c>
      <c r="G753" s="2">
        <v>0.99665316358024703</v>
      </c>
    </row>
    <row r="754" spans="2:7" x14ac:dyDescent="0.3">
      <c r="B754" t="s">
        <v>192</v>
      </c>
      <c r="C754" t="s">
        <v>219</v>
      </c>
      <c r="D754" t="s">
        <v>206</v>
      </c>
      <c r="E754" t="s">
        <v>48</v>
      </c>
      <c r="F754" s="1">
        <v>41</v>
      </c>
      <c r="G754" s="2">
        <v>0.99704861111111098</v>
      </c>
    </row>
    <row r="755" spans="2:7" x14ac:dyDescent="0.3">
      <c r="B755" t="s">
        <v>192</v>
      </c>
      <c r="C755" t="s">
        <v>219</v>
      </c>
      <c r="D755" t="s">
        <v>206</v>
      </c>
      <c r="E755" t="s">
        <v>76</v>
      </c>
      <c r="F755" s="1">
        <v>40</v>
      </c>
      <c r="G755" s="2">
        <v>0.99743441358024698</v>
      </c>
    </row>
    <row r="756" spans="2:7" x14ac:dyDescent="0.3">
      <c r="B756" t="s">
        <v>192</v>
      </c>
      <c r="C756" t="s">
        <v>219</v>
      </c>
      <c r="D756" t="s">
        <v>206</v>
      </c>
      <c r="E756" t="s">
        <v>37</v>
      </c>
      <c r="F756" s="1">
        <v>31</v>
      </c>
      <c r="G756" s="2">
        <v>0.99773341049382702</v>
      </c>
    </row>
    <row r="757" spans="2:7" x14ac:dyDescent="0.3">
      <c r="B757" t="s">
        <v>192</v>
      </c>
      <c r="C757" t="s">
        <v>219</v>
      </c>
      <c r="D757" t="s">
        <v>206</v>
      </c>
      <c r="E757" t="s">
        <v>36</v>
      </c>
      <c r="F757" s="1">
        <v>29</v>
      </c>
      <c r="G757" s="2">
        <v>0.99801311728395103</v>
      </c>
    </row>
    <row r="758" spans="2:7" x14ac:dyDescent="0.3">
      <c r="B758" t="s">
        <v>192</v>
      </c>
      <c r="C758" t="s">
        <v>219</v>
      </c>
      <c r="D758" t="s">
        <v>206</v>
      </c>
      <c r="E758" t="s">
        <v>51</v>
      </c>
      <c r="F758" s="1">
        <v>27</v>
      </c>
      <c r="G758" s="2">
        <v>0.99853395061728401</v>
      </c>
    </row>
    <row r="759" spans="2:7" x14ac:dyDescent="0.3">
      <c r="B759" t="s">
        <v>192</v>
      </c>
      <c r="C759" t="s">
        <v>219</v>
      </c>
      <c r="D759" t="s">
        <v>206</v>
      </c>
      <c r="E759" t="s">
        <v>67</v>
      </c>
      <c r="F759" s="1">
        <v>27</v>
      </c>
      <c r="G759" s="2">
        <v>0.99853395061728401</v>
      </c>
    </row>
    <row r="760" spans="2:7" x14ac:dyDescent="0.3">
      <c r="B760" t="s">
        <v>192</v>
      </c>
      <c r="C760" t="s">
        <v>219</v>
      </c>
      <c r="D760" t="s">
        <v>206</v>
      </c>
      <c r="E760" t="s">
        <v>70</v>
      </c>
      <c r="F760" s="1">
        <v>26</v>
      </c>
      <c r="G760" s="2">
        <v>0.99878472222222203</v>
      </c>
    </row>
    <row r="761" spans="2:7" x14ac:dyDescent="0.3">
      <c r="B761" t="s">
        <v>192</v>
      </c>
      <c r="C761" t="s">
        <v>219</v>
      </c>
      <c r="D761" t="s">
        <v>206</v>
      </c>
      <c r="E761" t="s">
        <v>43</v>
      </c>
      <c r="F761" s="1">
        <v>21</v>
      </c>
      <c r="G761" s="2">
        <v>0.99898726851851805</v>
      </c>
    </row>
    <row r="762" spans="2:7" x14ac:dyDescent="0.3">
      <c r="B762" t="s">
        <v>192</v>
      </c>
      <c r="C762" t="s">
        <v>219</v>
      </c>
      <c r="D762" t="s">
        <v>206</v>
      </c>
      <c r="E762" t="s">
        <v>52</v>
      </c>
      <c r="F762" s="1">
        <v>20</v>
      </c>
      <c r="G762" s="2">
        <v>0.99918016975308599</v>
      </c>
    </row>
    <row r="763" spans="2:7" x14ac:dyDescent="0.3">
      <c r="B763" t="s">
        <v>192</v>
      </c>
      <c r="C763" t="s">
        <v>219</v>
      </c>
      <c r="D763" t="s">
        <v>206</v>
      </c>
      <c r="E763" t="s">
        <v>213</v>
      </c>
      <c r="F763" s="1">
        <v>18</v>
      </c>
      <c r="G763" s="2">
        <v>0.99935378086419802</v>
      </c>
    </row>
    <row r="764" spans="2:7" x14ac:dyDescent="0.3">
      <c r="B764" t="s">
        <v>192</v>
      </c>
      <c r="C764" t="s">
        <v>219</v>
      </c>
      <c r="D764" t="s">
        <v>206</v>
      </c>
      <c r="E764" t="s">
        <v>68</v>
      </c>
      <c r="F764" s="1">
        <v>12</v>
      </c>
      <c r="G764" s="2">
        <v>0.99946952160493796</v>
      </c>
    </row>
    <row r="765" spans="2:7" x14ac:dyDescent="0.3">
      <c r="B765" t="s">
        <v>192</v>
      </c>
      <c r="C765" t="s">
        <v>219</v>
      </c>
      <c r="D765" t="s">
        <v>206</v>
      </c>
      <c r="E765" t="s">
        <v>49</v>
      </c>
      <c r="F765" s="1">
        <v>11</v>
      </c>
      <c r="G765" s="2">
        <v>0.99957561728395095</v>
      </c>
    </row>
    <row r="766" spans="2:7" x14ac:dyDescent="0.3">
      <c r="B766" t="s">
        <v>192</v>
      </c>
      <c r="C766" t="s">
        <v>219</v>
      </c>
      <c r="D766" t="s">
        <v>206</v>
      </c>
      <c r="E766" t="s">
        <v>89</v>
      </c>
      <c r="F766" s="1">
        <v>9</v>
      </c>
      <c r="G766" s="2">
        <v>0.99966242283950602</v>
      </c>
    </row>
    <row r="767" spans="2:7" x14ac:dyDescent="0.3">
      <c r="B767" t="s">
        <v>192</v>
      </c>
      <c r="C767" t="s">
        <v>219</v>
      </c>
      <c r="D767" t="s">
        <v>206</v>
      </c>
      <c r="E767" t="s">
        <v>88</v>
      </c>
      <c r="F767" s="1">
        <v>8</v>
      </c>
      <c r="G767" s="2">
        <v>0.99981674382716001</v>
      </c>
    </row>
    <row r="768" spans="2:7" x14ac:dyDescent="0.3">
      <c r="B768" t="s">
        <v>192</v>
      </c>
      <c r="C768" t="s">
        <v>219</v>
      </c>
      <c r="D768" t="s">
        <v>206</v>
      </c>
      <c r="E768" t="s">
        <v>75</v>
      </c>
      <c r="F768" s="1">
        <v>8</v>
      </c>
      <c r="G768" s="2">
        <v>0.99981674382716001</v>
      </c>
    </row>
    <row r="769" spans="2:7" x14ac:dyDescent="0.3">
      <c r="B769" t="s">
        <v>192</v>
      </c>
      <c r="C769" t="s">
        <v>219</v>
      </c>
      <c r="D769" t="s">
        <v>206</v>
      </c>
      <c r="E769" t="s">
        <v>74</v>
      </c>
      <c r="F769" s="1">
        <v>7</v>
      </c>
      <c r="G769" s="2">
        <v>0.99988425925925895</v>
      </c>
    </row>
    <row r="770" spans="2:7" x14ac:dyDescent="0.3">
      <c r="B770" t="s">
        <v>192</v>
      </c>
      <c r="C770" t="s">
        <v>219</v>
      </c>
      <c r="D770" t="s">
        <v>206</v>
      </c>
      <c r="E770" t="s">
        <v>65</v>
      </c>
      <c r="F770" s="1">
        <v>4</v>
      </c>
      <c r="G770" s="2">
        <v>0.99996141975308594</v>
      </c>
    </row>
    <row r="771" spans="2:7" x14ac:dyDescent="0.3">
      <c r="B771" t="s">
        <v>192</v>
      </c>
      <c r="C771" t="s">
        <v>219</v>
      </c>
      <c r="D771" t="s">
        <v>206</v>
      </c>
      <c r="E771" t="s">
        <v>59</v>
      </c>
      <c r="F771" s="1">
        <v>4</v>
      </c>
      <c r="G771" s="2">
        <v>0.99996141975308594</v>
      </c>
    </row>
    <row r="772" spans="2:7" x14ac:dyDescent="0.3">
      <c r="B772" t="s">
        <v>192</v>
      </c>
      <c r="C772" t="s">
        <v>219</v>
      </c>
      <c r="D772" t="s">
        <v>206</v>
      </c>
      <c r="E772" t="s">
        <v>77</v>
      </c>
      <c r="F772" s="1">
        <v>2</v>
      </c>
      <c r="G772" s="2">
        <v>0.99998070987654297</v>
      </c>
    </row>
    <row r="773" spans="2:7" x14ac:dyDescent="0.3">
      <c r="B773" t="s">
        <v>192</v>
      </c>
      <c r="C773" t="s">
        <v>219</v>
      </c>
      <c r="D773" t="s">
        <v>206</v>
      </c>
      <c r="E773" t="s">
        <v>85</v>
      </c>
      <c r="F773" s="1">
        <v>1</v>
      </c>
      <c r="G773" s="2">
        <v>1</v>
      </c>
    </row>
    <row r="774" spans="2:7" x14ac:dyDescent="0.3">
      <c r="B774" t="s">
        <v>192</v>
      </c>
      <c r="C774" t="s">
        <v>219</v>
      </c>
      <c r="D774" t="s">
        <v>206</v>
      </c>
      <c r="E774" t="s">
        <v>63</v>
      </c>
      <c r="F774" s="1">
        <v>1</v>
      </c>
      <c r="G774" s="2">
        <v>1</v>
      </c>
    </row>
    <row r="775" spans="2:7" x14ac:dyDescent="0.3">
      <c r="B775" t="s">
        <v>192</v>
      </c>
      <c r="C775" t="s">
        <v>219</v>
      </c>
      <c r="D775" t="s">
        <v>206</v>
      </c>
      <c r="E775" t="s">
        <v>193</v>
      </c>
      <c r="F775" s="1">
        <v>0</v>
      </c>
      <c r="G775" s="2">
        <v>1</v>
      </c>
    </row>
    <row r="776" spans="2:7" x14ac:dyDescent="0.3">
      <c r="B776" t="s">
        <v>192</v>
      </c>
      <c r="C776" t="s">
        <v>219</v>
      </c>
      <c r="D776" t="s">
        <v>206</v>
      </c>
      <c r="E776" t="s">
        <v>81</v>
      </c>
      <c r="F776" s="1">
        <v>0</v>
      </c>
      <c r="G776" s="2">
        <v>1</v>
      </c>
    </row>
    <row r="777" spans="2:7" x14ac:dyDescent="0.3">
      <c r="B777" t="s">
        <v>192</v>
      </c>
      <c r="C777" t="s">
        <v>219</v>
      </c>
      <c r="D777" t="s">
        <v>206</v>
      </c>
      <c r="E777" t="s">
        <v>66</v>
      </c>
      <c r="F777" s="1">
        <v>0</v>
      </c>
      <c r="G777" s="2">
        <v>1</v>
      </c>
    </row>
    <row r="778" spans="2:7" x14ac:dyDescent="0.3">
      <c r="B778" t="s">
        <v>192</v>
      </c>
      <c r="C778" t="s">
        <v>219</v>
      </c>
      <c r="D778" t="s">
        <v>206</v>
      </c>
      <c r="E778" t="s">
        <v>79</v>
      </c>
      <c r="F778" s="1">
        <v>0</v>
      </c>
      <c r="G778" s="2">
        <v>1</v>
      </c>
    </row>
    <row r="779" spans="2:7" x14ac:dyDescent="0.3">
      <c r="B779" t="s">
        <v>192</v>
      </c>
      <c r="C779" t="s">
        <v>219</v>
      </c>
      <c r="D779" t="s">
        <v>206</v>
      </c>
      <c r="E779" t="s">
        <v>227</v>
      </c>
      <c r="F779" s="1">
        <v>0</v>
      </c>
      <c r="G779" s="2">
        <v>1</v>
      </c>
    </row>
    <row r="780" spans="2:7" x14ac:dyDescent="0.3">
      <c r="B780" t="s">
        <v>194</v>
      </c>
      <c r="C780" t="s">
        <v>219</v>
      </c>
      <c r="D780" t="s">
        <v>206</v>
      </c>
      <c r="E780" t="s">
        <v>222</v>
      </c>
      <c r="F780" s="1">
        <v>31567</v>
      </c>
      <c r="G780" s="2">
        <v>0.30912277952956402</v>
      </c>
    </row>
    <row r="781" spans="2:7" x14ac:dyDescent="0.3">
      <c r="B781" t="s">
        <v>194</v>
      </c>
      <c r="C781" t="s">
        <v>219</v>
      </c>
      <c r="D781" t="s">
        <v>206</v>
      </c>
      <c r="E781" t="s">
        <v>223</v>
      </c>
      <c r="F781" s="1">
        <v>13196</v>
      </c>
      <c r="G781" s="2">
        <v>0.438345835210247</v>
      </c>
    </row>
    <row r="782" spans="2:7" x14ac:dyDescent="0.3">
      <c r="B782" t="s">
        <v>194</v>
      </c>
      <c r="C782" t="s">
        <v>219</v>
      </c>
      <c r="D782" t="s">
        <v>206</v>
      </c>
      <c r="E782" t="s">
        <v>224</v>
      </c>
      <c r="F782" s="1">
        <v>10097</v>
      </c>
      <c r="G782" s="2">
        <v>0.537221645547308</v>
      </c>
    </row>
    <row r="783" spans="2:7" x14ac:dyDescent="0.3">
      <c r="B783" t="s">
        <v>194</v>
      </c>
      <c r="C783" t="s">
        <v>219</v>
      </c>
      <c r="D783" t="s">
        <v>206</v>
      </c>
      <c r="E783" t="s">
        <v>18</v>
      </c>
      <c r="F783" s="1">
        <v>9664</v>
      </c>
      <c r="G783" s="2">
        <v>0.63185726316614099</v>
      </c>
    </row>
    <row r="784" spans="2:7" x14ac:dyDescent="0.3">
      <c r="B784" t="s">
        <v>194</v>
      </c>
      <c r="C784" t="s">
        <v>219</v>
      </c>
      <c r="D784" t="s">
        <v>206</v>
      </c>
      <c r="E784" t="s">
        <v>23</v>
      </c>
      <c r="F784" s="1">
        <v>6397</v>
      </c>
      <c r="G784" s="2">
        <v>0.69450047983705099</v>
      </c>
    </row>
    <row r="785" spans="2:7" x14ac:dyDescent="0.3">
      <c r="B785" t="s">
        <v>194</v>
      </c>
      <c r="C785" t="s">
        <v>219</v>
      </c>
      <c r="D785" t="s">
        <v>206</v>
      </c>
      <c r="E785" t="s">
        <v>26</v>
      </c>
      <c r="F785" s="1">
        <v>6110</v>
      </c>
      <c r="G785" s="2">
        <v>0.75433322235061395</v>
      </c>
    </row>
    <row r="786" spans="2:7" x14ac:dyDescent="0.3">
      <c r="B786" t="s">
        <v>194</v>
      </c>
      <c r="C786" t="s">
        <v>219</v>
      </c>
      <c r="D786" t="s">
        <v>206</v>
      </c>
      <c r="E786" t="s">
        <v>27</v>
      </c>
      <c r="F786" s="1">
        <v>3529</v>
      </c>
      <c r="G786" s="2">
        <v>0.78889128263381603</v>
      </c>
    </row>
    <row r="787" spans="2:7" x14ac:dyDescent="0.3">
      <c r="B787" t="s">
        <v>194</v>
      </c>
      <c r="C787" t="s">
        <v>219</v>
      </c>
      <c r="D787" t="s">
        <v>206</v>
      </c>
      <c r="E787" t="s">
        <v>225</v>
      </c>
      <c r="F787" s="1">
        <v>3422</v>
      </c>
      <c r="G787" s="2">
        <v>0.82240153547856398</v>
      </c>
    </row>
    <row r="788" spans="2:7" x14ac:dyDescent="0.3">
      <c r="B788" t="s">
        <v>194</v>
      </c>
      <c r="C788" t="s">
        <v>219</v>
      </c>
      <c r="D788" t="s">
        <v>206</v>
      </c>
      <c r="E788" t="s">
        <v>44</v>
      </c>
      <c r="F788" s="1">
        <v>3138</v>
      </c>
      <c r="G788" s="2">
        <v>0.853130691944613</v>
      </c>
    </row>
    <row r="789" spans="2:7" x14ac:dyDescent="0.3">
      <c r="B789" t="s">
        <v>194</v>
      </c>
      <c r="C789" t="s">
        <v>219</v>
      </c>
      <c r="D789" t="s">
        <v>206</v>
      </c>
      <c r="E789" t="s">
        <v>22</v>
      </c>
      <c r="F789" s="1">
        <v>2753</v>
      </c>
      <c r="G789" s="2">
        <v>0.88008970015080601</v>
      </c>
    </row>
    <row r="790" spans="2:7" x14ac:dyDescent="0.3">
      <c r="B790" t="s">
        <v>194</v>
      </c>
      <c r="C790" t="s">
        <v>219</v>
      </c>
      <c r="D790" t="s">
        <v>206</v>
      </c>
      <c r="E790" t="s">
        <v>25</v>
      </c>
      <c r="F790" s="1">
        <v>1832</v>
      </c>
      <c r="G790" s="2">
        <v>0.89802973031199196</v>
      </c>
    </row>
    <row r="791" spans="2:7" x14ac:dyDescent="0.3">
      <c r="B791" t="s">
        <v>194</v>
      </c>
      <c r="C791" t="s">
        <v>219</v>
      </c>
      <c r="D791" t="s">
        <v>206</v>
      </c>
      <c r="E791" t="s">
        <v>24</v>
      </c>
      <c r="F791" s="1">
        <v>1675</v>
      </c>
      <c r="G791" s="2">
        <v>0.914432323390587</v>
      </c>
    </row>
    <row r="792" spans="2:7" x14ac:dyDescent="0.3">
      <c r="B792" t="s">
        <v>194</v>
      </c>
      <c r="C792" t="s">
        <v>219</v>
      </c>
      <c r="D792" t="s">
        <v>206</v>
      </c>
      <c r="E792" t="s">
        <v>39</v>
      </c>
      <c r="F792" s="1">
        <v>1539</v>
      </c>
      <c r="G792" s="2">
        <v>0.92950312383712996</v>
      </c>
    </row>
    <row r="793" spans="2:7" x14ac:dyDescent="0.3">
      <c r="B793" t="s">
        <v>194</v>
      </c>
      <c r="C793" t="s">
        <v>219</v>
      </c>
      <c r="D793" t="s">
        <v>206</v>
      </c>
      <c r="E793" t="s">
        <v>35</v>
      </c>
      <c r="F793" s="1">
        <v>1266</v>
      </c>
      <c r="G793" s="2">
        <v>0.94190054642668297</v>
      </c>
    </row>
    <row r="794" spans="2:7" x14ac:dyDescent="0.3">
      <c r="B794" t="s">
        <v>194</v>
      </c>
      <c r="C794" t="s">
        <v>219</v>
      </c>
      <c r="D794" t="s">
        <v>206</v>
      </c>
      <c r="E794" t="s">
        <v>20</v>
      </c>
      <c r="F794" s="1">
        <v>1250</v>
      </c>
      <c r="G794" s="2">
        <v>0.95414128753011196</v>
      </c>
    </row>
    <row r="795" spans="2:7" x14ac:dyDescent="0.3">
      <c r="B795" t="s">
        <v>194</v>
      </c>
      <c r="C795" t="s">
        <v>219</v>
      </c>
      <c r="D795" t="s">
        <v>206</v>
      </c>
      <c r="E795" t="s">
        <v>221</v>
      </c>
      <c r="F795" s="1">
        <v>641</v>
      </c>
      <c r="G795" s="2">
        <v>0.96041833956795097</v>
      </c>
    </row>
    <row r="796" spans="2:7" x14ac:dyDescent="0.3">
      <c r="B796" t="s">
        <v>194</v>
      </c>
      <c r="C796" t="s">
        <v>219</v>
      </c>
      <c r="D796" t="s">
        <v>206</v>
      </c>
      <c r="E796" t="s">
        <v>45</v>
      </c>
      <c r="F796" s="1">
        <v>517</v>
      </c>
      <c r="G796" s="2">
        <v>0.96548111008832904</v>
      </c>
    </row>
    <row r="797" spans="2:7" x14ac:dyDescent="0.3">
      <c r="B797" t="s">
        <v>194</v>
      </c>
      <c r="C797" t="s">
        <v>219</v>
      </c>
      <c r="D797" t="s">
        <v>206</v>
      </c>
      <c r="E797" t="s">
        <v>28</v>
      </c>
      <c r="F797" s="1">
        <v>488</v>
      </c>
      <c r="G797" s="2">
        <v>0.97025989541510804</v>
      </c>
    </row>
    <row r="798" spans="2:7" x14ac:dyDescent="0.3">
      <c r="B798" t="s">
        <v>194</v>
      </c>
      <c r="C798" t="s">
        <v>219</v>
      </c>
      <c r="D798" t="s">
        <v>206</v>
      </c>
      <c r="E798" t="s">
        <v>32</v>
      </c>
      <c r="F798" s="1">
        <v>437</v>
      </c>
      <c r="G798" s="2">
        <v>0.974539258504867</v>
      </c>
    </row>
    <row r="799" spans="2:7" x14ac:dyDescent="0.3">
      <c r="B799" t="s">
        <v>194</v>
      </c>
      <c r="C799" t="s">
        <v>219</v>
      </c>
      <c r="D799" t="s">
        <v>206</v>
      </c>
      <c r="E799" t="s">
        <v>226</v>
      </c>
      <c r="F799" s="1">
        <v>398</v>
      </c>
      <c r="G799" s="2">
        <v>0.97843671047219904</v>
      </c>
    </row>
    <row r="800" spans="2:7" x14ac:dyDescent="0.3">
      <c r="B800" t="s">
        <v>194</v>
      </c>
      <c r="C800" t="s">
        <v>219</v>
      </c>
      <c r="D800" t="s">
        <v>206</v>
      </c>
      <c r="E800" t="s">
        <v>41</v>
      </c>
      <c r="F800" s="1">
        <v>384</v>
      </c>
      <c r="G800" s="2">
        <v>0.98219706613917201</v>
      </c>
    </row>
    <row r="801" spans="2:7" x14ac:dyDescent="0.3">
      <c r="B801" t="s">
        <v>194</v>
      </c>
      <c r="C801" t="s">
        <v>219</v>
      </c>
      <c r="D801" t="s">
        <v>206</v>
      </c>
      <c r="E801" t="s">
        <v>33</v>
      </c>
      <c r="F801" s="1">
        <v>328</v>
      </c>
      <c r="G801" s="2">
        <v>0.98862100707025202</v>
      </c>
    </row>
    <row r="802" spans="2:7" x14ac:dyDescent="0.3">
      <c r="B802" t="s">
        <v>194</v>
      </c>
      <c r="C802" t="s">
        <v>219</v>
      </c>
      <c r="D802" t="s">
        <v>206</v>
      </c>
      <c r="E802" t="s">
        <v>50</v>
      </c>
      <c r="F802" s="1">
        <v>328</v>
      </c>
      <c r="G802" s="2">
        <v>0.98862100707025202</v>
      </c>
    </row>
    <row r="803" spans="2:7" x14ac:dyDescent="0.3">
      <c r="B803" t="s">
        <v>194</v>
      </c>
      <c r="C803" t="s">
        <v>219</v>
      </c>
      <c r="D803" t="s">
        <v>206</v>
      </c>
      <c r="E803" t="s">
        <v>53</v>
      </c>
      <c r="F803" s="1">
        <v>298</v>
      </c>
      <c r="G803" s="2">
        <v>0.99153919974931004</v>
      </c>
    </row>
    <row r="804" spans="2:7" x14ac:dyDescent="0.3">
      <c r="B804" t="s">
        <v>194</v>
      </c>
      <c r="C804" t="s">
        <v>219</v>
      </c>
      <c r="D804" t="s">
        <v>206</v>
      </c>
      <c r="E804" t="s">
        <v>47</v>
      </c>
      <c r="F804" s="1">
        <v>161</v>
      </c>
      <c r="G804" s="2">
        <v>0.99311580720343096</v>
      </c>
    </row>
    <row r="805" spans="2:7" x14ac:dyDescent="0.3">
      <c r="B805" t="s">
        <v>194</v>
      </c>
      <c r="C805" t="s">
        <v>219</v>
      </c>
      <c r="D805" t="s">
        <v>206</v>
      </c>
      <c r="E805" t="s">
        <v>36</v>
      </c>
      <c r="F805" s="1">
        <v>112</v>
      </c>
      <c r="G805" s="2">
        <v>0.994212577606299</v>
      </c>
    </row>
    <row r="806" spans="2:7" x14ac:dyDescent="0.3">
      <c r="B806" t="s">
        <v>194</v>
      </c>
      <c r="C806" t="s">
        <v>219</v>
      </c>
      <c r="D806" t="s">
        <v>206</v>
      </c>
      <c r="E806" t="s">
        <v>37</v>
      </c>
      <c r="F806" s="1">
        <v>66</v>
      </c>
      <c r="G806" s="2">
        <v>0.99485888873656003</v>
      </c>
    </row>
    <row r="807" spans="2:7" x14ac:dyDescent="0.3">
      <c r="B807" t="s">
        <v>194</v>
      </c>
      <c r="C807" t="s">
        <v>219</v>
      </c>
      <c r="D807" t="s">
        <v>206</v>
      </c>
      <c r="E807" t="s">
        <v>54</v>
      </c>
      <c r="F807" s="1">
        <v>65</v>
      </c>
      <c r="G807" s="2">
        <v>0.99549540727393804</v>
      </c>
    </row>
    <row r="808" spans="2:7" x14ac:dyDescent="0.3">
      <c r="B808" t="s">
        <v>194</v>
      </c>
      <c r="C808" t="s">
        <v>219</v>
      </c>
      <c r="D808" t="s">
        <v>206</v>
      </c>
      <c r="E808" t="s">
        <v>48</v>
      </c>
      <c r="F808" s="1">
        <v>55</v>
      </c>
      <c r="G808" s="2">
        <v>0.99657259249104002</v>
      </c>
    </row>
    <row r="809" spans="2:7" x14ac:dyDescent="0.3">
      <c r="B809" t="s">
        <v>194</v>
      </c>
      <c r="C809" t="s">
        <v>219</v>
      </c>
      <c r="D809" t="s">
        <v>206</v>
      </c>
      <c r="E809" t="s">
        <v>76</v>
      </c>
      <c r="F809" s="1">
        <v>55</v>
      </c>
      <c r="G809" s="2">
        <v>0.99657259249104002</v>
      </c>
    </row>
    <row r="810" spans="2:7" x14ac:dyDescent="0.3">
      <c r="B810" t="s">
        <v>194</v>
      </c>
      <c r="C810" t="s">
        <v>219</v>
      </c>
      <c r="D810" t="s">
        <v>206</v>
      </c>
      <c r="E810" t="s">
        <v>80</v>
      </c>
      <c r="F810" s="1">
        <v>54</v>
      </c>
      <c r="G810" s="2">
        <v>0.99710139250670804</v>
      </c>
    </row>
    <row r="811" spans="2:7" x14ac:dyDescent="0.3">
      <c r="B811" t="s">
        <v>194</v>
      </c>
      <c r="C811" t="s">
        <v>219</v>
      </c>
      <c r="D811" t="s">
        <v>206</v>
      </c>
      <c r="E811" t="s">
        <v>59</v>
      </c>
      <c r="F811" s="1">
        <v>53</v>
      </c>
      <c r="G811" s="2">
        <v>0.99762039992949303</v>
      </c>
    </row>
    <row r="812" spans="2:7" x14ac:dyDescent="0.3">
      <c r="B812" t="s">
        <v>194</v>
      </c>
      <c r="C812" t="s">
        <v>219</v>
      </c>
      <c r="D812" t="s">
        <v>206</v>
      </c>
      <c r="E812" t="s">
        <v>213</v>
      </c>
      <c r="F812" s="1">
        <v>52</v>
      </c>
      <c r="G812" s="2">
        <v>0.99812961475939599</v>
      </c>
    </row>
    <row r="813" spans="2:7" x14ac:dyDescent="0.3">
      <c r="B813" t="s">
        <v>194</v>
      </c>
      <c r="C813" t="s">
        <v>219</v>
      </c>
      <c r="D813" t="s">
        <v>206</v>
      </c>
      <c r="E813" t="s">
        <v>67</v>
      </c>
      <c r="F813" s="1">
        <v>43</v>
      </c>
      <c r="G813" s="2">
        <v>0.99855069625335402</v>
      </c>
    </row>
    <row r="814" spans="2:7" x14ac:dyDescent="0.3">
      <c r="B814" t="s">
        <v>194</v>
      </c>
      <c r="C814" t="s">
        <v>219</v>
      </c>
      <c r="D814" t="s">
        <v>206</v>
      </c>
      <c r="E814" t="s">
        <v>46</v>
      </c>
      <c r="F814" s="1">
        <v>28</v>
      </c>
      <c r="G814" s="2">
        <v>0.99882488885407095</v>
      </c>
    </row>
    <row r="815" spans="2:7" x14ac:dyDescent="0.3">
      <c r="B815" t="s">
        <v>194</v>
      </c>
      <c r="C815" t="s">
        <v>219</v>
      </c>
      <c r="D815" t="s">
        <v>206</v>
      </c>
      <c r="E815" t="s">
        <v>30</v>
      </c>
      <c r="F815" s="1">
        <v>21</v>
      </c>
      <c r="G815" s="2">
        <v>0.99923617775514595</v>
      </c>
    </row>
    <row r="816" spans="2:7" x14ac:dyDescent="0.3">
      <c r="B816" t="s">
        <v>194</v>
      </c>
      <c r="C816" t="s">
        <v>219</v>
      </c>
      <c r="D816" t="s">
        <v>206</v>
      </c>
      <c r="E816" t="s">
        <v>43</v>
      </c>
      <c r="F816" s="1">
        <v>21</v>
      </c>
      <c r="G816" s="2">
        <v>0.99923617775514595</v>
      </c>
    </row>
    <row r="817" spans="2:7" x14ac:dyDescent="0.3">
      <c r="B817" t="s">
        <v>194</v>
      </c>
      <c r="C817" t="s">
        <v>219</v>
      </c>
      <c r="D817" t="s">
        <v>206</v>
      </c>
      <c r="E817" t="s">
        <v>52</v>
      </c>
      <c r="F817" s="1">
        <v>18</v>
      </c>
      <c r="G817" s="2">
        <v>0.99941244442703503</v>
      </c>
    </row>
    <row r="818" spans="2:7" x14ac:dyDescent="0.3">
      <c r="B818" t="s">
        <v>194</v>
      </c>
      <c r="C818" t="s">
        <v>219</v>
      </c>
      <c r="D818" t="s">
        <v>206</v>
      </c>
      <c r="E818" t="s">
        <v>60</v>
      </c>
      <c r="F818" s="1">
        <v>13</v>
      </c>
      <c r="G818" s="2">
        <v>0.99953974813451096</v>
      </c>
    </row>
    <row r="819" spans="2:7" x14ac:dyDescent="0.3">
      <c r="B819" t="s">
        <v>194</v>
      </c>
      <c r="C819" t="s">
        <v>219</v>
      </c>
      <c r="D819" t="s">
        <v>206</v>
      </c>
      <c r="E819" t="s">
        <v>70</v>
      </c>
      <c r="F819" s="1">
        <v>11</v>
      </c>
      <c r="G819" s="2">
        <v>0.99964746665622095</v>
      </c>
    </row>
    <row r="820" spans="2:7" x14ac:dyDescent="0.3">
      <c r="B820" t="s">
        <v>194</v>
      </c>
      <c r="C820" t="s">
        <v>219</v>
      </c>
      <c r="D820" t="s">
        <v>206</v>
      </c>
      <c r="E820" t="s">
        <v>88</v>
      </c>
      <c r="F820" s="1">
        <v>9</v>
      </c>
      <c r="G820" s="2">
        <v>0.99973559999216599</v>
      </c>
    </row>
    <row r="821" spans="2:7" x14ac:dyDescent="0.3">
      <c r="B821" t="s">
        <v>194</v>
      </c>
      <c r="C821" t="s">
        <v>219</v>
      </c>
      <c r="D821" t="s">
        <v>206</v>
      </c>
      <c r="E821" t="s">
        <v>38</v>
      </c>
      <c r="F821" s="1">
        <v>7</v>
      </c>
      <c r="G821" s="2">
        <v>0.99980414814234497</v>
      </c>
    </row>
    <row r="822" spans="2:7" x14ac:dyDescent="0.3">
      <c r="B822" t="s">
        <v>194</v>
      </c>
      <c r="C822" t="s">
        <v>219</v>
      </c>
      <c r="D822" t="s">
        <v>206</v>
      </c>
      <c r="E822" t="s">
        <v>75</v>
      </c>
      <c r="F822" s="1">
        <v>5</v>
      </c>
      <c r="G822" s="2">
        <v>0.99985311110675901</v>
      </c>
    </row>
    <row r="823" spans="2:7" x14ac:dyDescent="0.3">
      <c r="B823" t="s">
        <v>194</v>
      </c>
      <c r="C823" t="s">
        <v>219</v>
      </c>
      <c r="D823" t="s">
        <v>206</v>
      </c>
      <c r="E823" t="s">
        <v>51</v>
      </c>
      <c r="F823" s="1">
        <v>4</v>
      </c>
      <c r="G823" s="2">
        <v>0.99989228147829001</v>
      </c>
    </row>
    <row r="824" spans="2:7" x14ac:dyDescent="0.3">
      <c r="B824" t="s">
        <v>194</v>
      </c>
      <c r="C824" t="s">
        <v>219</v>
      </c>
      <c r="D824" t="s">
        <v>206</v>
      </c>
      <c r="E824" t="s">
        <v>85</v>
      </c>
      <c r="F824" s="1">
        <v>3</v>
      </c>
      <c r="G824" s="2">
        <v>0.99992165925693799</v>
      </c>
    </row>
    <row r="825" spans="2:7" x14ac:dyDescent="0.3">
      <c r="B825" t="s">
        <v>194</v>
      </c>
      <c r="C825" t="s">
        <v>219</v>
      </c>
      <c r="D825" t="s">
        <v>206</v>
      </c>
      <c r="E825" t="s">
        <v>42</v>
      </c>
      <c r="F825" s="1">
        <v>2</v>
      </c>
      <c r="G825" s="2">
        <v>0.99996082962846899</v>
      </c>
    </row>
    <row r="826" spans="2:7" x14ac:dyDescent="0.3">
      <c r="B826" t="s">
        <v>194</v>
      </c>
      <c r="C826" t="s">
        <v>219</v>
      </c>
      <c r="D826" t="s">
        <v>206</v>
      </c>
      <c r="E826" t="s">
        <v>84</v>
      </c>
      <c r="F826" s="1">
        <v>2</v>
      </c>
      <c r="G826" s="2">
        <v>0.99996082962846899</v>
      </c>
    </row>
    <row r="827" spans="2:7" x14ac:dyDescent="0.3">
      <c r="B827" t="s">
        <v>194</v>
      </c>
      <c r="C827" t="s">
        <v>219</v>
      </c>
      <c r="D827" t="s">
        <v>206</v>
      </c>
      <c r="E827" t="s">
        <v>49</v>
      </c>
      <c r="F827" s="1">
        <v>1</v>
      </c>
      <c r="G827" s="2">
        <v>1</v>
      </c>
    </row>
    <row r="828" spans="2:7" x14ac:dyDescent="0.3">
      <c r="B828" t="s">
        <v>194</v>
      </c>
      <c r="C828" t="s">
        <v>219</v>
      </c>
      <c r="D828" t="s">
        <v>206</v>
      </c>
      <c r="E828" t="s">
        <v>77</v>
      </c>
      <c r="F828" s="1">
        <v>1</v>
      </c>
      <c r="G828" s="2">
        <v>1</v>
      </c>
    </row>
    <row r="829" spans="2:7" x14ac:dyDescent="0.3">
      <c r="B829" t="s">
        <v>194</v>
      </c>
      <c r="C829" t="s">
        <v>219</v>
      </c>
      <c r="D829" t="s">
        <v>206</v>
      </c>
      <c r="E829" t="s">
        <v>66</v>
      </c>
      <c r="F829" s="1">
        <v>1</v>
      </c>
      <c r="G829" s="2">
        <v>1</v>
      </c>
    </row>
    <row r="830" spans="2:7" x14ac:dyDescent="0.3">
      <c r="B830" t="s">
        <v>194</v>
      </c>
      <c r="C830" t="s">
        <v>219</v>
      </c>
      <c r="D830" t="s">
        <v>206</v>
      </c>
      <c r="E830" t="s">
        <v>79</v>
      </c>
      <c r="F830" s="1">
        <v>1</v>
      </c>
      <c r="G830" s="2">
        <v>1</v>
      </c>
    </row>
    <row r="831" spans="2:7" x14ac:dyDescent="0.3">
      <c r="B831" t="s">
        <v>194</v>
      </c>
      <c r="C831" t="s">
        <v>219</v>
      </c>
      <c r="D831" t="s">
        <v>206</v>
      </c>
      <c r="E831" t="s">
        <v>65</v>
      </c>
      <c r="F831" s="1">
        <v>0</v>
      </c>
      <c r="G831" s="2">
        <v>1</v>
      </c>
    </row>
    <row r="832" spans="2:7" x14ac:dyDescent="0.3">
      <c r="B832" t="s">
        <v>194</v>
      </c>
      <c r="C832" t="s">
        <v>219</v>
      </c>
      <c r="D832" t="s">
        <v>206</v>
      </c>
      <c r="E832" t="s">
        <v>81</v>
      </c>
      <c r="F832" s="1">
        <v>0</v>
      </c>
      <c r="G832" s="2">
        <v>1</v>
      </c>
    </row>
    <row r="833" spans="2:7" x14ac:dyDescent="0.3">
      <c r="B833" t="s">
        <v>194</v>
      </c>
      <c r="C833" t="s">
        <v>219</v>
      </c>
      <c r="D833" t="s">
        <v>206</v>
      </c>
      <c r="E833" t="s">
        <v>83</v>
      </c>
      <c r="F833" s="1">
        <v>0</v>
      </c>
      <c r="G833" s="2">
        <v>1</v>
      </c>
    </row>
    <row r="834" spans="2:7" x14ac:dyDescent="0.3">
      <c r="B834" t="s">
        <v>194</v>
      </c>
      <c r="C834" t="s">
        <v>219</v>
      </c>
      <c r="D834" t="s">
        <v>206</v>
      </c>
      <c r="E834" t="s">
        <v>63</v>
      </c>
      <c r="F834" s="1">
        <v>0</v>
      </c>
      <c r="G834" s="2">
        <v>1</v>
      </c>
    </row>
    <row r="835" spans="2:7" x14ac:dyDescent="0.3">
      <c r="B835" t="s">
        <v>194</v>
      </c>
      <c r="C835" t="s">
        <v>219</v>
      </c>
      <c r="D835" t="s">
        <v>206</v>
      </c>
      <c r="E835" t="s">
        <v>89</v>
      </c>
      <c r="F835" s="1">
        <v>0</v>
      </c>
      <c r="G835" s="2">
        <v>1</v>
      </c>
    </row>
    <row r="836" spans="2:7" x14ac:dyDescent="0.3">
      <c r="B836" t="s">
        <v>202</v>
      </c>
      <c r="C836" t="s">
        <v>219</v>
      </c>
      <c r="D836" t="s">
        <v>206</v>
      </c>
      <c r="E836" t="s">
        <v>222</v>
      </c>
      <c r="F836" s="1">
        <v>30436</v>
      </c>
      <c r="G836" s="2">
        <v>0.29466265211877102</v>
      </c>
    </row>
    <row r="837" spans="2:7" x14ac:dyDescent="0.3">
      <c r="B837" t="s">
        <v>202</v>
      </c>
      <c r="C837" t="s">
        <v>219</v>
      </c>
      <c r="D837" t="s">
        <v>206</v>
      </c>
      <c r="E837" t="s">
        <v>223</v>
      </c>
      <c r="F837" s="1">
        <v>12365</v>
      </c>
      <c r="G837" s="2">
        <v>0.41437298506162201</v>
      </c>
    </row>
    <row r="838" spans="2:7" x14ac:dyDescent="0.3">
      <c r="B838" t="s">
        <v>202</v>
      </c>
      <c r="C838" t="s">
        <v>219</v>
      </c>
      <c r="D838" t="s">
        <v>206</v>
      </c>
      <c r="E838" t="s">
        <v>18</v>
      </c>
      <c r="F838" s="1">
        <v>12307</v>
      </c>
      <c r="G838" s="2">
        <v>0.533521797639678</v>
      </c>
    </row>
    <row r="839" spans="2:7" x14ac:dyDescent="0.3">
      <c r="B839" t="s">
        <v>202</v>
      </c>
      <c r="C839" t="s">
        <v>219</v>
      </c>
      <c r="D839" t="s">
        <v>206</v>
      </c>
      <c r="E839" t="s">
        <v>23</v>
      </c>
      <c r="F839" s="1">
        <v>6748</v>
      </c>
      <c r="G839" s="2">
        <v>0.59885178766785097</v>
      </c>
    </row>
    <row r="840" spans="2:7" x14ac:dyDescent="0.3">
      <c r="B840" t="s">
        <v>202</v>
      </c>
      <c r="C840" t="s">
        <v>219</v>
      </c>
      <c r="D840" t="s">
        <v>206</v>
      </c>
      <c r="E840" t="s">
        <v>224</v>
      </c>
      <c r="F840" s="1">
        <v>6024</v>
      </c>
      <c r="G840" s="2">
        <v>0.65717245452169104</v>
      </c>
    </row>
    <row r="841" spans="2:7" x14ac:dyDescent="0.3">
      <c r="B841" t="s">
        <v>202</v>
      </c>
      <c r="C841" t="s">
        <v>219</v>
      </c>
      <c r="D841" t="s">
        <v>206</v>
      </c>
      <c r="E841" t="s">
        <v>225</v>
      </c>
      <c r="F841" s="1">
        <v>4412</v>
      </c>
      <c r="G841" s="2">
        <v>0.69988672778848104</v>
      </c>
    </row>
    <row r="842" spans="2:7" x14ac:dyDescent="0.3">
      <c r="B842" t="s">
        <v>202</v>
      </c>
      <c r="C842" t="s">
        <v>219</v>
      </c>
      <c r="D842" t="s">
        <v>206</v>
      </c>
      <c r="E842" t="s">
        <v>22</v>
      </c>
      <c r="F842" s="1">
        <v>4237</v>
      </c>
      <c r="G842" s="2">
        <v>0.74090675857528698</v>
      </c>
    </row>
    <row r="843" spans="2:7" x14ac:dyDescent="0.3">
      <c r="B843" t="s">
        <v>202</v>
      </c>
      <c r="C843" t="s">
        <v>219</v>
      </c>
      <c r="D843" t="s">
        <v>206</v>
      </c>
      <c r="E843" t="s">
        <v>26</v>
      </c>
      <c r="F843" s="1">
        <v>3753</v>
      </c>
      <c r="G843" s="2">
        <v>0.77724099873173802</v>
      </c>
    </row>
    <row r="844" spans="2:7" x14ac:dyDescent="0.3">
      <c r="B844" t="s">
        <v>202</v>
      </c>
      <c r="C844" t="s">
        <v>219</v>
      </c>
      <c r="D844" t="s">
        <v>206</v>
      </c>
      <c r="E844" t="s">
        <v>44</v>
      </c>
      <c r="F844" s="1">
        <v>3442</v>
      </c>
      <c r="G844" s="2">
        <v>0.81056432796661904</v>
      </c>
    </row>
    <row r="845" spans="2:7" x14ac:dyDescent="0.3">
      <c r="B845" t="s">
        <v>202</v>
      </c>
      <c r="C845" t="s">
        <v>219</v>
      </c>
      <c r="D845" t="s">
        <v>206</v>
      </c>
      <c r="E845" t="s">
        <v>27</v>
      </c>
      <c r="F845" s="1">
        <v>3278</v>
      </c>
      <c r="G845" s="2">
        <v>0.84229990996311399</v>
      </c>
    </row>
    <row r="846" spans="2:7" x14ac:dyDescent="0.3">
      <c r="B846" t="s">
        <v>202</v>
      </c>
      <c r="C846" t="s">
        <v>219</v>
      </c>
      <c r="D846" t="s">
        <v>206</v>
      </c>
      <c r="E846" t="s">
        <v>24</v>
      </c>
      <c r="F846" s="1">
        <v>3046</v>
      </c>
      <c r="G846" s="2">
        <v>0.87178941050043102</v>
      </c>
    </row>
    <row r="847" spans="2:7" x14ac:dyDescent="0.3">
      <c r="B847" t="s">
        <v>202</v>
      </c>
      <c r="C847" t="s">
        <v>219</v>
      </c>
      <c r="D847" t="s">
        <v>206</v>
      </c>
      <c r="E847" t="s">
        <v>35</v>
      </c>
      <c r="F847" s="1">
        <v>2227</v>
      </c>
      <c r="G847" s="2">
        <v>0.89334985623142404</v>
      </c>
    </row>
    <row r="848" spans="2:7" x14ac:dyDescent="0.3">
      <c r="B848" t="s">
        <v>202</v>
      </c>
      <c r="C848" t="s">
        <v>219</v>
      </c>
      <c r="D848" t="s">
        <v>206</v>
      </c>
      <c r="E848" t="s">
        <v>25</v>
      </c>
      <c r="F848" s="1">
        <v>1926</v>
      </c>
      <c r="G848" s="2">
        <v>0.91199620489684496</v>
      </c>
    </row>
    <row r="849" spans="2:7" x14ac:dyDescent="0.3">
      <c r="B849" t="s">
        <v>202</v>
      </c>
      <c r="C849" t="s">
        <v>219</v>
      </c>
      <c r="D849" t="s">
        <v>206</v>
      </c>
      <c r="E849" t="s">
        <v>32</v>
      </c>
      <c r="F849" s="1">
        <v>1760</v>
      </c>
      <c r="G849" s="2">
        <v>0.92903544355268097</v>
      </c>
    </row>
    <row r="850" spans="2:7" x14ac:dyDescent="0.3">
      <c r="B850" t="s">
        <v>202</v>
      </c>
      <c r="C850" t="s">
        <v>219</v>
      </c>
      <c r="D850" t="s">
        <v>206</v>
      </c>
      <c r="E850" t="s">
        <v>39</v>
      </c>
      <c r="F850" s="1">
        <v>1310</v>
      </c>
      <c r="G850" s="2">
        <v>0.94171805868855996</v>
      </c>
    </row>
    <row r="851" spans="2:7" x14ac:dyDescent="0.3">
      <c r="B851" t="s">
        <v>202</v>
      </c>
      <c r="C851" t="s">
        <v>219</v>
      </c>
      <c r="D851" t="s">
        <v>206</v>
      </c>
      <c r="E851" t="s">
        <v>20</v>
      </c>
      <c r="F851" s="1">
        <v>1090</v>
      </c>
      <c r="G851" s="2">
        <v>0.95227076899245799</v>
      </c>
    </row>
    <row r="852" spans="2:7" x14ac:dyDescent="0.3">
      <c r="B852" t="s">
        <v>202</v>
      </c>
      <c r="C852" t="s">
        <v>219</v>
      </c>
      <c r="D852" t="s">
        <v>206</v>
      </c>
      <c r="E852" t="s">
        <v>28</v>
      </c>
      <c r="F852" s="1">
        <v>917</v>
      </c>
      <c r="G852" s="2">
        <v>0.96114859958757304</v>
      </c>
    </row>
    <row r="853" spans="2:7" x14ac:dyDescent="0.3">
      <c r="B853" t="s">
        <v>202</v>
      </c>
      <c r="C853" t="s">
        <v>219</v>
      </c>
      <c r="D853" t="s">
        <v>206</v>
      </c>
      <c r="E853" t="s">
        <v>33</v>
      </c>
      <c r="F853" s="1">
        <v>794</v>
      </c>
      <c r="G853" s="2">
        <v>0.96883561975389898</v>
      </c>
    </row>
    <row r="854" spans="2:7" x14ac:dyDescent="0.3">
      <c r="B854" t="s">
        <v>202</v>
      </c>
      <c r="C854" t="s">
        <v>219</v>
      </c>
      <c r="D854" t="s">
        <v>206</v>
      </c>
      <c r="E854" t="s">
        <v>41</v>
      </c>
      <c r="F854" s="1">
        <v>752</v>
      </c>
      <c r="G854" s="2">
        <v>0.97611602172502898</v>
      </c>
    </row>
    <row r="855" spans="2:7" x14ac:dyDescent="0.3">
      <c r="B855" t="s">
        <v>202</v>
      </c>
      <c r="C855" t="s">
        <v>219</v>
      </c>
      <c r="D855" t="s">
        <v>206</v>
      </c>
      <c r="E855" t="s">
        <v>45</v>
      </c>
      <c r="F855" s="1">
        <v>664</v>
      </c>
      <c r="G855" s="2">
        <v>0.98254446176336796</v>
      </c>
    </row>
    <row r="856" spans="2:7" x14ac:dyDescent="0.3">
      <c r="B856" t="s">
        <v>202</v>
      </c>
      <c r="C856" t="s">
        <v>219</v>
      </c>
      <c r="D856" t="s">
        <v>206</v>
      </c>
      <c r="E856" t="s">
        <v>50</v>
      </c>
      <c r="F856" s="1">
        <v>309</v>
      </c>
      <c r="G856" s="2">
        <v>0.98553600991373902</v>
      </c>
    </row>
    <row r="857" spans="2:7" x14ac:dyDescent="0.3">
      <c r="B857" t="s">
        <v>202</v>
      </c>
      <c r="C857" t="s">
        <v>219</v>
      </c>
      <c r="D857" t="s">
        <v>206</v>
      </c>
      <c r="E857" t="s">
        <v>226</v>
      </c>
      <c r="F857" s="1">
        <v>293</v>
      </c>
      <c r="G857" s="2">
        <v>0.98837265589451195</v>
      </c>
    </row>
    <row r="858" spans="2:7" x14ac:dyDescent="0.3">
      <c r="B858" t="s">
        <v>202</v>
      </c>
      <c r="C858" t="s">
        <v>219</v>
      </c>
      <c r="D858" t="s">
        <v>206</v>
      </c>
      <c r="E858" t="s">
        <v>53</v>
      </c>
      <c r="F858" s="1">
        <v>160</v>
      </c>
      <c r="G858" s="2">
        <v>0.98992167759049698</v>
      </c>
    </row>
    <row r="859" spans="2:7" x14ac:dyDescent="0.3">
      <c r="B859" t="s">
        <v>202</v>
      </c>
      <c r="C859" t="s">
        <v>219</v>
      </c>
      <c r="D859" t="s">
        <v>206</v>
      </c>
      <c r="E859" t="s">
        <v>47</v>
      </c>
      <c r="F859" s="1">
        <v>156</v>
      </c>
      <c r="G859" s="2">
        <v>0.99143197374408198</v>
      </c>
    </row>
    <row r="860" spans="2:7" x14ac:dyDescent="0.3">
      <c r="B860" t="s">
        <v>202</v>
      </c>
      <c r="C860" t="s">
        <v>219</v>
      </c>
      <c r="D860" t="s">
        <v>206</v>
      </c>
      <c r="E860" t="s">
        <v>48</v>
      </c>
      <c r="F860" s="1">
        <v>155</v>
      </c>
      <c r="G860" s="2">
        <v>0.992932588512068</v>
      </c>
    </row>
    <row r="861" spans="2:7" x14ac:dyDescent="0.3">
      <c r="B861" t="s">
        <v>202</v>
      </c>
      <c r="C861" t="s">
        <v>219</v>
      </c>
      <c r="D861" t="s">
        <v>206</v>
      </c>
      <c r="E861" t="s">
        <v>59</v>
      </c>
      <c r="F861" s="1">
        <v>141</v>
      </c>
      <c r="G861" s="2">
        <v>0.99429766388165497</v>
      </c>
    </row>
    <row r="862" spans="2:7" x14ac:dyDescent="0.3">
      <c r="B862" t="s">
        <v>202</v>
      </c>
      <c r="C862" t="s">
        <v>219</v>
      </c>
      <c r="D862" t="s">
        <v>206</v>
      </c>
      <c r="E862" t="s">
        <v>221</v>
      </c>
      <c r="F862" s="1">
        <v>95</v>
      </c>
      <c r="G862" s="2">
        <v>0.99521739551364596</v>
      </c>
    </row>
    <row r="863" spans="2:7" x14ac:dyDescent="0.3">
      <c r="B863" t="s">
        <v>202</v>
      </c>
      <c r="C863" t="s">
        <v>219</v>
      </c>
      <c r="D863" t="s">
        <v>206</v>
      </c>
      <c r="E863" t="s">
        <v>54</v>
      </c>
      <c r="F863" s="1">
        <v>76</v>
      </c>
      <c r="G863" s="2">
        <v>0.995953180819239</v>
      </c>
    </row>
    <row r="864" spans="2:7" x14ac:dyDescent="0.3">
      <c r="B864" t="s">
        <v>202</v>
      </c>
      <c r="C864" t="s">
        <v>219</v>
      </c>
      <c r="D864" t="s">
        <v>206</v>
      </c>
      <c r="E864" t="s">
        <v>76</v>
      </c>
      <c r="F864" s="1">
        <v>55</v>
      </c>
      <c r="G864" s="2">
        <v>0.99648565702723402</v>
      </c>
    </row>
    <row r="865" spans="2:7" x14ac:dyDescent="0.3">
      <c r="B865" t="s">
        <v>202</v>
      </c>
      <c r="C865" t="s">
        <v>219</v>
      </c>
      <c r="D865" t="s">
        <v>206</v>
      </c>
      <c r="E865" t="s">
        <v>36</v>
      </c>
      <c r="F865" s="1">
        <v>52</v>
      </c>
      <c r="G865" s="2">
        <v>0.99698908907842898</v>
      </c>
    </row>
    <row r="866" spans="2:7" x14ac:dyDescent="0.3">
      <c r="B866" t="s">
        <v>202</v>
      </c>
      <c r="C866" t="s">
        <v>219</v>
      </c>
      <c r="D866" t="s">
        <v>206</v>
      </c>
      <c r="E866" t="s">
        <v>37</v>
      </c>
      <c r="F866" s="1">
        <v>37</v>
      </c>
      <c r="G866" s="2">
        <v>0.99734730034562502</v>
      </c>
    </row>
    <row r="867" spans="2:7" x14ac:dyDescent="0.3">
      <c r="B867" t="s">
        <v>202</v>
      </c>
      <c r="C867" t="s">
        <v>219</v>
      </c>
      <c r="D867" t="s">
        <v>206</v>
      </c>
      <c r="E867" t="s">
        <v>80</v>
      </c>
      <c r="F867" s="1">
        <v>35</v>
      </c>
      <c r="G867" s="2">
        <v>0.99768614884162199</v>
      </c>
    </row>
    <row r="868" spans="2:7" x14ac:dyDescent="0.3">
      <c r="B868" t="s">
        <v>202</v>
      </c>
      <c r="C868" t="s">
        <v>219</v>
      </c>
      <c r="D868" t="s">
        <v>206</v>
      </c>
      <c r="E868" t="s">
        <v>43</v>
      </c>
      <c r="F868" s="1">
        <v>34</v>
      </c>
      <c r="G868" s="2">
        <v>0.99801531595201898</v>
      </c>
    </row>
    <row r="869" spans="2:7" x14ac:dyDescent="0.3">
      <c r="B869" t="s">
        <v>202</v>
      </c>
      <c r="C869" t="s">
        <v>219</v>
      </c>
      <c r="D869" t="s">
        <v>206</v>
      </c>
      <c r="E869" t="s">
        <v>70</v>
      </c>
      <c r="F869" s="1">
        <v>33</v>
      </c>
      <c r="G869" s="2">
        <v>0.99833480167681599</v>
      </c>
    </row>
    <row r="870" spans="2:7" x14ac:dyDescent="0.3">
      <c r="B870" t="s">
        <v>202</v>
      </c>
      <c r="C870" t="s">
        <v>219</v>
      </c>
      <c r="D870" t="s">
        <v>206</v>
      </c>
      <c r="E870" t="s">
        <v>30</v>
      </c>
      <c r="F870" s="1">
        <v>31</v>
      </c>
      <c r="G870" s="2">
        <v>0.99863492463041303</v>
      </c>
    </row>
    <row r="871" spans="2:7" x14ac:dyDescent="0.3">
      <c r="B871" t="s">
        <v>202</v>
      </c>
      <c r="C871" t="s">
        <v>219</v>
      </c>
      <c r="D871" t="s">
        <v>206</v>
      </c>
      <c r="E871" t="s">
        <v>49</v>
      </c>
      <c r="F871" s="1">
        <v>30</v>
      </c>
      <c r="G871" s="2">
        <v>0.99892536619840999</v>
      </c>
    </row>
    <row r="872" spans="2:7" x14ac:dyDescent="0.3">
      <c r="B872" t="s">
        <v>202</v>
      </c>
      <c r="C872" t="s">
        <v>219</v>
      </c>
      <c r="D872" t="s">
        <v>206</v>
      </c>
      <c r="E872" t="s">
        <v>88</v>
      </c>
      <c r="F872" s="1">
        <v>21</v>
      </c>
      <c r="G872" s="2">
        <v>0.99912867529600802</v>
      </c>
    </row>
    <row r="873" spans="2:7" x14ac:dyDescent="0.3">
      <c r="B873" t="s">
        <v>202</v>
      </c>
      <c r="C873" t="s">
        <v>219</v>
      </c>
      <c r="D873" t="s">
        <v>206</v>
      </c>
      <c r="E873" t="s">
        <v>52</v>
      </c>
      <c r="F873" s="1">
        <v>16</v>
      </c>
      <c r="G873" s="2">
        <v>0.99928357746560703</v>
      </c>
    </row>
    <row r="874" spans="2:7" x14ac:dyDescent="0.3">
      <c r="B874" t="s">
        <v>202</v>
      </c>
      <c r="C874" t="s">
        <v>219</v>
      </c>
      <c r="D874" t="s">
        <v>206</v>
      </c>
      <c r="E874" t="s">
        <v>67</v>
      </c>
      <c r="F874" s="1">
        <v>11</v>
      </c>
      <c r="G874" s="2">
        <v>0.99939007270720603</v>
      </c>
    </row>
    <row r="875" spans="2:7" x14ac:dyDescent="0.3">
      <c r="B875" t="s">
        <v>202</v>
      </c>
      <c r="C875" t="s">
        <v>219</v>
      </c>
      <c r="D875" t="s">
        <v>206</v>
      </c>
      <c r="E875" t="s">
        <v>213</v>
      </c>
      <c r="F875" s="1">
        <v>10</v>
      </c>
      <c r="G875" s="2">
        <v>0.99948688656320495</v>
      </c>
    </row>
    <row r="876" spans="2:7" x14ac:dyDescent="0.3">
      <c r="B876" t="s">
        <v>202</v>
      </c>
      <c r="C876" t="s">
        <v>219</v>
      </c>
      <c r="D876" t="s">
        <v>206</v>
      </c>
      <c r="E876" t="s">
        <v>85</v>
      </c>
      <c r="F876" s="1">
        <v>9</v>
      </c>
      <c r="G876" s="2">
        <v>0.99974828397440196</v>
      </c>
    </row>
    <row r="877" spans="2:7" x14ac:dyDescent="0.3">
      <c r="B877" t="s">
        <v>202</v>
      </c>
      <c r="C877" t="s">
        <v>219</v>
      </c>
      <c r="D877" t="s">
        <v>206</v>
      </c>
      <c r="E877" t="s">
        <v>228</v>
      </c>
      <c r="F877" s="1">
        <v>9</v>
      </c>
      <c r="G877" s="2">
        <v>0.99974828397440196</v>
      </c>
    </row>
    <row r="878" spans="2:7" x14ac:dyDescent="0.3">
      <c r="B878" t="s">
        <v>202</v>
      </c>
      <c r="C878" t="s">
        <v>219</v>
      </c>
      <c r="D878" t="s">
        <v>206</v>
      </c>
      <c r="E878" t="s">
        <v>75</v>
      </c>
      <c r="F878" s="1">
        <v>9</v>
      </c>
      <c r="G878" s="2">
        <v>0.99974828397440196</v>
      </c>
    </row>
    <row r="879" spans="2:7" x14ac:dyDescent="0.3">
      <c r="B879" t="s">
        <v>202</v>
      </c>
      <c r="C879" t="s">
        <v>219</v>
      </c>
      <c r="D879" t="s">
        <v>206</v>
      </c>
      <c r="E879" t="s">
        <v>46</v>
      </c>
      <c r="F879" s="1">
        <v>7</v>
      </c>
      <c r="G879" s="2">
        <v>0.99981605367360205</v>
      </c>
    </row>
    <row r="880" spans="2:7" x14ac:dyDescent="0.3">
      <c r="B880" t="s">
        <v>202</v>
      </c>
      <c r="C880" t="s">
        <v>219</v>
      </c>
      <c r="D880" t="s">
        <v>206</v>
      </c>
      <c r="E880" t="s">
        <v>38</v>
      </c>
      <c r="F880" s="1">
        <v>6</v>
      </c>
      <c r="G880" s="2">
        <v>0.99987414198720104</v>
      </c>
    </row>
    <row r="881" spans="2:7" x14ac:dyDescent="0.3">
      <c r="B881" t="s">
        <v>202</v>
      </c>
      <c r="C881" t="s">
        <v>219</v>
      </c>
      <c r="D881" t="s">
        <v>206</v>
      </c>
      <c r="E881" t="s">
        <v>66</v>
      </c>
      <c r="F881" s="1">
        <v>4</v>
      </c>
      <c r="G881" s="2">
        <v>0.99995159307199999</v>
      </c>
    </row>
    <row r="882" spans="2:7" x14ac:dyDescent="0.3">
      <c r="B882" t="s">
        <v>202</v>
      </c>
      <c r="C882" t="s">
        <v>219</v>
      </c>
      <c r="D882" t="s">
        <v>206</v>
      </c>
      <c r="E882" t="s">
        <v>227</v>
      </c>
      <c r="F882" s="1">
        <v>4</v>
      </c>
      <c r="G882" s="2">
        <v>0.99995159307199999</v>
      </c>
    </row>
    <row r="883" spans="2:7" x14ac:dyDescent="0.3">
      <c r="B883" t="s">
        <v>202</v>
      </c>
      <c r="C883" t="s">
        <v>219</v>
      </c>
      <c r="D883" t="s">
        <v>206</v>
      </c>
      <c r="E883" t="s">
        <v>65</v>
      </c>
      <c r="F883" s="1">
        <v>3</v>
      </c>
      <c r="G883" s="2">
        <v>0.99998063722880004</v>
      </c>
    </row>
    <row r="884" spans="2:7" x14ac:dyDescent="0.3">
      <c r="B884" t="s">
        <v>202</v>
      </c>
      <c r="C884" t="s">
        <v>219</v>
      </c>
      <c r="D884" t="s">
        <v>206</v>
      </c>
      <c r="E884" t="s">
        <v>83</v>
      </c>
      <c r="F884" s="1">
        <v>1</v>
      </c>
      <c r="G884" s="2">
        <v>1</v>
      </c>
    </row>
    <row r="885" spans="2:7" x14ac:dyDescent="0.3">
      <c r="B885" t="s">
        <v>202</v>
      </c>
      <c r="C885" t="s">
        <v>219</v>
      </c>
      <c r="D885" t="s">
        <v>206</v>
      </c>
      <c r="E885" t="s">
        <v>89</v>
      </c>
      <c r="F885" s="1">
        <v>1</v>
      </c>
      <c r="G885" s="2">
        <v>1</v>
      </c>
    </row>
    <row r="886" spans="2:7" x14ac:dyDescent="0.3">
      <c r="B886" t="s">
        <v>202</v>
      </c>
      <c r="C886" t="s">
        <v>219</v>
      </c>
      <c r="D886" t="s">
        <v>206</v>
      </c>
      <c r="E886" t="s">
        <v>81</v>
      </c>
      <c r="F886" s="1">
        <v>0</v>
      </c>
      <c r="G886" s="2">
        <v>1</v>
      </c>
    </row>
    <row r="887" spans="2:7" x14ac:dyDescent="0.3">
      <c r="B887" t="s">
        <v>202</v>
      </c>
      <c r="C887" t="s">
        <v>219</v>
      </c>
      <c r="D887" t="s">
        <v>206</v>
      </c>
      <c r="E887" t="s">
        <v>51</v>
      </c>
      <c r="F887" s="1">
        <v>0</v>
      </c>
      <c r="G887" s="2">
        <v>1</v>
      </c>
    </row>
    <row r="888" spans="2:7" x14ac:dyDescent="0.3">
      <c r="B888" t="s">
        <v>202</v>
      </c>
      <c r="C888" t="s">
        <v>219</v>
      </c>
      <c r="D888" t="s">
        <v>206</v>
      </c>
      <c r="E888" t="s">
        <v>77</v>
      </c>
      <c r="F888" s="1">
        <v>0</v>
      </c>
      <c r="G888" s="2">
        <v>1</v>
      </c>
    </row>
    <row r="889" spans="2:7" x14ac:dyDescent="0.3">
      <c r="B889" t="s">
        <v>202</v>
      </c>
      <c r="C889" t="s">
        <v>219</v>
      </c>
      <c r="D889" t="s">
        <v>206</v>
      </c>
      <c r="E889" t="s">
        <v>79</v>
      </c>
      <c r="F889" s="1">
        <v>0</v>
      </c>
      <c r="G889" s="2">
        <v>1</v>
      </c>
    </row>
    <row r="890" spans="2:7" x14ac:dyDescent="0.3">
      <c r="B890" t="s">
        <v>203</v>
      </c>
      <c r="C890" t="s">
        <v>219</v>
      </c>
      <c r="D890" t="s">
        <v>206</v>
      </c>
      <c r="E890" t="s">
        <v>222</v>
      </c>
      <c r="F890" s="1">
        <v>43935</v>
      </c>
      <c r="G890" s="2">
        <v>0.30100300078102499</v>
      </c>
    </row>
    <row r="891" spans="2:7" x14ac:dyDescent="0.3">
      <c r="B891" t="s">
        <v>203</v>
      </c>
      <c r="C891" t="s">
        <v>219</v>
      </c>
      <c r="D891" t="s">
        <v>206</v>
      </c>
      <c r="E891" t="s">
        <v>223</v>
      </c>
      <c r="F891" s="1">
        <v>12076</v>
      </c>
      <c r="G891" s="2">
        <v>0.383736863019142</v>
      </c>
    </row>
    <row r="892" spans="2:7" x14ac:dyDescent="0.3">
      <c r="B892" t="s">
        <v>203</v>
      </c>
      <c r="C892" t="s">
        <v>219</v>
      </c>
      <c r="D892" t="s">
        <v>206</v>
      </c>
      <c r="E892" t="s">
        <v>23</v>
      </c>
      <c r="F892" s="1">
        <v>11709</v>
      </c>
      <c r="G892" s="2">
        <v>0.46395637220646502</v>
      </c>
    </row>
    <row r="893" spans="2:7" x14ac:dyDescent="0.3">
      <c r="B893" t="s">
        <v>203</v>
      </c>
      <c r="C893" t="s">
        <v>219</v>
      </c>
      <c r="D893" t="s">
        <v>206</v>
      </c>
      <c r="E893" t="s">
        <v>225</v>
      </c>
      <c r="F893" s="1">
        <v>10794</v>
      </c>
      <c r="G893" s="2">
        <v>0.53790712651238004</v>
      </c>
    </row>
    <row r="894" spans="2:7" x14ac:dyDescent="0.3">
      <c r="B894" t="s">
        <v>203</v>
      </c>
      <c r="C894" t="s">
        <v>219</v>
      </c>
      <c r="D894" t="s">
        <v>206</v>
      </c>
      <c r="E894" t="s">
        <v>18</v>
      </c>
      <c r="F894" s="1">
        <v>9724</v>
      </c>
      <c r="G894" s="2">
        <v>0.60452720571107499</v>
      </c>
    </row>
    <row r="895" spans="2:7" x14ac:dyDescent="0.3">
      <c r="B895" t="s">
        <v>203</v>
      </c>
      <c r="C895" t="s">
        <v>219</v>
      </c>
      <c r="D895" t="s">
        <v>206</v>
      </c>
      <c r="E895" t="s">
        <v>24</v>
      </c>
      <c r="F895" s="1">
        <v>9197</v>
      </c>
      <c r="G895" s="2">
        <v>0.66753675614201002</v>
      </c>
    </row>
    <row r="896" spans="2:7" x14ac:dyDescent="0.3">
      <c r="B896" t="s">
        <v>203</v>
      </c>
      <c r="C896" t="s">
        <v>219</v>
      </c>
      <c r="D896" t="s">
        <v>206</v>
      </c>
      <c r="E896" t="s">
        <v>22</v>
      </c>
      <c r="F896" s="1">
        <v>8945</v>
      </c>
      <c r="G896" s="2">
        <v>0.72881982981871996</v>
      </c>
    </row>
    <row r="897" spans="2:7" x14ac:dyDescent="0.3">
      <c r="B897" t="s">
        <v>203</v>
      </c>
      <c r="C897" t="s">
        <v>219</v>
      </c>
      <c r="D897" t="s">
        <v>206</v>
      </c>
      <c r="E897" t="s">
        <v>224</v>
      </c>
      <c r="F897" s="1">
        <v>7878</v>
      </c>
      <c r="G897" s="2">
        <v>0.782792781682904</v>
      </c>
    </row>
    <row r="898" spans="2:7" x14ac:dyDescent="0.3">
      <c r="B898" t="s">
        <v>203</v>
      </c>
      <c r="C898" t="s">
        <v>219</v>
      </c>
      <c r="D898" t="s">
        <v>206</v>
      </c>
      <c r="E898" t="s">
        <v>44</v>
      </c>
      <c r="F898" s="1">
        <v>5318</v>
      </c>
      <c r="G898" s="2">
        <v>0.81922692207560899</v>
      </c>
    </row>
    <row r="899" spans="2:7" x14ac:dyDescent="0.3">
      <c r="B899" t="s">
        <v>203</v>
      </c>
      <c r="C899" t="s">
        <v>219</v>
      </c>
      <c r="D899" t="s">
        <v>206</v>
      </c>
      <c r="E899" t="s">
        <v>25</v>
      </c>
      <c r="F899" s="1">
        <v>4131</v>
      </c>
      <c r="G899" s="2">
        <v>0.84752880886806203</v>
      </c>
    </row>
    <row r="900" spans="2:7" x14ac:dyDescent="0.3">
      <c r="B900" t="s">
        <v>203</v>
      </c>
      <c r="C900" t="s">
        <v>219</v>
      </c>
      <c r="D900" t="s">
        <v>206</v>
      </c>
      <c r="E900" t="s">
        <v>27</v>
      </c>
      <c r="F900" s="1">
        <v>3770</v>
      </c>
      <c r="G900" s="2">
        <v>0.87335744919910696</v>
      </c>
    </row>
    <row r="901" spans="2:7" x14ac:dyDescent="0.3">
      <c r="B901" t="s">
        <v>203</v>
      </c>
      <c r="C901" t="s">
        <v>219</v>
      </c>
      <c r="D901" t="s">
        <v>206</v>
      </c>
      <c r="E901" t="s">
        <v>35</v>
      </c>
      <c r="F901" s="1">
        <v>3635</v>
      </c>
      <c r="G901" s="2">
        <v>0.89826119126895998</v>
      </c>
    </row>
    <row r="902" spans="2:7" x14ac:dyDescent="0.3">
      <c r="B902" t="s">
        <v>203</v>
      </c>
      <c r="C902" t="s">
        <v>219</v>
      </c>
      <c r="D902" t="s">
        <v>206</v>
      </c>
      <c r="E902" t="s">
        <v>26</v>
      </c>
      <c r="F902" s="1">
        <v>2873</v>
      </c>
      <c r="G902" s="2">
        <v>0.91794439648675696</v>
      </c>
    </row>
    <row r="903" spans="2:7" x14ac:dyDescent="0.3">
      <c r="B903" t="s">
        <v>203</v>
      </c>
      <c r="C903" t="s">
        <v>219</v>
      </c>
      <c r="D903" t="s">
        <v>206</v>
      </c>
      <c r="E903" t="s">
        <v>32</v>
      </c>
      <c r="F903" s="1">
        <v>2228</v>
      </c>
      <c r="G903" s="2">
        <v>0.933208643345528</v>
      </c>
    </row>
    <row r="904" spans="2:7" x14ac:dyDescent="0.3">
      <c r="B904" t="s">
        <v>203</v>
      </c>
      <c r="C904" t="s">
        <v>219</v>
      </c>
      <c r="D904" t="s">
        <v>206</v>
      </c>
      <c r="E904" t="s">
        <v>39</v>
      </c>
      <c r="F904" s="1">
        <v>1815</v>
      </c>
      <c r="G904" s="2">
        <v>0.94564338663487801</v>
      </c>
    </row>
    <row r="905" spans="2:7" x14ac:dyDescent="0.3">
      <c r="B905" t="s">
        <v>203</v>
      </c>
      <c r="C905" t="s">
        <v>219</v>
      </c>
      <c r="D905" t="s">
        <v>206</v>
      </c>
      <c r="E905" t="s">
        <v>33</v>
      </c>
      <c r="F905" s="1">
        <v>1396</v>
      </c>
      <c r="G905" s="2">
        <v>0.95520751976541796</v>
      </c>
    </row>
    <row r="906" spans="2:7" x14ac:dyDescent="0.3">
      <c r="B906" t="s">
        <v>203</v>
      </c>
      <c r="C906" t="s">
        <v>219</v>
      </c>
      <c r="D906" t="s">
        <v>206</v>
      </c>
      <c r="E906" t="s">
        <v>20</v>
      </c>
      <c r="F906" s="1">
        <v>1203</v>
      </c>
      <c r="G906" s="2">
        <v>0.96344939093736703</v>
      </c>
    </row>
    <row r="907" spans="2:7" x14ac:dyDescent="0.3">
      <c r="B907" t="s">
        <v>203</v>
      </c>
      <c r="C907" t="s">
        <v>219</v>
      </c>
      <c r="D907" t="s">
        <v>206</v>
      </c>
      <c r="E907" t="s">
        <v>28</v>
      </c>
      <c r="F907" s="1">
        <v>1190</v>
      </c>
      <c r="G907" s="2">
        <v>0.97160219783231205</v>
      </c>
    </row>
    <row r="908" spans="2:7" x14ac:dyDescent="0.3">
      <c r="B908" t="s">
        <v>203</v>
      </c>
      <c r="C908" t="s">
        <v>219</v>
      </c>
      <c r="D908" t="s">
        <v>206</v>
      </c>
      <c r="E908" t="s">
        <v>45</v>
      </c>
      <c r="F908" s="1">
        <v>768</v>
      </c>
      <c r="G908" s="2">
        <v>0.97686384127375603</v>
      </c>
    </row>
    <row r="909" spans="2:7" x14ac:dyDescent="0.3">
      <c r="B909" t="s">
        <v>203</v>
      </c>
      <c r="C909" t="s">
        <v>219</v>
      </c>
      <c r="D909" t="s">
        <v>206</v>
      </c>
      <c r="E909" t="s">
        <v>41</v>
      </c>
      <c r="F909" s="1">
        <v>762</v>
      </c>
      <c r="G909" s="2">
        <v>0.98208437812581395</v>
      </c>
    </row>
    <row r="910" spans="2:7" x14ac:dyDescent="0.3">
      <c r="B910" t="s">
        <v>203</v>
      </c>
      <c r="C910" t="s">
        <v>219</v>
      </c>
      <c r="D910" t="s">
        <v>206</v>
      </c>
      <c r="E910" t="s">
        <v>48</v>
      </c>
      <c r="F910" s="1">
        <v>561</v>
      </c>
      <c r="G910" s="2">
        <v>0.98592784423343105</v>
      </c>
    </row>
    <row r="911" spans="2:7" x14ac:dyDescent="0.3">
      <c r="B911" t="s">
        <v>203</v>
      </c>
      <c r="C911" t="s">
        <v>219</v>
      </c>
      <c r="D911" t="s">
        <v>206</v>
      </c>
      <c r="E911" t="s">
        <v>226</v>
      </c>
      <c r="F911" s="1">
        <v>424</v>
      </c>
      <c r="G911" s="2">
        <v>0.988832709883394</v>
      </c>
    </row>
    <row r="912" spans="2:7" x14ac:dyDescent="0.3">
      <c r="B912" t="s">
        <v>203</v>
      </c>
      <c r="C912" t="s">
        <v>219</v>
      </c>
      <c r="D912" t="s">
        <v>206</v>
      </c>
      <c r="E912" t="s">
        <v>50</v>
      </c>
      <c r="F912" s="1">
        <v>305</v>
      </c>
      <c r="G912" s="2">
        <v>0.99092229484386396</v>
      </c>
    </row>
    <row r="913" spans="2:7" x14ac:dyDescent="0.3">
      <c r="B913" t="s">
        <v>203</v>
      </c>
      <c r="C913" t="s">
        <v>219</v>
      </c>
      <c r="D913" t="s">
        <v>206</v>
      </c>
      <c r="E913" t="s">
        <v>52</v>
      </c>
      <c r="F913" s="1">
        <v>221</v>
      </c>
      <c r="G913" s="2">
        <v>0.99243638755292496</v>
      </c>
    </row>
    <row r="914" spans="2:7" x14ac:dyDescent="0.3">
      <c r="B914" t="s">
        <v>203</v>
      </c>
      <c r="C914" t="s">
        <v>219</v>
      </c>
      <c r="D914" t="s">
        <v>206</v>
      </c>
      <c r="E914" t="s">
        <v>47</v>
      </c>
      <c r="F914" s="1">
        <v>183</v>
      </c>
      <c r="G914" s="2">
        <v>0.99369013852920596</v>
      </c>
    </row>
    <row r="915" spans="2:7" x14ac:dyDescent="0.3">
      <c r="B915" t="s">
        <v>203</v>
      </c>
      <c r="C915" t="s">
        <v>219</v>
      </c>
      <c r="D915" t="s">
        <v>206</v>
      </c>
      <c r="E915" t="s">
        <v>213</v>
      </c>
      <c r="F915" s="1">
        <v>153</v>
      </c>
      <c r="G915" s="2">
        <v>0.99473835655855602</v>
      </c>
    </row>
    <row r="916" spans="2:7" x14ac:dyDescent="0.3">
      <c r="B916" t="s">
        <v>203</v>
      </c>
      <c r="C916" t="s">
        <v>219</v>
      </c>
      <c r="D916" t="s">
        <v>206</v>
      </c>
      <c r="E916" t="s">
        <v>53</v>
      </c>
      <c r="F916" s="1">
        <v>138</v>
      </c>
      <c r="G916" s="2">
        <v>0.99568380811444102</v>
      </c>
    </row>
    <row r="917" spans="2:7" x14ac:dyDescent="0.3">
      <c r="B917" t="s">
        <v>203</v>
      </c>
      <c r="C917" t="s">
        <v>219</v>
      </c>
      <c r="D917" t="s">
        <v>206</v>
      </c>
      <c r="E917" t="s">
        <v>36</v>
      </c>
      <c r="F917" s="1">
        <v>110</v>
      </c>
      <c r="G917" s="2">
        <v>0.99719104972527095</v>
      </c>
    </row>
    <row r="918" spans="2:7" x14ac:dyDescent="0.3">
      <c r="B918" t="s">
        <v>203</v>
      </c>
      <c r="C918" t="s">
        <v>219</v>
      </c>
      <c r="D918" t="s">
        <v>206</v>
      </c>
      <c r="E918" t="s">
        <v>221</v>
      </c>
      <c r="F918" s="1">
        <v>110</v>
      </c>
      <c r="G918" s="2">
        <v>0.99719104972527095</v>
      </c>
    </row>
    <row r="919" spans="2:7" x14ac:dyDescent="0.3">
      <c r="B919" t="s">
        <v>203</v>
      </c>
      <c r="C919" t="s">
        <v>219</v>
      </c>
      <c r="D919" t="s">
        <v>206</v>
      </c>
      <c r="E919" t="s">
        <v>67</v>
      </c>
      <c r="F919" s="1">
        <v>73</v>
      </c>
      <c r="G919" s="2">
        <v>0.99769117989613698</v>
      </c>
    </row>
    <row r="920" spans="2:7" x14ac:dyDescent="0.3">
      <c r="B920" t="s">
        <v>203</v>
      </c>
      <c r="C920" t="s">
        <v>219</v>
      </c>
      <c r="D920" t="s">
        <v>206</v>
      </c>
      <c r="E920" t="s">
        <v>54</v>
      </c>
      <c r="F920" s="1">
        <v>64</v>
      </c>
      <c r="G920" s="2">
        <v>0.99812965018292399</v>
      </c>
    </row>
    <row r="921" spans="2:7" x14ac:dyDescent="0.3">
      <c r="B921" t="s">
        <v>203</v>
      </c>
      <c r="C921" t="s">
        <v>219</v>
      </c>
      <c r="D921" t="s">
        <v>206</v>
      </c>
      <c r="E921" t="s">
        <v>30</v>
      </c>
      <c r="F921" s="1">
        <v>52</v>
      </c>
      <c r="G921" s="2">
        <v>0.998485907290939</v>
      </c>
    </row>
    <row r="922" spans="2:7" x14ac:dyDescent="0.3">
      <c r="B922" t="s">
        <v>203</v>
      </c>
      <c r="C922" t="s">
        <v>219</v>
      </c>
      <c r="D922" t="s">
        <v>206</v>
      </c>
      <c r="E922" t="s">
        <v>70</v>
      </c>
      <c r="F922" s="1">
        <v>43</v>
      </c>
      <c r="G922" s="2">
        <v>0.99878050451487399</v>
      </c>
    </row>
    <row r="923" spans="2:7" x14ac:dyDescent="0.3">
      <c r="B923" t="s">
        <v>203</v>
      </c>
      <c r="C923" t="s">
        <v>219</v>
      </c>
      <c r="D923" t="s">
        <v>206</v>
      </c>
      <c r="E923" t="s">
        <v>43</v>
      </c>
      <c r="F923" s="1">
        <v>30</v>
      </c>
      <c r="G923" s="2">
        <v>0.99898603746180503</v>
      </c>
    </row>
    <row r="924" spans="2:7" x14ac:dyDescent="0.3">
      <c r="B924" t="s">
        <v>203</v>
      </c>
      <c r="C924" t="s">
        <v>219</v>
      </c>
      <c r="D924" t="s">
        <v>206</v>
      </c>
      <c r="E924" t="s">
        <v>76</v>
      </c>
      <c r="F924" s="1">
        <v>21</v>
      </c>
      <c r="G924" s="2">
        <v>0.99927378358750896</v>
      </c>
    </row>
    <row r="925" spans="2:7" x14ac:dyDescent="0.3">
      <c r="B925" t="s">
        <v>203</v>
      </c>
      <c r="C925" t="s">
        <v>219</v>
      </c>
      <c r="D925" t="s">
        <v>206</v>
      </c>
      <c r="E925" t="s">
        <v>80</v>
      </c>
      <c r="F925" s="1">
        <v>21</v>
      </c>
      <c r="G925" s="2">
        <v>0.99927378358750896</v>
      </c>
    </row>
    <row r="926" spans="2:7" x14ac:dyDescent="0.3">
      <c r="B926" t="s">
        <v>203</v>
      </c>
      <c r="C926" t="s">
        <v>219</v>
      </c>
      <c r="D926" t="s">
        <v>206</v>
      </c>
      <c r="E926" t="s">
        <v>46</v>
      </c>
      <c r="F926" s="1">
        <v>17</v>
      </c>
      <c r="G926" s="2">
        <v>0.99939025225743705</v>
      </c>
    </row>
    <row r="927" spans="2:7" x14ac:dyDescent="0.3">
      <c r="B927" t="s">
        <v>203</v>
      </c>
      <c r="C927" t="s">
        <v>219</v>
      </c>
      <c r="D927" t="s">
        <v>206</v>
      </c>
      <c r="E927" t="s">
        <v>42</v>
      </c>
      <c r="F927" s="1">
        <v>16</v>
      </c>
      <c r="G927" s="2">
        <v>0.99949986982913397</v>
      </c>
    </row>
    <row r="928" spans="2:7" x14ac:dyDescent="0.3">
      <c r="B928" t="s">
        <v>203</v>
      </c>
      <c r="C928" t="s">
        <v>219</v>
      </c>
      <c r="D928" t="s">
        <v>206</v>
      </c>
      <c r="E928" t="s">
        <v>65</v>
      </c>
      <c r="F928" s="1">
        <v>10</v>
      </c>
      <c r="G928" s="2">
        <v>0.99970540277606501</v>
      </c>
    </row>
    <row r="929" spans="2:7" x14ac:dyDescent="0.3">
      <c r="B929" t="s">
        <v>203</v>
      </c>
      <c r="C929" t="s">
        <v>219</v>
      </c>
      <c r="D929" t="s">
        <v>206</v>
      </c>
      <c r="E929" t="s">
        <v>83</v>
      </c>
      <c r="F929" s="1">
        <v>10</v>
      </c>
      <c r="G929" s="2">
        <v>0.99970540277606501</v>
      </c>
    </row>
    <row r="930" spans="2:7" x14ac:dyDescent="0.3">
      <c r="B930" t="s">
        <v>203</v>
      </c>
      <c r="C930" t="s">
        <v>219</v>
      </c>
      <c r="D930" t="s">
        <v>206</v>
      </c>
      <c r="E930" t="s">
        <v>75</v>
      </c>
      <c r="F930" s="1">
        <v>10</v>
      </c>
      <c r="G930" s="2">
        <v>0.99970540277606501</v>
      </c>
    </row>
    <row r="931" spans="2:7" x14ac:dyDescent="0.3">
      <c r="B931" t="s">
        <v>203</v>
      </c>
      <c r="C931" t="s">
        <v>219</v>
      </c>
      <c r="D931" t="s">
        <v>206</v>
      </c>
      <c r="E931" t="s">
        <v>49</v>
      </c>
      <c r="F931" s="1">
        <v>9</v>
      </c>
      <c r="G931" s="2">
        <v>0.99976706266014403</v>
      </c>
    </row>
    <row r="932" spans="2:7" x14ac:dyDescent="0.3">
      <c r="B932" t="s">
        <v>203</v>
      </c>
      <c r="C932" t="s">
        <v>219</v>
      </c>
      <c r="D932" t="s">
        <v>206</v>
      </c>
      <c r="E932" t="s">
        <v>204</v>
      </c>
      <c r="F932" s="1">
        <v>8</v>
      </c>
      <c r="G932" s="2">
        <v>0.99982187144599299</v>
      </c>
    </row>
    <row r="933" spans="2:7" x14ac:dyDescent="0.3">
      <c r="B933" t="s">
        <v>203</v>
      </c>
      <c r="C933" t="s">
        <v>219</v>
      </c>
      <c r="D933" t="s">
        <v>206</v>
      </c>
      <c r="E933" t="s">
        <v>85</v>
      </c>
      <c r="F933" s="1">
        <v>7</v>
      </c>
      <c r="G933" s="2">
        <v>0.99986982913361</v>
      </c>
    </row>
    <row r="934" spans="2:7" x14ac:dyDescent="0.3">
      <c r="B934" t="s">
        <v>203</v>
      </c>
      <c r="C934" t="s">
        <v>219</v>
      </c>
      <c r="D934" t="s">
        <v>206</v>
      </c>
      <c r="E934" t="s">
        <v>81</v>
      </c>
      <c r="F934" s="1">
        <v>6</v>
      </c>
      <c r="G934" s="2">
        <v>0.99991093572299605</v>
      </c>
    </row>
    <row r="935" spans="2:7" x14ac:dyDescent="0.3">
      <c r="B935" t="s">
        <v>203</v>
      </c>
      <c r="C935" t="s">
        <v>219</v>
      </c>
      <c r="D935" t="s">
        <v>206</v>
      </c>
      <c r="E935" t="s">
        <v>37</v>
      </c>
      <c r="F935" s="1">
        <v>5</v>
      </c>
      <c r="G935" s="2">
        <v>0.99994519121415204</v>
      </c>
    </row>
    <row r="936" spans="2:7" x14ac:dyDescent="0.3">
      <c r="B936" t="s">
        <v>203</v>
      </c>
      <c r="C936" t="s">
        <v>219</v>
      </c>
      <c r="D936" t="s">
        <v>206</v>
      </c>
      <c r="E936" t="s">
        <v>66</v>
      </c>
      <c r="F936" s="1">
        <v>4</v>
      </c>
      <c r="G936" s="2">
        <v>0.99997259560707596</v>
      </c>
    </row>
    <row r="937" spans="2:7" x14ac:dyDescent="0.3">
      <c r="B937" t="s">
        <v>203</v>
      </c>
      <c r="C937" t="s">
        <v>219</v>
      </c>
      <c r="D937" t="s">
        <v>206</v>
      </c>
      <c r="E937" t="s">
        <v>89</v>
      </c>
      <c r="F937" s="1">
        <v>2</v>
      </c>
      <c r="G937" s="2">
        <v>0.99998629780353798</v>
      </c>
    </row>
    <row r="938" spans="2:7" x14ac:dyDescent="0.3">
      <c r="B938" t="s">
        <v>203</v>
      </c>
      <c r="C938" t="s">
        <v>219</v>
      </c>
      <c r="D938" t="s">
        <v>206</v>
      </c>
      <c r="E938" t="s">
        <v>38</v>
      </c>
      <c r="F938" s="1">
        <v>1</v>
      </c>
      <c r="G938" s="2">
        <v>1</v>
      </c>
    </row>
    <row r="939" spans="2:7" x14ac:dyDescent="0.3">
      <c r="B939" t="s">
        <v>203</v>
      </c>
      <c r="C939" t="s">
        <v>219</v>
      </c>
      <c r="D939" t="s">
        <v>206</v>
      </c>
      <c r="E939" t="s">
        <v>88</v>
      </c>
      <c r="F939" s="1">
        <v>1</v>
      </c>
      <c r="G939" s="2">
        <v>1</v>
      </c>
    </row>
    <row r="940" spans="2:7" x14ac:dyDescent="0.3">
      <c r="B940" t="s">
        <v>203</v>
      </c>
      <c r="C940" t="s">
        <v>219</v>
      </c>
      <c r="D940" t="s">
        <v>206</v>
      </c>
      <c r="E940" t="s">
        <v>51</v>
      </c>
      <c r="F940" s="1">
        <v>0</v>
      </c>
      <c r="G940" s="2">
        <v>1</v>
      </c>
    </row>
    <row r="941" spans="2:7" x14ac:dyDescent="0.3">
      <c r="B941" t="s">
        <v>203</v>
      </c>
      <c r="C941" t="s">
        <v>219</v>
      </c>
      <c r="D941" t="s">
        <v>206</v>
      </c>
      <c r="E941" t="s">
        <v>77</v>
      </c>
      <c r="F941" s="1">
        <v>0</v>
      </c>
      <c r="G941" s="2">
        <v>1</v>
      </c>
    </row>
    <row r="942" spans="2:7" x14ac:dyDescent="0.3">
      <c r="B942" t="s">
        <v>203</v>
      </c>
      <c r="C942" t="s">
        <v>219</v>
      </c>
      <c r="D942" t="s">
        <v>206</v>
      </c>
      <c r="E942" t="s">
        <v>87</v>
      </c>
      <c r="F942" s="1">
        <v>0</v>
      </c>
      <c r="G942" s="2">
        <v>1</v>
      </c>
    </row>
    <row r="943" spans="2:7" x14ac:dyDescent="0.3">
      <c r="B943" t="s">
        <v>203</v>
      </c>
      <c r="C943" t="s">
        <v>219</v>
      </c>
      <c r="D943" t="s">
        <v>206</v>
      </c>
      <c r="E943" t="s">
        <v>84</v>
      </c>
      <c r="F943" s="1">
        <v>0</v>
      </c>
      <c r="G943" s="2">
        <v>1</v>
      </c>
    </row>
    <row r="944" spans="2:7" x14ac:dyDescent="0.3">
      <c r="B944" t="s">
        <v>203</v>
      </c>
      <c r="C944" t="s">
        <v>219</v>
      </c>
      <c r="D944" t="s">
        <v>206</v>
      </c>
      <c r="E944" t="s">
        <v>59</v>
      </c>
      <c r="F944" s="1">
        <v>0</v>
      </c>
      <c r="G944" s="2">
        <v>1</v>
      </c>
    </row>
    <row r="945" spans="2:7" x14ac:dyDescent="0.3">
      <c r="B945" t="s">
        <v>205</v>
      </c>
      <c r="C945" t="s">
        <v>219</v>
      </c>
      <c r="D945" t="s">
        <v>206</v>
      </c>
      <c r="E945" t="s">
        <v>222</v>
      </c>
      <c r="F945" s="1">
        <v>44999</v>
      </c>
      <c r="G945" s="2">
        <v>0.31387059873890999</v>
      </c>
    </row>
    <row r="946" spans="2:7" x14ac:dyDescent="0.3">
      <c r="B946" t="s">
        <v>205</v>
      </c>
      <c r="C946" t="s">
        <v>219</v>
      </c>
      <c r="D946" t="s">
        <v>206</v>
      </c>
      <c r="E946" t="s">
        <v>23</v>
      </c>
      <c r="F946" s="1">
        <v>17516</v>
      </c>
      <c r="G946" s="2">
        <v>0.43604570057474501</v>
      </c>
    </row>
    <row r="947" spans="2:7" x14ac:dyDescent="0.3">
      <c r="B947" t="s">
        <v>205</v>
      </c>
      <c r="C947" t="s">
        <v>219</v>
      </c>
      <c r="D947" t="s">
        <v>206</v>
      </c>
      <c r="E947" t="s">
        <v>18</v>
      </c>
      <c r="F947" s="1">
        <v>13753</v>
      </c>
      <c r="G947" s="2">
        <v>0.53197366218402997</v>
      </c>
    </row>
    <row r="948" spans="2:7" x14ac:dyDescent="0.3">
      <c r="B948" t="s">
        <v>205</v>
      </c>
      <c r="C948" t="s">
        <v>219</v>
      </c>
      <c r="D948" t="s">
        <v>206</v>
      </c>
      <c r="E948" t="s">
        <v>223</v>
      </c>
      <c r="F948" s="1">
        <v>11862</v>
      </c>
      <c r="G948" s="2">
        <v>0.61471179063668302</v>
      </c>
    </row>
    <row r="949" spans="2:7" x14ac:dyDescent="0.3">
      <c r="B949" t="s">
        <v>205</v>
      </c>
      <c r="C949" t="s">
        <v>219</v>
      </c>
      <c r="D949" t="s">
        <v>206</v>
      </c>
      <c r="E949" t="s">
        <v>224</v>
      </c>
      <c r="F949" s="1">
        <v>8573</v>
      </c>
      <c r="G949" s="2">
        <v>0.67450895597343896</v>
      </c>
    </row>
    <row r="950" spans="2:7" x14ac:dyDescent="0.3">
      <c r="B950" t="s">
        <v>205</v>
      </c>
      <c r="C950" t="s">
        <v>219</v>
      </c>
      <c r="D950" t="s">
        <v>206</v>
      </c>
      <c r="E950" t="s">
        <v>22</v>
      </c>
      <c r="F950" s="1">
        <v>7236</v>
      </c>
      <c r="G950" s="2">
        <v>0.72498046983985298</v>
      </c>
    </row>
    <row r="951" spans="2:7" x14ac:dyDescent="0.3">
      <c r="B951" t="s">
        <v>205</v>
      </c>
      <c r="C951" t="s">
        <v>219</v>
      </c>
      <c r="D951" t="s">
        <v>206</v>
      </c>
      <c r="E951" t="s">
        <v>27</v>
      </c>
      <c r="F951" s="1">
        <v>5429</v>
      </c>
      <c r="G951" s="2">
        <v>0.76284805535405398</v>
      </c>
    </row>
    <row r="952" spans="2:7" x14ac:dyDescent="0.3">
      <c r="B952" t="s">
        <v>205</v>
      </c>
      <c r="C952" t="s">
        <v>219</v>
      </c>
      <c r="D952" t="s">
        <v>206</v>
      </c>
      <c r="E952" t="s">
        <v>24</v>
      </c>
      <c r="F952" s="1">
        <v>4671</v>
      </c>
      <c r="G952" s="2">
        <v>0.79542854751408998</v>
      </c>
    </row>
    <row r="953" spans="2:7" x14ac:dyDescent="0.3">
      <c r="B953" t="s">
        <v>205</v>
      </c>
      <c r="C953" t="s">
        <v>219</v>
      </c>
      <c r="D953" t="s">
        <v>206</v>
      </c>
      <c r="E953" t="s">
        <v>25</v>
      </c>
      <c r="F953" s="1">
        <v>4361</v>
      </c>
      <c r="G953" s="2">
        <v>0.82584677194352996</v>
      </c>
    </row>
    <row r="954" spans="2:7" x14ac:dyDescent="0.3">
      <c r="B954" t="s">
        <v>205</v>
      </c>
      <c r="C954" t="s">
        <v>219</v>
      </c>
      <c r="D954" t="s">
        <v>206</v>
      </c>
      <c r="E954" t="s">
        <v>26</v>
      </c>
      <c r="F954" s="1">
        <v>3967</v>
      </c>
      <c r="G954" s="2">
        <v>0.85351682383795502</v>
      </c>
    </row>
    <row r="955" spans="2:7" x14ac:dyDescent="0.3">
      <c r="B955" t="s">
        <v>205</v>
      </c>
      <c r="C955" t="s">
        <v>219</v>
      </c>
      <c r="D955" t="s">
        <v>206</v>
      </c>
      <c r="E955" t="s">
        <v>225</v>
      </c>
      <c r="F955" s="1">
        <v>3287</v>
      </c>
      <c r="G955" s="2">
        <v>0.87644383683946203</v>
      </c>
    </row>
    <row r="956" spans="2:7" x14ac:dyDescent="0.3">
      <c r="B956" t="s">
        <v>205</v>
      </c>
      <c r="C956" t="s">
        <v>219</v>
      </c>
      <c r="D956" t="s">
        <v>206</v>
      </c>
      <c r="E956" t="s">
        <v>44</v>
      </c>
      <c r="F956" s="1">
        <v>2861</v>
      </c>
      <c r="G956" s="2">
        <v>0.89639947547569898</v>
      </c>
    </row>
    <row r="957" spans="2:7" x14ac:dyDescent="0.3">
      <c r="B957" t="s">
        <v>205</v>
      </c>
      <c r="C957" t="s">
        <v>219</v>
      </c>
      <c r="D957" t="s">
        <v>206</v>
      </c>
      <c r="E957" t="s">
        <v>35</v>
      </c>
      <c r="F957" s="1">
        <v>2431</v>
      </c>
      <c r="G957" s="2">
        <v>0.91335583951788402</v>
      </c>
    </row>
    <row r="958" spans="2:7" x14ac:dyDescent="0.3">
      <c r="B958" t="s">
        <v>205</v>
      </c>
      <c r="C958" t="s">
        <v>219</v>
      </c>
      <c r="D958" t="s">
        <v>206</v>
      </c>
      <c r="E958" t="s">
        <v>32</v>
      </c>
      <c r="F958" s="1">
        <v>1976</v>
      </c>
      <c r="G958" s="2">
        <v>0.92713855253613098</v>
      </c>
    </row>
    <row r="959" spans="2:7" x14ac:dyDescent="0.3">
      <c r="B959" t="s">
        <v>205</v>
      </c>
      <c r="C959" t="s">
        <v>219</v>
      </c>
      <c r="D959" t="s">
        <v>206</v>
      </c>
      <c r="E959" t="s">
        <v>39</v>
      </c>
      <c r="F959" s="1">
        <v>1720</v>
      </c>
      <c r="G959" s="2">
        <v>0.93913565091233797</v>
      </c>
    </row>
    <row r="960" spans="2:7" x14ac:dyDescent="0.3">
      <c r="B960" t="s">
        <v>205</v>
      </c>
      <c r="C960" t="s">
        <v>219</v>
      </c>
      <c r="D960" t="s">
        <v>206</v>
      </c>
      <c r="E960" t="s">
        <v>20</v>
      </c>
      <c r="F960" s="1">
        <v>1565</v>
      </c>
      <c r="G960" s="2">
        <v>0.95005161542324601</v>
      </c>
    </row>
    <row r="961" spans="2:7" x14ac:dyDescent="0.3">
      <c r="B961" t="s">
        <v>205</v>
      </c>
      <c r="C961" t="s">
        <v>219</v>
      </c>
      <c r="D961" t="s">
        <v>206</v>
      </c>
      <c r="E961" t="s">
        <v>28</v>
      </c>
      <c r="F961" s="1">
        <v>1410</v>
      </c>
      <c r="G961" s="2">
        <v>0.95988644606885798</v>
      </c>
    </row>
    <row r="962" spans="2:7" x14ac:dyDescent="0.3">
      <c r="B962" t="s">
        <v>205</v>
      </c>
      <c r="C962" t="s">
        <v>219</v>
      </c>
      <c r="D962" t="s">
        <v>206</v>
      </c>
      <c r="E962" t="s">
        <v>33</v>
      </c>
      <c r="F962" s="1">
        <v>1395</v>
      </c>
      <c r="G962" s="2">
        <v>0.96961665085653703</v>
      </c>
    </row>
    <row r="963" spans="2:7" x14ac:dyDescent="0.3">
      <c r="B963" t="s">
        <v>205</v>
      </c>
      <c r="C963" t="s">
        <v>219</v>
      </c>
      <c r="D963" t="s">
        <v>206</v>
      </c>
      <c r="E963" t="s">
        <v>45</v>
      </c>
      <c r="F963" s="1">
        <v>1056</v>
      </c>
      <c r="G963" s="2">
        <v>0.97698231125495205</v>
      </c>
    </row>
    <row r="964" spans="2:7" x14ac:dyDescent="0.3">
      <c r="B964" t="s">
        <v>205</v>
      </c>
      <c r="C964" t="s">
        <v>219</v>
      </c>
      <c r="D964" t="s">
        <v>206</v>
      </c>
      <c r="E964" t="s">
        <v>41</v>
      </c>
      <c r="F964" s="1">
        <v>784</v>
      </c>
      <c r="G964" s="2">
        <v>0.98245075609620003</v>
      </c>
    </row>
    <row r="965" spans="2:7" x14ac:dyDescent="0.3">
      <c r="B965" t="s">
        <v>205</v>
      </c>
      <c r="C965" t="s">
        <v>219</v>
      </c>
      <c r="D965" t="s">
        <v>206</v>
      </c>
      <c r="E965" t="s">
        <v>226</v>
      </c>
      <c r="F965" s="1">
        <v>639</v>
      </c>
      <c r="G965" s="2">
        <v>0.98690781764410496</v>
      </c>
    </row>
    <row r="966" spans="2:7" x14ac:dyDescent="0.3">
      <c r="B966" t="s">
        <v>205</v>
      </c>
      <c r="C966" t="s">
        <v>219</v>
      </c>
      <c r="D966" t="s">
        <v>206</v>
      </c>
      <c r="E966" t="s">
        <v>50</v>
      </c>
      <c r="F966" s="1">
        <v>194</v>
      </c>
      <c r="G966" s="2">
        <v>0.98826097874002605</v>
      </c>
    </row>
    <row r="967" spans="2:7" x14ac:dyDescent="0.3">
      <c r="B967" t="s">
        <v>205</v>
      </c>
      <c r="C967" t="s">
        <v>219</v>
      </c>
      <c r="D967" t="s">
        <v>206</v>
      </c>
      <c r="E967" t="s">
        <v>48</v>
      </c>
      <c r="F967" s="1">
        <v>185</v>
      </c>
      <c r="G967" s="2">
        <v>0.98955136432118695</v>
      </c>
    </row>
    <row r="968" spans="2:7" x14ac:dyDescent="0.3">
      <c r="B968" t="s">
        <v>205</v>
      </c>
      <c r="C968" t="s">
        <v>219</v>
      </c>
      <c r="D968" t="s">
        <v>206</v>
      </c>
      <c r="E968" t="s">
        <v>47</v>
      </c>
      <c r="F968" s="1">
        <v>158</v>
      </c>
      <c r="G968" s="2">
        <v>0.99065342335807105</v>
      </c>
    </row>
    <row r="969" spans="2:7" x14ac:dyDescent="0.3">
      <c r="B969" t="s">
        <v>205</v>
      </c>
      <c r="C969" t="s">
        <v>219</v>
      </c>
      <c r="D969" t="s">
        <v>206</v>
      </c>
      <c r="E969" t="s">
        <v>52</v>
      </c>
      <c r="F969" s="1">
        <v>154</v>
      </c>
      <c r="G969" s="2">
        <v>0.99172758216617396</v>
      </c>
    </row>
    <row r="970" spans="2:7" x14ac:dyDescent="0.3">
      <c r="B970" t="s">
        <v>205</v>
      </c>
      <c r="C970" t="s">
        <v>219</v>
      </c>
      <c r="D970" t="s">
        <v>206</v>
      </c>
      <c r="E970" t="s">
        <v>36</v>
      </c>
      <c r="F970" s="1">
        <v>143</v>
      </c>
      <c r="G970" s="2">
        <v>0.99272501534512603</v>
      </c>
    </row>
    <row r="971" spans="2:7" x14ac:dyDescent="0.3">
      <c r="B971" t="s">
        <v>205</v>
      </c>
      <c r="C971" t="s">
        <v>219</v>
      </c>
      <c r="D971" t="s">
        <v>206</v>
      </c>
      <c r="E971" t="s">
        <v>37</v>
      </c>
      <c r="F971" s="1">
        <v>135</v>
      </c>
      <c r="G971" s="2">
        <v>0.99366664806651395</v>
      </c>
    </row>
    <row r="972" spans="2:7" x14ac:dyDescent="0.3">
      <c r="B972" t="s">
        <v>205</v>
      </c>
      <c r="C972" t="s">
        <v>219</v>
      </c>
      <c r="D972" t="s">
        <v>206</v>
      </c>
      <c r="E972" t="s">
        <v>67</v>
      </c>
      <c r="F972" s="1">
        <v>133</v>
      </c>
      <c r="G972" s="2">
        <v>0.99459433067351199</v>
      </c>
    </row>
    <row r="973" spans="2:7" x14ac:dyDescent="0.3">
      <c r="B973" t="s">
        <v>205</v>
      </c>
      <c r="C973" t="s">
        <v>219</v>
      </c>
      <c r="D973" t="s">
        <v>206</v>
      </c>
      <c r="E973" t="s">
        <v>53</v>
      </c>
      <c r="F973" s="1">
        <v>119</v>
      </c>
      <c r="G973" s="2">
        <v>0.99542436247977195</v>
      </c>
    </row>
    <row r="974" spans="2:7" x14ac:dyDescent="0.3">
      <c r="B974" t="s">
        <v>205</v>
      </c>
      <c r="C974" t="s">
        <v>219</v>
      </c>
      <c r="D974" t="s">
        <v>206</v>
      </c>
      <c r="E974" t="s">
        <v>213</v>
      </c>
      <c r="F974" s="1">
        <v>107</v>
      </c>
      <c r="G974" s="2">
        <v>0.99617069359968702</v>
      </c>
    </row>
    <row r="975" spans="2:7" x14ac:dyDescent="0.3">
      <c r="B975" t="s">
        <v>205</v>
      </c>
      <c r="C975" t="s">
        <v>219</v>
      </c>
      <c r="D975" t="s">
        <v>206</v>
      </c>
      <c r="E975" t="s">
        <v>54</v>
      </c>
      <c r="F975" s="1">
        <v>87</v>
      </c>
      <c r="G975" s="2">
        <v>0.99677752357569305</v>
      </c>
    </row>
    <row r="976" spans="2:7" x14ac:dyDescent="0.3">
      <c r="B976" t="s">
        <v>205</v>
      </c>
      <c r="C976" t="s">
        <v>219</v>
      </c>
      <c r="D976" t="s">
        <v>206</v>
      </c>
      <c r="E976" t="s">
        <v>221</v>
      </c>
      <c r="F976" s="1">
        <v>84</v>
      </c>
      <c r="G976" s="2">
        <v>0.99736342838011305</v>
      </c>
    </row>
    <row r="977" spans="2:7" x14ac:dyDescent="0.3">
      <c r="B977" t="s">
        <v>205</v>
      </c>
      <c r="C977" t="s">
        <v>219</v>
      </c>
      <c r="D977" t="s">
        <v>206</v>
      </c>
      <c r="E977" t="s">
        <v>204</v>
      </c>
      <c r="F977" s="1">
        <v>82</v>
      </c>
      <c r="G977" s="2">
        <v>0.99793538307014096</v>
      </c>
    </row>
    <row r="978" spans="2:7" x14ac:dyDescent="0.3">
      <c r="B978" t="s">
        <v>205</v>
      </c>
      <c r="C978" t="s">
        <v>219</v>
      </c>
      <c r="D978" t="s">
        <v>206</v>
      </c>
      <c r="E978" t="s">
        <v>30</v>
      </c>
      <c r="F978" s="1">
        <v>51</v>
      </c>
      <c r="G978" s="2">
        <v>0.99829111098710999</v>
      </c>
    </row>
    <row r="979" spans="2:7" x14ac:dyDescent="0.3">
      <c r="B979" t="s">
        <v>205</v>
      </c>
      <c r="C979" t="s">
        <v>219</v>
      </c>
      <c r="D979" t="s">
        <v>206</v>
      </c>
      <c r="E979" t="s">
        <v>80</v>
      </c>
      <c r="F979" s="1">
        <v>50</v>
      </c>
      <c r="G979" s="2">
        <v>0.99863986384688397</v>
      </c>
    </row>
    <row r="980" spans="2:7" x14ac:dyDescent="0.3">
      <c r="B980" t="s">
        <v>205</v>
      </c>
      <c r="C980" t="s">
        <v>219</v>
      </c>
      <c r="D980" t="s">
        <v>206</v>
      </c>
      <c r="E980" t="s">
        <v>70</v>
      </c>
      <c r="F980" s="1">
        <v>42</v>
      </c>
      <c r="G980" s="2">
        <v>0.99893281624909303</v>
      </c>
    </row>
    <row r="981" spans="2:7" x14ac:dyDescent="0.3">
      <c r="B981" t="s">
        <v>205</v>
      </c>
      <c r="C981" t="s">
        <v>219</v>
      </c>
      <c r="D981" t="s">
        <v>206</v>
      </c>
      <c r="E981" t="s">
        <v>76</v>
      </c>
      <c r="F981" s="1">
        <v>37</v>
      </c>
      <c r="G981" s="2">
        <v>0.99919089336532596</v>
      </c>
    </row>
    <row r="982" spans="2:7" x14ac:dyDescent="0.3">
      <c r="B982" t="s">
        <v>205</v>
      </c>
      <c r="C982" t="s">
        <v>219</v>
      </c>
      <c r="D982" t="s">
        <v>206</v>
      </c>
      <c r="E982" t="s">
        <v>65</v>
      </c>
      <c r="F982" s="1">
        <v>32</v>
      </c>
      <c r="G982" s="2">
        <v>0.999414095195581</v>
      </c>
    </row>
    <row r="983" spans="2:7" x14ac:dyDescent="0.3">
      <c r="B983" t="s">
        <v>205</v>
      </c>
      <c r="C983" t="s">
        <v>219</v>
      </c>
      <c r="D983" t="s">
        <v>206</v>
      </c>
      <c r="E983" t="s">
        <v>51</v>
      </c>
      <c r="F983" s="1">
        <v>18</v>
      </c>
      <c r="G983" s="2">
        <v>0.99953964622509905</v>
      </c>
    </row>
    <row r="984" spans="2:7" x14ac:dyDescent="0.3">
      <c r="B984" t="s">
        <v>205</v>
      </c>
      <c r="C984" t="s">
        <v>219</v>
      </c>
      <c r="D984" t="s">
        <v>206</v>
      </c>
      <c r="E984" t="s">
        <v>38</v>
      </c>
      <c r="F984" s="1">
        <v>13</v>
      </c>
      <c r="G984" s="2">
        <v>0.99963032196863999</v>
      </c>
    </row>
    <row r="985" spans="2:7" x14ac:dyDescent="0.3">
      <c r="B985" t="s">
        <v>205</v>
      </c>
      <c r="C985" t="s">
        <v>219</v>
      </c>
      <c r="D985" t="s">
        <v>206</v>
      </c>
      <c r="E985" t="s">
        <v>75</v>
      </c>
      <c r="F985" s="1">
        <v>12</v>
      </c>
      <c r="G985" s="2">
        <v>0.99971402265498599</v>
      </c>
    </row>
    <row r="986" spans="2:7" x14ac:dyDescent="0.3">
      <c r="B986" t="s">
        <v>205</v>
      </c>
      <c r="C986" t="s">
        <v>219</v>
      </c>
      <c r="D986" t="s">
        <v>206</v>
      </c>
      <c r="E986" t="s">
        <v>85</v>
      </c>
      <c r="F986" s="1">
        <v>10</v>
      </c>
      <c r="G986" s="2">
        <v>0.99978377322694001</v>
      </c>
    </row>
    <row r="987" spans="2:7" x14ac:dyDescent="0.3">
      <c r="B987" t="s">
        <v>205</v>
      </c>
      <c r="C987" t="s">
        <v>219</v>
      </c>
      <c r="D987" t="s">
        <v>206</v>
      </c>
      <c r="E987" t="s">
        <v>49</v>
      </c>
      <c r="F987" s="1">
        <v>7</v>
      </c>
      <c r="G987" s="2">
        <v>0.999832598627309</v>
      </c>
    </row>
    <row r="988" spans="2:7" x14ac:dyDescent="0.3">
      <c r="B988" t="s">
        <v>205</v>
      </c>
      <c r="C988" t="s">
        <v>219</v>
      </c>
      <c r="D988" t="s">
        <v>206</v>
      </c>
      <c r="E988" t="s">
        <v>43</v>
      </c>
      <c r="F988" s="1">
        <v>6</v>
      </c>
      <c r="G988" s="2">
        <v>0.99987444897048205</v>
      </c>
    </row>
    <row r="989" spans="2:7" x14ac:dyDescent="0.3">
      <c r="B989" t="s">
        <v>205</v>
      </c>
      <c r="C989" t="s">
        <v>219</v>
      </c>
      <c r="D989" t="s">
        <v>206</v>
      </c>
      <c r="E989" t="s">
        <v>46</v>
      </c>
      <c r="F989" s="1">
        <v>4</v>
      </c>
      <c r="G989" s="2">
        <v>0.99990234919926302</v>
      </c>
    </row>
    <row r="990" spans="2:7" x14ac:dyDescent="0.3">
      <c r="B990" t="s">
        <v>205</v>
      </c>
      <c r="C990" t="s">
        <v>219</v>
      </c>
      <c r="D990" t="s">
        <v>206</v>
      </c>
      <c r="E990" t="s">
        <v>83</v>
      </c>
      <c r="F990" s="1">
        <v>3</v>
      </c>
      <c r="G990" s="2">
        <v>0.99998604988560902</v>
      </c>
    </row>
    <row r="991" spans="2:7" x14ac:dyDescent="0.3">
      <c r="B991" t="s">
        <v>205</v>
      </c>
      <c r="C991" t="s">
        <v>219</v>
      </c>
      <c r="D991" t="s">
        <v>206</v>
      </c>
      <c r="E991" t="s">
        <v>66</v>
      </c>
      <c r="F991" s="1">
        <v>3</v>
      </c>
      <c r="G991" s="2">
        <v>0.99998604988560902</v>
      </c>
    </row>
    <row r="992" spans="2:7" x14ac:dyDescent="0.3">
      <c r="B992" t="s">
        <v>205</v>
      </c>
      <c r="C992" t="s">
        <v>219</v>
      </c>
      <c r="D992" t="s">
        <v>206</v>
      </c>
      <c r="E992" t="s">
        <v>88</v>
      </c>
      <c r="F992" s="1">
        <v>3</v>
      </c>
      <c r="G992" s="2">
        <v>0.99998604988560902</v>
      </c>
    </row>
    <row r="993" spans="2:7" x14ac:dyDescent="0.3">
      <c r="B993" t="s">
        <v>205</v>
      </c>
      <c r="C993" t="s">
        <v>219</v>
      </c>
      <c r="D993" t="s">
        <v>206</v>
      </c>
      <c r="E993" t="s">
        <v>89</v>
      </c>
      <c r="F993" s="1">
        <v>3</v>
      </c>
      <c r="G993" s="2">
        <v>0.99998604988560902</v>
      </c>
    </row>
    <row r="994" spans="2:7" x14ac:dyDescent="0.3">
      <c r="B994" t="s">
        <v>205</v>
      </c>
      <c r="C994" t="s">
        <v>219</v>
      </c>
      <c r="D994" t="s">
        <v>206</v>
      </c>
      <c r="E994" t="s">
        <v>81</v>
      </c>
      <c r="F994" s="1">
        <v>1</v>
      </c>
      <c r="G994" s="2">
        <v>1</v>
      </c>
    </row>
    <row r="995" spans="2:7" x14ac:dyDescent="0.3">
      <c r="B995" t="s">
        <v>205</v>
      </c>
      <c r="C995" t="s">
        <v>219</v>
      </c>
      <c r="D995" t="s">
        <v>206</v>
      </c>
      <c r="E995" t="s">
        <v>63</v>
      </c>
      <c r="F995" s="1">
        <v>1</v>
      </c>
      <c r="G995" s="2">
        <v>1</v>
      </c>
    </row>
    <row r="996" spans="2:7" x14ac:dyDescent="0.3">
      <c r="B996" t="s">
        <v>205</v>
      </c>
      <c r="C996" t="s">
        <v>219</v>
      </c>
      <c r="D996" t="s">
        <v>206</v>
      </c>
      <c r="E996" t="s">
        <v>77</v>
      </c>
      <c r="F996" s="1">
        <v>0</v>
      </c>
      <c r="G996" s="2">
        <v>1</v>
      </c>
    </row>
    <row r="997" spans="2:7" x14ac:dyDescent="0.3">
      <c r="B997" t="s">
        <v>205</v>
      </c>
      <c r="C997" t="s">
        <v>219</v>
      </c>
      <c r="D997" t="s">
        <v>206</v>
      </c>
      <c r="E997" t="s">
        <v>84</v>
      </c>
      <c r="F997" s="1">
        <v>0</v>
      </c>
      <c r="G997" s="2">
        <v>1</v>
      </c>
    </row>
    <row r="998" spans="2:7" x14ac:dyDescent="0.3">
      <c r="B998" t="s">
        <v>205</v>
      </c>
      <c r="C998" t="s">
        <v>219</v>
      </c>
      <c r="D998" t="s">
        <v>206</v>
      </c>
      <c r="E998" t="s">
        <v>59</v>
      </c>
      <c r="F998" s="1">
        <v>0</v>
      </c>
      <c r="G998" s="2">
        <v>1</v>
      </c>
    </row>
    <row r="999" spans="2:7" x14ac:dyDescent="0.3">
      <c r="B999" t="s">
        <v>237</v>
      </c>
      <c r="C999" t="s">
        <v>90</v>
      </c>
      <c r="D999" t="s">
        <v>91</v>
      </c>
      <c r="E999" s="10" t="s">
        <v>17</v>
      </c>
      <c r="F999" s="11">
        <v>3764</v>
      </c>
      <c r="G999" s="12">
        <v>0.30384242815627999</v>
      </c>
    </row>
    <row r="1000" spans="2:7" x14ac:dyDescent="0.3">
      <c r="B1000" s="10" t="s">
        <v>237</v>
      </c>
      <c r="C1000" s="10" t="s">
        <v>90</v>
      </c>
      <c r="D1000" s="10" t="s">
        <v>91</v>
      </c>
      <c r="E1000" s="10" t="s">
        <v>18</v>
      </c>
      <c r="F1000" s="11">
        <v>904</v>
      </c>
      <c r="G1000" s="12">
        <v>0.37681627381336802</v>
      </c>
    </row>
    <row r="1001" spans="2:7" x14ac:dyDescent="0.3">
      <c r="B1001" s="10" t="s">
        <v>237</v>
      </c>
      <c r="C1001" s="10" t="s">
        <v>90</v>
      </c>
      <c r="D1001" s="10" t="s">
        <v>91</v>
      </c>
      <c r="E1001" s="10" t="s">
        <v>19</v>
      </c>
      <c r="F1001" s="11">
        <v>714</v>
      </c>
      <c r="G1001" s="12">
        <v>0.43445269615757198</v>
      </c>
    </row>
    <row r="1002" spans="2:7" x14ac:dyDescent="0.3">
      <c r="B1002" s="10" t="s">
        <v>237</v>
      </c>
      <c r="C1002" s="10" t="s">
        <v>90</v>
      </c>
      <c r="D1002" s="10" t="s">
        <v>91</v>
      </c>
      <c r="E1002" s="10" t="s">
        <v>20</v>
      </c>
      <c r="F1002" s="11">
        <v>573</v>
      </c>
      <c r="G1002" s="12">
        <v>0.48070713593800501</v>
      </c>
    </row>
    <row r="1003" spans="2:7" x14ac:dyDescent="0.3">
      <c r="B1003" s="10" t="s">
        <v>237</v>
      </c>
      <c r="C1003" s="10" t="s">
        <v>90</v>
      </c>
      <c r="D1003" s="10" t="s">
        <v>91</v>
      </c>
      <c r="E1003" s="10" t="s">
        <v>25</v>
      </c>
      <c r="F1003" s="11">
        <v>550</v>
      </c>
      <c r="G1003" s="12">
        <v>0.52510494026477195</v>
      </c>
    </row>
    <row r="1004" spans="2:7" x14ac:dyDescent="0.3">
      <c r="B1004" s="10" t="s">
        <v>237</v>
      </c>
      <c r="C1004" s="10" t="s">
        <v>90</v>
      </c>
      <c r="D1004" s="10" t="s">
        <v>91</v>
      </c>
      <c r="E1004" s="10" t="s">
        <v>24</v>
      </c>
      <c r="F1004" s="11">
        <v>536</v>
      </c>
      <c r="G1004" s="12">
        <v>0.56837261866322297</v>
      </c>
    </row>
    <row r="1005" spans="2:7" x14ac:dyDescent="0.3">
      <c r="B1005" s="10" t="s">
        <v>237</v>
      </c>
      <c r="C1005" s="10" t="s">
        <v>90</v>
      </c>
      <c r="D1005" s="10" t="s">
        <v>91</v>
      </c>
      <c r="E1005" s="10" t="s">
        <v>23</v>
      </c>
      <c r="F1005" s="11">
        <v>514</v>
      </c>
      <c r="G1005" s="12">
        <v>0.60986438488860195</v>
      </c>
    </row>
    <row r="1006" spans="2:7" x14ac:dyDescent="0.3">
      <c r="B1006" s="10" t="s">
        <v>237</v>
      </c>
      <c r="C1006" s="10" t="s">
        <v>90</v>
      </c>
      <c r="D1006" s="10" t="s">
        <v>91</v>
      </c>
      <c r="E1006" s="10" t="s">
        <v>27</v>
      </c>
      <c r="F1006" s="11">
        <v>471</v>
      </c>
      <c r="G1006" s="12">
        <v>0.647885050048434</v>
      </c>
    </row>
    <row r="1007" spans="2:7" x14ac:dyDescent="0.3">
      <c r="B1007" s="10" t="s">
        <v>237</v>
      </c>
      <c r="C1007" s="10" t="s">
        <v>90</v>
      </c>
      <c r="D1007" s="10" t="s">
        <v>91</v>
      </c>
      <c r="E1007" s="10" t="s">
        <v>204</v>
      </c>
      <c r="F1007" s="11">
        <v>461</v>
      </c>
      <c r="G1007" s="12">
        <v>0.68509848240232496</v>
      </c>
    </row>
    <row r="1008" spans="2:7" x14ac:dyDescent="0.3">
      <c r="B1008" s="10" t="s">
        <v>237</v>
      </c>
      <c r="C1008" s="10" t="s">
        <v>90</v>
      </c>
      <c r="D1008" s="10" t="s">
        <v>91</v>
      </c>
      <c r="E1008" s="10" t="s">
        <v>67</v>
      </c>
      <c r="F1008" s="11">
        <v>348</v>
      </c>
      <c r="G1008" s="12">
        <v>0.71319018404907997</v>
      </c>
    </row>
    <row r="1009" spans="2:7" x14ac:dyDescent="0.3">
      <c r="B1009" s="10" t="s">
        <v>237</v>
      </c>
      <c r="C1009" s="10" t="s">
        <v>90</v>
      </c>
      <c r="D1009" s="10" t="s">
        <v>91</v>
      </c>
      <c r="E1009" s="10" t="s">
        <v>26</v>
      </c>
      <c r="F1009" s="11">
        <v>283</v>
      </c>
      <c r="G1009" s="12">
        <v>0.73603487245721699</v>
      </c>
    </row>
    <row r="1010" spans="2:7" x14ac:dyDescent="0.3">
      <c r="B1010" s="10" t="s">
        <v>237</v>
      </c>
      <c r="C1010" s="10" t="s">
        <v>90</v>
      </c>
      <c r="D1010" s="10" t="s">
        <v>91</v>
      </c>
      <c r="E1010" s="10" t="s">
        <v>21</v>
      </c>
      <c r="F1010" s="11">
        <v>279</v>
      </c>
      <c r="G1010" s="12">
        <v>0.75855666774297703</v>
      </c>
    </row>
    <row r="1011" spans="2:7" x14ac:dyDescent="0.3">
      <c r="B1011" s="10" t="s">
        <v>237</v>
      </c>
      <c r="C1011" s="10" t="s">
        <v>90</v>
      </c>
      <c r="D1011" s="10" t="s">
        <v>91</v>
      </c>
      <c r="E1011" s="10" t="s">
        <v>29</v>
      </c>
      <c r="F1011" s="11">
        <v>262</v>
      </c>
      <c r="G1011" s="12">
        <v>0.77970616725863695</v>
      </c>
    </row>
    <row r="1012" spans="2:7" x14ac:dyDescent="0.3">
      <c r="B1012" s="10" t="s">
        <v>237</v>
      </c>
      <c r="C1012" s="10" t="s">
        <v>90</v>
      </c>
      <c r="D1012" s="10" t="s">
        <v>91</v>
      </c>
      <c r="E1012" s="10" t="s">
        <v>75</v>
      </c>
      <c r="F1012" s="11">
        <v>247</v>
      </c>
      <c r="G1012" s="12">
        <v>0.79964481756538597</v>
      </c>
    </row>
    <row r="1013" spans="2:7" x14ac:dyDescent="0.3">
      <c r="B1013" s="10" t="s">
        <v>237</v>
      </c>
      <c r="C1013" s="10" t="s">
        <v>90</v>
      </c>
      <c r="D1013" s="10" t="s">
        <v>91</v>
      </c>
      <c r="E1013" s="10" t="s">
        <v>33</v>
      </c>
      <c r="F1013" s="11">
        <v>222</v>
      </c>
      <c r="G1013" s="12">
        <v>0.83548595414917703</v>
      </c>
    </row>
    <row r="1014" spans="2:7" x14ac:dyDescent="0.3">
      <c r="B1014" s="10" t="s">
        <v>237</v>
      </c>
      <c r="C1014" s="10" t="s">
        <v>90</v>
      </c>
      <c r="D1014" s="10" t="s">
        <v>91</v>
      </c>
      <c r="E1014" s="10" t="s">
        <v>22</v>
      </c>
      <c r="F1014" s="11">
        <v>222</v>
      </c>
      <c r="G1014" s="12">
        <v>0.83548595414917703</v>
      </c>
    </row>
    <row r="1015" spans="2:7" x14ac:dyDescent="0.3">
      <c r="B1015" s="10" t="s">
        <v>237</v>
      </c>
      <c r="C1015" s="10" t="s">
        <v>90</v>
      </c>
      <c r="D1015" s="10" t="s">
        <v>91</v>
      </c>
      <c r="E1015" s="10" t="s">
        <v>30</v>
      </c>
      <c r="F1015" s="11">
        <v>210</v>
      </c>
      <c r="G1015" s="12">
        <v>0.85243784307394299</v>
      </c>
    </row>
    <row r="1016" spans="2:7" x14ac:dyDescent="0.3">
      <c r="B1016" s="10" t="s">
        <v>237</v>
      </c>
      <c r="C1016" s="10" t="s">
        <v>90</v>
      </c>
      <c r="D1016" s="10" t="s">
        <v>91</v>
      </c>
      <c r="E1016" s="10" t="s">
        <v>35</v>
      </c>
      <c r="F1016" s="11">
        <v>188</v>
      </c>
      <c r="G1016" s="12">
        <v>0.86761381982563801</v>
      </c>
    </row>
    <row r="1017" spans="2:7" x14ac:dyDescent="0.3">
      <c r="B1017" s="10" t="s">
        <v>237</v>
      </c>
      <c r="C1017" s="10" t="s">
        <v>90</v>
      </c>
      <c r="D1017" s="10" t="s">
        <v>91</v>
      </c>
      <c r="E1017" s="10" t="s">
        <v>36</v>
      </c>
      <c r="F1017" s="11">
        <v>168</v>
      </c>
      <c r="G1017" s="12">
        <v>0.88117533096544998</v>
      </c>
    </row>
    <row r="1018" spans="2:7" x14ac:dyDescent="0.3">
      <c r="B1018" s="10" t="s">
        <v>237</v>
      </c>
      <c r="C1018" s="10" t="s">
        <v>90</v>
      </c>
      <c r="D1018" s="10" t="s">
        <v>91</v>
      </c>
      <c r="E1018" s="10" t="s">
        <v>28</v>
      </c>
      <c r="F1018" s="11">
        <v>152</v>
      </c>
      <c r="G1018" s="12">
        <v>0.89344526961575699</v>
      </c>
    </row>
    <row r="1019" spans="2:7" x14ac:dyDescent="0.3">
      <c r="B1019" s="10" t="s">
        <v>237</v>
      </c>
      <c r="C1019" s="10" t="s">
        <v>90</v>
      </c>
      <c r="D1019" s="10" t="s">
        <v>91</v>
      </c>
      <c r="E1019" s="10" t="s">
        <v>55</v>
      </c>
      <c r="F1019" s="11">
        <v>142</v>
      </c>
      <c r="G1019" s="12">
        <v>0.91637068130448796</v>
      </c>
    </row>
    <row r="1020" spans="2:7" x14ac:dyDescent="0.3">
      <c r="B1020" s="10" t="s">
        <v>237</v>
      </c>
      <c r="C1020" s="10" t="s">
        <v>90</v>
      </c>
      <c r="D1020" s="10" t="s">
        <v>91</v>
      </c>
      <c r="E1020" s="10" t="s">
        <v>70</v>
      </c>
      <c r="F1020" s="11">
        <v>142</v>
      </c>
      <c r="G1020" s="12">
        <v>0.91637068130448796</v>
      </c>
    </row>
    <row r="1021" spans="2:7" x14ac:dyDescent="0.3">
      <c r="B1021" s="10" t="s">
        <v>237</v>
      </c>
      <c r="C1021" s="10" t="s">
        <v>90</v>
      </c>
      <c r="D1021" s="10" t="s">
        <v>91</v>
      </c>
      <c r="E1021" s="10" t="s">
        <v>31</v>
      </c>
      <c r="F1021" s="11">
        <v>140</v>
      </c>
      <c r="G1021" s="12">
        <v>0.927671940587665</v>
      </c>
    </row>
    <row r="1022" spans="2:7" x14ac:dyDescent="0.3">
      <c r="B1022" s="10" t="s">
        <v>237</v>
      </c>
      <c r="C1022" s="10" t="s">
        <v>90</v>
      </c>
      <c r="D1022" s="10" t="s">
        <v>91</v>
      </c>
      <c r="E1022" s="10" t="s">
        <v>34</v>
      </c>
      <c r="F1022" s="11">
        <v>103</v>
      </c>
      <c r="G1022" s="12">
        <v>0.93598643848885998</v>
      </c>
    </row>
    <row r="1023" spans="2:7" x14ac:dyDescent="0.3">
      <c r="B1023" s="10" t="s">
        <v>237</v>
      </c>
      <c r="C1023" s="10" t="s">
        <v>90</v>
      </c>
      <c r="D1023" s="10" t="s">
        <v>91</v>
      </c>
      <c r="E1023" s="10" t="s">
        <v>39</v>
      </c>
      <c r="F1023" s="11">
        <v>98</v>
      </c>
      <c r="G1023" s="12">
        <v>0.94389731998708404</v>
      </c>
    </row>
    <row r="1024" spans="2:7" x14ac:dyDescent="0.3">
      <c r="B1024" s="10" t="s">
        <v>237</v>
      </c>
      <c r="C1024" s="10" t="s">
        <v>90</v>
      </c>
      <c r="D1024" s="10" t="s">
        <v>91</v>
      </c>
      <c r="E1024" s="10" t="s">
        <v>52</v>
      </c>
      <c r="F1024" s="11">
        <v>88</v>
      </c>
      <c r="G1024" s="12">
        <v>0.95100096867936701</v>
      </c>
    </row>
    <row r="1025" spans="2:7" x14ac:dyDescent="0.3">
      <c r="B1025" s="10" t="s">
        <v>237</v>
      </c>
      <c r="C1025" s="10" t="s">
        <v>90</v>
      </c>
      <c r="D1025" s="10" t="s">
        <v>91</v>
      </c>
      <c r="E1025" s="10" t="s">
        <v>45</v>
      </c>
      <c r="F1025" s="11">
        <v>77</v>
      </c>
      <c r="G1025" s="12">
        <v>0.95721666128511496</v>
      </c>
    </row>
    <row r="1026" spans="2:7" x14ac:dyDescent="0.3">
      <c r="B1026" s="10" t="s">
        <v>237</v>
      </c>
      <c r="C1026" s="10" t="s">
        <v>90</v>
      </c>
      <c r="D1026" s="10" t="s">
        <v>91</v>
      </c>
      <c r="E1026" s="10" t="s">
        <v>41</v>
      </c>
      <c r="F1026" s="11">
        <v>63</v>
      </c>
      <c r="G1026" s="12">
        <v>0.96230222796254405</v>
      </c>
    </row>
    <row r="1027" spans="2:7" x14ac:dyDescent="0.3">
      <c r="B1027" s="10" t="s">
        <v>237</v>
      </c>
      <c r="C1027" s="10" t="s">
        <v>90</v>
      </c>
      <c r="D1027" s="10" t="s">
        <v>91</v>
      </c>
      <c r="E1027" s="10" t="s">
        <v>60</v>
      </c>
      <c r="F1027" s="11">
        <v>50</v>
      </c>
      <c r="G1027" s="12">
        <v>0.96633839199225102</v>
      </c>
    </row>
    <row r="1028" spans="2:7" x14ac:dyDescent="0.3">
      <c r="B1028" s="10" t="s">
        <v>237</v>
      </c>
      <c r="C1028" s="10" t="s">
        <v>90</v>
      </c>
      <c r="D1028" s="10" t="s">
        <v>91</v>
      </c>
      <c r="E1028" s="10" t="s">
        <v>44</v>
      </c>
      <c r="F1028" s="11">
        <v>43</v>
      </c>
      <c r="G1028" s="12">
        <v>0.973280594123345</v>
      </c>
    </row>
    <row r="1029" spans="2:7" x14ac:dyDescent="0.3">
      <c r="B1029" s="10" t="s">
        <v>237</v>
      </c>
      <c r="C1029" s="10" t="s">
        <v>90</v>
      </c>
      <c r="D1029" s="10" t="s">
        <v>91</v>
      </c>
      <c r="E1029" s="10" t="s">
        <v>47</v>
      </c>
      <c r="F1029" s="11">
        <v>43</v>
      </c>
      <c r="G1029" s="12">
        <v>0.973280594123345</v>
      </c>
    </row>
    <row r="1030" spans="2:7" x14ac:dyDescent="0.3">
      <c r="B1030" s="10" t="s">
        <v>237</v>
      </c>
      <c r="C1030" s="10" t="s">
        <v>90</v>
      </c>
      <c r="D1030" s="10" t="s">
        <v>91</v>
      </c>
      <c r="E1030" s="10" t="s">
        <v>80</v>
      </c>
      <c r="F1030" s="11">
        <v>42</v>
      </c>
      <c r="G1030" s="12">
        <v>0.97667097190829799</v>
      </c>
    </row>
    <row r="1031" spans="2:7" x14ac:dyDescent="0.3">
      <c r="B1031" s="10" t="s">
        <v>237</v>
      </c>
      <c r="C1031" s="10" t="s">
        <v>90</v>
      </c>
      <c r="D1031" s="10" t="s">
        <v>91</v>
      </c>
      <c r="E1031" s="10" t="s">
        <v>37</v>
      </c>
      <c r="F1031" s="11">
        <v>39</v>
      </c>
      <c r="G1031" s="12">
        <v>0.97981917985146905</v>
      </c>
    </row>
    <row r="1032" spans="2:7" x14ac:dyDescent="0.3">
      <c r="B1032" s="10" t="s">
        <v>237</v>
      </c>
      <c r="C1032" s="10" t="s">
        <v>90</v>
      </c>
      <c r="D1032" s="10" t="s">
        <v>91</v>
      </c>
      <c r="E1032" s="10" t="s">
        <v>49</v>
      </c>
      <c r="F1032" s="11">
        <v>38</v>
      </c>
      <c r="G1032" s="12">
        <v>0.98288666451404605</v>
      </c>
    </row>
    <row r="1033" spans="2:7" x14ac:dyDescent="0.3">
      <c r="B1033" s="10" t="s">
        <v>237</v>
      </c>
      <c r="C1033" s="10" t="s">
        <v>90</v>
      </c>
      <c r="D1033" s="10" t="s">
        <v>91</v>
      </c>
      <c r="E1033" s="10" t="s">
        <v>54</v>
      </c>
      <c r="F1033" s="11">
        <v>35</v>
      </c>
      <c r="G1033" s="12">
        <v>0.98571197933484</v>
      </c>
    </row>
    <row r="1034" spans="2:7" x14ac:dyDescent="0.3">
      <c r="B1034" s="10" t="s">
        <v>237</v>
      </c>
      <c r="C1034" s="10" t="s">
        <v>90</v>
      </c>
      <c r="D1034" s="10" t="s">
        <v>91</v>
      </c>
      <c r="E1034" s="10" t="s">
        <v>48</v>
      </c>
      <c r="F1034" s="11">
        <v>30</v>
      </c>
      <c r="G1034" s="12">
        <v>0.98813367775266403</v>
      </c>
    </row>
    <row r="1035" spans="2:7" x14ac:dyDescent="0.3">
      <c r="B1035" s="10" t="s">
        <v>237</v>
      </c>
      <c r="C1035" s="10" t="s">
        <v>90</v>
      </c>
      <c r="D1035" s="10" t="s">
        <v>91</v>
      </c>
      <c r="E1035" s="10" t="s">
        <v>43</v>
      </c>
      <c r="F1035" s="11">
        <v>29</v>
      </c>
      <c r="G1035" s="12">
        <v>0.990474652889893</v>
      </c>
    </row>
    <row r="1036" spans="2:7" x14ac:dyDescent="0.3">
      <c r="B1036" s="10" t="s">
        <v>237</v>
      </c>
      <c r="C1036" s="10" t="s">
        <v>90</v>
      </c>
      <c r="D1036" s="10" t="s">
        <v>91</v>
      </c>
      <c r="E1036" s="10" t="s">
        <v>51</v>
      </c>
      <c r="F1036" s="11">
        <v>19</v>
      </c>
      <c r="G1036" s="12">
        <v>0.992008395221182</v>
      </c>
    </row>
    <row r="1037" spans="2:7" x14ac:dyDescent="0.3">
      <c r="B1037" s="10" t="s">
        <v>237</v>
      </c>
      <c r="C1037" s="10" t="s">
        <v>90</v>
      </c>
      <c r="D1037" s="10" t="s">
        <v>91</v>
      </c>
      <c r="E1037" s="10" t="s">
        <v>53</v>
      </c>
      <c r="F1037" s="11">
        <v>17</v>
      </c>
      <c r="G1037" s="12">
        <v>0.99338069099128201</v>
      </c>
    </row>
    <row r="1038" spans="2:7" x14ac:dyDescent="0.3">
      <c r="B1038" s="10" t="s">
        <v>237</v>
      </c>
      <c r="C1038" s="10" t="s">
        <v>90</v>
      </c>
      <c r="D1038" s="10" t="s">
        <v>91</v>
      </c>
      <c r="E1038" s="10" t="s">
        <v>59</v>
      </c>
      <c r="F1038" s="11">
        <v>16</v>
      </c>
      <c r="G1038" s="12">
        <v>0.99467226348078797</v>
      </c>
    </row>
    <row r="1039" spans="2:7" x14ac:dyDescent="0.3">
      <c r="B1039" s="10" t="s">
        <v>237</v>
      </c>
      <c r="C1039" s="10" t="s">
        <v>90</v>
      </c>
      <c r="D1039" s="10" t="s">
        <v>91</v>
      </c>
      <c r="E1039" s="10" t="s">
        <v>62</v>
      </c>
      <c r="F1039" s="11">
        <v>15</v>
      </c>
      <c r="G1039" s="12">
        <v>0.99588311268969998</v>
      </c>
    </row>
    <row r="1040" spans="2:7" x14ac:dyDescent="0.3">
      <c r="B1040" s="10" t="s">
        <v>237</v>
      </c>
      <c r="C1040" s="10" t="s">
        <v>90</v>
      </c>
      <c r="D1040" s="10" t="s">
        <v>91</v>
      </c>
      <c r="E1040" s="10" t="s">
        <v>61</v>
      </c>
      <c r="F1040" s="11">
        <v>9</v>
      </c>
      <c r="G1040" s="12">
        <v>0.99733613174039404</v>
      </c>
    </row>
    <row r="1041" spans="2:7" x14ac:dyDescent="0.3">
      <c r="B1041" s="10" t="s">
        <v>237</v>
      </c>
      <c r="C1041" s="10" t="s">
        <v>90</v>
      </c>
      <c r="D1041" s="10" t="s">
        <v>91</v>
      </c>
      <c r="E1041" s="10" t="s">
        <v>50</v>
      </c>
      <c r="F1041" s="11">
        <v>9</v>
      </c>
      <c r="G1041" s="12">
        <v>0.99733613174039404</v>
      </c>
    </row>
    <row r="1042" spans="2:7" x14ac:dyDescent="0.3">
      <c r="B1042" s="10" t="s">
        <v>237</v>
      </c>
      <c r="C1042" s="10" t="s">
        <v>90</v>
      </c>
      <c r="D1042" s="10" t="s">
        <v>91</v>
      </c>
      <c r="E1042" s="10" t="s">
        <v>38</v>
      </c>
      <c r="F1042" s="11">
        <v>7</v>
      </c>
      <c r="G1042" s="12">
        <v>0.99790119470455296</v>
      </c>
    </row>
    <row r="1043" spans="2:7" x14ac:dyDescent="0.3">
      <c r="B1043" s="10" t="s">
        <v>237</v>
      </c>
      <c r="C1043" s="10" t="s">
        <v>90</v>
      </c>
      <c r="D1043" s="10" t="s">
        <v>91</v>
      </c>
      <c r="E1043" s="10" t="s">
        <v>81</v>
      </c>
      <c r="F1043" s="11">
        <v>6</v>
      </c>
      <c r="G1043" s="12">
        <v>0.99838553438811795</v>
      </c>
    </row>
    <row r="1044" spans="2:7" x14ac:dyDescent="0.3">
      <c r="B1044" s="10" t="s">
        <v>237</v>
      </c>
      <c r="C1044" s="10" t="s">
        <v>90</v>
      </c>
      <c r="D1044" s="10" t="s">
        <v>91</v>
      </c>
      <c r="E1044" s="10" t="s">
        <v>65</v>
      </c>
      <c r="F1044" s="11">
        <v>4</v>
      </c>
      <c r="G1044" s="12">
        <v>0.99935421375524702</v>
      </c>
    </row>
    <row r="1045" spans="2:7" x14ac:dyDescent="0.3">
      <c r="B1045" s="10" t="s">
        <v>237</v>
      </c>
      <c r="C1045" s="10" t="s">
        <v>90</v>
      </c>
      <c r="D1045" s="10" t="s">
        <v>91</v>
      </c>
      <c r="E1045" s="10" t="s">
        <v>66</v>
      </c>
      <c r="F1045" s="11">
        <v>4</v>
      </c>
      <c r="G1045" s="12">
        <v>0.99935421375524702</v>
      </c>
    </row>
    <row r="1046" spans="2:7" x14ac:dyDescent="0.3">
      <c r="B1046" s="10" t="s">
        <v>237</v>
      </c>
      <c r="C1046" s="10" t="s">
        <v>90</v>
      </c>
      <c r="D1046" s="10" t="s">
        <v>91</v>
      </c>
      <c r="E1046" s="10" t="s">
        <v>46</v>
      </c>
      <c r="F1046" s="11">
        <v>4</v>
      </c>
      <c r="G1046" s="12">
        <v>0.99935421375524702</v>
      </c>
    </row>
    <row r="1047" spans="2:7" x14ac:dyDescent="0.3">
      <c r="B1047" s="10" t="s">
        <v>237</v>
      </c>
      <c r="C1047" s="10" t="s">
        <v>90</v>
      </c>
      <c r="D1047" s="10" t="s">
        <v>91</v>
      </c>
      <c r="E1047" s="10" t="s">
        <v>85</v>
      </c>
      <c r="F1047" s="11">
        <v>2</v>
      </c>
      <c r="G1047" s="12">
        <v>0.99983855343881201</v>
      </c>
    </row>
    <row r="1048" spans="2:7" x14ac:dyDescent="0.3">
      <c r="B1048" s="10" t="s">
        <v>237</v>
      </c>
      <c r="C1048" s="10" t="s">
        <v>90</v>
      </c>
      <c r="D1048" s="10" t="s">
        <v>91</v>
      </c>
      <c r="E1048" s="10" t="s">
        <v>42</v>
      </c>
      <c r="F1048" s="11">
        <v>2</v>
      </c>
      <c r="G1048" s="12">
        <v>0.99983855343881201</v>
      </c>
    </row>
    <row r="1049" spans="2:7" x14ac:dyDescent="0.3">
      <c r="B1049" s="10" t="s">
        <v>237</v>
      </c>
      <c r="C1049" s="10" t="s">
        <v>90</v>
      </c>
      <c r="D1049" s="10" t="s">
        <v>91</v>
      </c>
      <c r="E1049" s="10" t="s">
        <v>56</v>
      </c>
      <c r="F1049" s="11">
        <v>2</v>
      </c>
      <c r="G1049" s="12">
        <v>0.99983855343881201</v>
      </c>
    </row>
    <row r="1050" spans="2:7" x14ac:dyDescent="0.3">
      <c r="B1050" s="10" t="s">
        <v>237</v>
      </c>
      <c r="C1050" s="10" t="s">
        <v>90</v>
      </c>
      <c r="D1050" s="10" t="s">
        <v>91</v>
      </c>
      <c r="E1050" s="10" t="s">
        <v>32</v>
      </c>
      <c r="F1050" s="11">
        <v>1</v>
      </c>
      <c r="G1050" s="12">
        <v>1</v>
      </c>
    </row>
    <row r="1051" spans="2:7" x14ac:dyDescent="0.3">
      <c r="B1051" s="10" t="s">
        <v>237</v>
      </c>
      <c r="C1051" s="10" t="s">
        <v>90</v>
      </c>
      <c r="D1051" s="10" t="s">
        <v>91</v>
      </c>
      <c r="E1051" s="10" t="s">
        <v>76</v>
      </c>
      <c r="F1051" s="11">
        <v>1</v>
      </c>
      <c r="G1051" s="12">
        <v>1</v>
      </c>
    </row>
    <row r="1052" spans="2:7" x14ac:dyDescent="0.3">
      <c r="B1052" s="10" t="s">
        <v>237</v>
      </c>
      <c r="C1052" s="10" t="s">
        <v>90</v>
      </c>
      <c r="D1052" s="10" t="s">
        <v>91</v>
      </c>
      <c r="E1052" s="10" t="s">
        <v>73</v>
      </c>
      <c r="F1052" s="11">
        <v>0</v>
      </c>
      <c r="G1052" s="12">
        <v>1</v>
      </c>
    </row>
    <row r="1053" spans="2:7" x14ac:dyDescent="0.3">
      <c r="B1053" s="10" t="s">
        <v>237</v>
      </c>
      <c r="C1053" s="10" t="s">
        <v>90</v>
      </c>
      <c r="D1053" s="10" t="s">
        <v>91</v>
      </c>
      <c r="E1053" s="10" t="s">
        <v>57</v>
      </c>
      <c r="F1053" s="11">
        <v>0</v>
      </c>
      <c r="G1053" s="12">
        <v>1</v>
      </c>
    </row>
    <row r="1054" spans="2:7" x14ac:dyDescent="0.3">
      <c r="B1054" s="10" t="s">
        <v>237</v>
      </c>
      <c r="C1054" s="10" t="s">
        <v>90</v>
      </c>
      <c r="D1054" s="10" t="s">
        <v>91</v>
      </c>
      <c r="E1054" s="10" t="s">
        <v>88</v>
      </c>
      <c r="F1054" s="11">
        <v>0</v>
      </c>
      <c r="G1054" s="12">
        <v>1</v>
      </c>
    </row>
    <row r="1055" spans="2:7" x14ac:dyDescent="0.3">
      <c r="B1055" s="10" t="s">
        <v>237</v>
      </c>
      <c r="C1055" s="10" t="s">
        <v>90</v>
      </c>
      <c r="D1055" s="10" t="s">
        <v>91</v>
      </c>
      <c r="E1055" s="10" t="s">
        <v>89</v>
      </c>
      <c r="F1055" s="11">
        <v>0</v>
      </c>
      <c r="G1055" s="12">
        <v>1</v>
      </c>
    </row>
    <row r="1056" spans="2:7" x14ac:dyDescent="0.3">
      <c r="B1056" t="s">
        <v>237</v>
      </c>
      <c r="C1056" t="s">
        <v>90</v>
      </c>
      <c r="D1056" t="s">
        <v>206</v>
      </c>
      <c r="E1056" s="168" t="s">
        <v>218</v>
      </c>
      <c r="F1056" s="169">
        <v>56733</v>
      </c>
      <c r="G1056" s="170">
        <v>0.61848488482377395</v>
      </c>
    </row>
    <row r="1057" spans="1:7" x14ac:dyDescent="0.3">
      <c r="A1057" s="166"/>
      <c r="B1057" s="168" t="s">
        <v>237</v>
      </c>
      <c r="C1057" s="168" t="s">
        <v>90</v>
      </c>
      <c r="D1057" s="168" t="s">
        <v>206</v>
      </c>
      <c r="E1057" s="168" t="s">
        <v>210</v>
      </c>
      <c r="F1057" s="169">
        <v>27647</v>
      </c>
      <c r="G1057" s="170">
        <v>0.91988357008143595</v>
      </c>
    </row>
    <row r="1058" spans="1:7" x14ac:dyDescent="0.3">
      <c r="A1058" s="166"/>
      <c r="B1058" s="168" t="s">
        <v>237</v>
      </c>
      <c r="C1058" s="168" t="s">
        <v>90</v>
      </c>
      <c r="D1058" s="168" t="s">
        <v>206</v>
      </c>
      <c r="E1058" s="168" t="s">
        <v>211</v>
      </c>
      <c r="F1058" s="169">
        <v>5473</v>
      </c>
      <c r="G1058" s="170">
        <v>0.97954845250684097</v>
      </c>
    </row>
    <row r="1059" spans="1:7" x14ac:dyDescent="0.3">
      <c r="A1059" s="166"/>
      <c r="B1059" s="168" t="s">
        <v>237</v>
      </c>
      <c r="C1059" s="168" t="s">
        <v>90</v>
      </c>
      <c r="D1059" s="168" t="s">
        <v>206</v>
      </c>
      <c r="E1059" s="168" t="s">
        <v>212</v>
      </c>
      <c r="F1059" s="169">
        <v>1532</v>
      </c>
      <c r="G1059" s="170">
        <v>0.996249822847736</v>
      </c>
    </row>
    <row r="1060" spans="1:7" x14ac:dyDescent="0.3">
      <c r="A1060" s="166"/>
      <c r="B1060" s="168" t="s">
        <v>237</v>
      </c>
      <c r="C1060" s="168" t="s">
        <v>90</v>
      </c>
      <c r="D1060" s="168" t="s">
        <v>206</v>
      </c>
      <c r="E1060" s="168" t="s">
        <v>213</v>
      </c>
      <c r="F1060" s="169">
        <v>251</v>
      </c>
      <c r="G1060" s="170">
        <v>0.99898614396755703</v>
      </c>
    </row>
    <row r="1061" spans="1:7" x14ac:dyDescent="0.3">
      <c r="A1061" s="166"/>
      <c r="B1061" s="168" t="s">
        <v>237</v>
      </c>
      <c r="C1061" s="168" t="s">
        <v>90</v>
      </c>
      <c r="D1061" s="168" t="s">
        <v>206</v>
      </c>
      <c r="E1061" s="168" t="s">
        <v>214</v>
      </c>
      <c r="F1061" s="169">
        <v>78</v>
      </c>
      <c r="G1061" s="170">
        <v>0.99983647483347704</v>
      </c>
    </row>
    <row r="1062" spans="1:7" x14ac:dyDescent="0.3">
      <c r="A1062" s="166"/>
      <c r="B1062" s="168" t="s">
        <v>237</v>
      </c>
      <c r="C1062" s="168" t="s">
        <v>90</v>
      </c>
      <c r="D1062" s="168" t="s">
        <v>206</v>
      </c>
      <c r="E1062" s="168" t="s">
        <v>217</v>
      </c>
      <c r="F1062" s="169">
        <v>9</v>
      </c>
      <c r="G1062" s="170">
        <v>0.99993458993339102</v>
      </c>
    </row>
    <row r="1063" spans="1:7" x14ac:dyDescent="0.3">
      <c r="A1063" s="166"/>
      <c r="B1063" s="168" t="s">
        <v>237</v>
      </c>
      <c r="C1063" s="168" t="s">
        <v>90</v>
      </c>
      <c r="D1063" s="168" t="s">
        <v>206</v>
      </c>
      <c r="E1063" s="168" t="s">
        <v>215</v>
      </c>
      <c r="F1063" s="169">
        <v>6</v>
      </c>
      <c r="G1063" s="170">
        <v>1</v>
      </c>
    </row>
    <row r="1064" spans="1:7" x14ac:dyDescent="0.3">
      <c r="A1064" s="166"/>
      <c r="B1064" s="168" t="s">
        <v>237</v>
      </c>
      <c r="C1064" s="168" t="s">
        <v>90</v>
      </c>
      <c r="D1064" s="168" t="s">
        <v>206</v>
      </c>
      <c r="E1064" s="168" t="s">
        <v>216</v>
      </c>
      <c r="F1064" s="169">
        <v>0</v>
      </c>
      <c r="G1064" s="170">
        <v>1</v>
      </c>
    </row>
    <row r="1065" spans="1:7" x14ac:dyDescent="0.3">
      <c r="B1065" t="s">
        <v>237</v>
      </c>
      <c r="C1065" t="s">
        <v>219</v>
      </c>
      <c r="D1065" t="s">
        <v>91</v>
      </c>
      <c r="E1065" s="175" t="s">
        <v>218</v>
      </c>
      <c r="F1065" s="176">
        <v>33919</v>
      </c>
      <c r="G1065" s="177">
        <v>0.59498666853774895</v>
      </c>
    </row>
    <row r="1066" spans="1:7" x14ac:dyDescent="0.3">
      <c r="A1066" s="174"/>
      <c r="B1066" s="175" t="s">
        <v>237</v>
      </c>
      <c r="C1066" s="175" t="s">
        <v>219</v>
      </c>
      <c r="D1066" s="175" t="s">
        <v>91</v>
      </c>
      <c r="E1066" s="175" t="s">
        <v>210</v>
      </c>
      <c r="F1066" s="176">
        <v>22516</v>
      </c>
      <c r="G1066" s="177">
        <v>0.98994877911872003</v>
      </c>
    </row>
    <row r="1067" spans="1:7" x14ac:dyDescent="0.3">
      <c r="A1067" s="174"/>
      <c r="B1067" s="175" t="s">
        <v>237</v>
      </c>
      <c r="C1067" s="175" t="s">
        <v>219</v>
      </c>
      <c r="D1067" s="175" t="s">
        <v>91</v>
      </c>
      <c r="E1067" s="175" t="s">
        <v>220</v>
      </c>
      <c r="F1067" s="176">
        <v>340</v>
      </c>
      <c r="G1067" s="177">
        <v>0.995912854336234</v>
      </c>
    </row>
    <row r="1068" spans="1:7" x14ac:dyDescent="0.3">
      <c r="A1068" s="174"/>
      <c r="B1068" s="175" t="s">
        <v>237</v>
      </c>
      <c r="C1068" s="175" t="s">
        <v>219</v>
      </c>
      <c r="D1068" s="175" t="s">
        <v>91</v>
      </c>
      <c r="E1068" s="175" t="s">
        <v>221</v>
      </c>
      <c r="F1068" s="176">
        <v>163</v>
      </c>
      <c r="G1068" s="177">
        <v>0.99877210216110002</v>
      </c>
    </row>
    <row r="1069" spans="1:7" x14ac:dyDescent="0.3">
      <c r="A1069" s="174"/>
      <c r="B1069" s="175" t="s">
        <v>237</v>
      </c>
      <c r="C1069" s="175" t="s">
        <v>219</v>
      </c>
      <c r="D1069" s="175" t="s">
        <v>91</v>
      </c>
      <c r="E1069" s="175" t="s">
        <v>211</v>
      </c>
      <c r="F1069" s="176">
        <v>26</v>
      </c>
      <c r="G1069" s="177">
        <v>0.999228178501263</v>
      </c>
    </row>
    <row r="1070" spans="1:7" x14ac:dyDescent="0.3">
      <c r="A1070" s="174"/>
      <c r="B1070" s="175" t="s">
        <v>237</v>
      </c>
      <c r="C1070" s="175" t="s">
        <v>219</v>
      </c>
      <c r="D1070" s="175" t="s">
        <v>91</v>
      </c>
      <c r="E1070" s="175" t="s">
        <v>214</v>
      </c>
      <c r="F1070" s="176">
        <v>25</v>
      </c>
      <c r="G1070" s="177">
        <v>0.99966671344372704</v>
      </c>
    </row>
    <row r="1071" spans="1:7" x14ac:dyDescent="0.3">
      <c r="A1071" s="174"/>
      <c r="B1071" s="175" t="s">
        <v>237</v>
      </c>
      <c r="C1071" s="175" t="s">
        <v>219</v>
      </c>
      <c r="D1071" s="175" t="s">
        <v>91</v>
      </c>
      <c r="E1071" s="175" t="s">
        <v>215</v>
      </c>
      <c r="F1071" s="176">
        <v>12</v>
      </c>
      <c r="G1071" s="177">
        <v>0.99987721021610998</v>
      </c>
    </row>
    <row r="1072" spans="1:7" x14ac:dyDescent="0.3">
      <c r="A1072" s="174"/>
      <c r="B1072" s="175" t="s">
        <v>237</v>
      </c>
      <c r="C1072" s="175" t="s">
        <v>219</v>
      </c>
      <c r="D1072" s="175" t="s">
        <v>91</v>
      </c>
      <c r="E1072" s="175" t="s">
        <v>217</v>
      </c>
      <c r="F1072" s="176">
        <v>5</v>
      </c>
      <c r="G1072" s="177">
        <v>0.99996491720460301</v>
      </c>
    </row>
    <row r="1073" spans="1:7" x14ac:dyDescent="0.3">
      <c r="A1073" s="174"/>
      <c r="B1073" s="175" t="s">
        <v>237</v>
      </c>
      <c r="C1073" s="175" t="s">
        <v>219</v>
      </c>
      <c r="D1073" s="175" t="s">
        <v>91</v>
      </c>
      <c r="E1073" s="175" t="s">
        <v>216</v>
      </c>
      <c r="F1073" s="176">
        <v>2</v>
      </c>
      <c r="G1073" s="177">
        <v>1</v>
      </c>
    </row>
    <row r="1074" spans="1:7" x14ac:dyDescent="0.3">
      <c r="B1074" t="s">
        <v>237</v>
      </c>
      <c r="C1074" t="s">
        <v>219</v>
      </c>
      <c r="D1074" t="s">
        <v>206</v>
      </c>
      <c r="E1074" s="178" t="s">
        <v>222</v>
      </c>
      <c r="F1074" s="179">
        <v>4459</v>
      </c>
      <c r="G1074" s="180">
        <v>0.22530443130715999</v>
      </c>
    </row>
    <row r="1075" spans="1:7" x14ac:dyDescent="0.3">
      <c r="B1075" s="178" t="s">
        <v>237</v>
      </c>
      <c r="C1075" s="178" t="s">
        <v>219</v>
      </c>
      <c r="D1075" s="178" t="s">
        <v>206</v>
      </c>
      <c r="E1075" s="178" t="s">
        <v>18</v>
      </c>
      <c r="F1075" s="179">
        <v>3641</v>
      </c>
      <c r="G1075" s="180">
        <v>0.40927694406548398</v>
      </c>
    </row>
    <row r="1076" spans="1:7" x14ac:dyDescent="0.3">
      <c r="B1076" s="178" t="s">
        <v>237</v>
      </c>
      <c r="C1076" s="178" t="s">
        <v>219</v>
      </c>
      <c r="D1076" s="178" t="s">
        <v>206</v>
      </c>
      <c r="E1076" s="178" t="s">
        <v>23</v>
      </c>
      <c r="F1076" s="179">
        <v>2370</v>
      </c>
      <c r="G1076" s="180">
        <v>0.52902834621797801</v>
      </c>
    </row>
    <row r="1077" spans="1:7" x14ac:dyDescent="0.3">
      <c r="B1077" s="178" t="s">
        <v>237</v>
      </c>
      <c r="C1077" s="178" t="s">
        <v>219</v>
      </c>
      <c r="D1077" s="178" t="s">
        <v>206</v>
      </c>
      <c r="E1077" s="178" t="s">
        <v>223</v>
      </c>
      <c r="F1077" s="179">
        <v>1910</v>
      </c>
      <c r="G1077" s="180">
        <v>0.62553686018897503</v>
      </c>
    </row>
    <row r="1078" spans="1:7" x14ac:dyDescent="0.3">
      <c r="B1078" s="178" t="s">
        <v>237</v>
      </c>
      <c r="C1078" s="178" t="s">
        <v>219</v>
      </c>
      <c r="D1078" s="178" t="s">
        <v>206</v>
      </c>
      <c r="E1078" s="178" t="s">
        <v>22</v>
      </c>
      <c r="F1078" s="179">
        <v>927</v>
      </c>
      <c r="G1078" s="180">
        <v>0.67237633267646901</v>
      </c>
    </row>
    <row r="1079" spans="1:7" x14ac:dyDescent="0.3">
      <c r="B1079" s="178" t="s">
        <v>237</v>
      </c>
      <c r="C1079" s="178" t="s">
        <v>219</v>
      </c>
      <c r="D1079" s="178" t="s">
        <v>206</v>
      </c>
      <c r="E1079" s="178" t="s">
        <v>27</v>
      </c>
      <c r="F1079" s="179">
        <v>862</v>
      </c>
      <c r="G1079" s="180">
        <v>0.71593148400788198</v>
      </c>
    </row>
    <row r="1080" spans="1:7" x14ac:dyDescent="0.3">
      <c r="B1080" s="178" t="s">
        <v>237</v>
      </c>
      <c r="C1080" s="178" t="s">
        <v>219</v>
      </c>
      <c r="D1080" s="178" t="s">
        <v>206</v>
      </c>
      <c r="E1080" s="178" t="s">
        <v>24</v>
      </c>
      <c r="F1080" s="179">
        <v>843</v>
      </c>
      <c r="G1080" s="180">
        <v>0.75852660300136399</v>
      </c>
    </row>
    <row r="1081" spans="1:7" x14ac:dyDescent="0.3">
      <c r="B1081" s="178" t="s">
        <v>237</v>
      </c>
      <c r="C1081" s="178" t="s">
        <v>219</v>
      </c>
      <c r="D1081" s="178" t="s">
        <v>206</v>
      </c>
      <c r="E1081" s="178" t="s">
        <v>224</v>
      </c>
      <c r="F1081" s="179">
        <v>827</v>
      </c>
      <c r="G1081" s="180">
        <v>0.80031327371027206</v>
      </c>
    </row>
    <row r="1082" spans="1:7" x14ac:dyDescent="0.3">
      <c r="B1082" s="178" t="s">
        <v>237</v>
      </c>
      <c r="C1082" s="178" t="s">
        <v>219</v>
      </c>
      <c r="D1082" s="178" t="s">
        <v>206</v>
      </c>
      <c r="E1082" s="178" t="s">
        <v>26</v>
      </c>
      <c r="F1082" s="179">
        <v>686</v>
      </c>
      <c r="G1082" s="180">
        <v>0.83497549391137404</v>
      </c>
    </row>
    <row r="1083" spans="1:7" x14ac:dyDescent="0.3">
      <c r="B1083" s="178" t="s">
        <v>237</v>
      </c>
      <c r="C1083" s="178" t="s">
        <v>219</v>
      </c>
      <c r="D1083" s="178" t="s">
        <v>206</v>
      </c>
      <c r="E1083" s="178" t="s">
        <v>44</v>
      </c>
      <c r="F1083" s="179">
        <v>510</v>
      </c>
      <c r="G1083" s="180">
        <v>0.86074478298216395</v>
      </c>
    </row>
    <row r="1084" spans="1:7" x14ac:dyDescent="0.3">
      <c r="B1084" s="178" t="s">
        <v>237</v>
      </c>
      <c r="C1084" s="178" t="s">
        <v>219</v>
      </c>
      <c r="D1084" s="178" t="s">
        <v>206</v>
      </c>
      <c r="E1084" s="178" t="s">
        <v>225</v>
      </c>
      <c r="F1084" s="179">
        <v>446</v>
      </c>
      <c r="G1084" s="180">
        <v>0.88328027891465799</v>
      </c>
    </row>
    <row r="1085" spans="1:7" x14ac:dyDescent="0.3">
      <c r="B1085" s="178" t="s">
        <v>237</v>
      </c>
      <c r="C1085" s="178" t="s">
        <v>219</v>
      </c>
      <c r="D1085" s="178" t="s">
        <v>206</v>
      </c>
      <c r="E1085" s="178" t="s">
        <v>25</v>
      </c>
      <c r="F1085" s="179">
        <v>430</v>
      </c>
      <c r="G1085" s="180">
        <v>0.90500732656257898</v>
      </c>
    </row>
    <row r="1086" spans="1:7" x14ac:dyDescent="0.3">
      <c r="B1086" s="178" t="s">
        <v>237</v>
      </c>
      <c r="C1086" s="178" t="s">
        <v>219</v>
      </c>
      <c r="D1086" s="178" t="s">
        <v>206</v>
      </c>
      <c r="E1086" s="178" t="s">
        <v>41</v>
      </c>
      <c r="F1086" s="179">
        <v>280</v>
      </c>
      <c r="G1086" s="180">
        <v>0.91915517154262005</v>
      </c>
    </row>
    <row r="1087" spans="1:7" x14ac:dyDescent="0.3">
      <c r="B1087" s="178" t="s">
        <v>237</v>
      </c>
      <c r="C1087" s="178" t="s">
        <v>219</v>
      </c>
      <c r="D1087" s="178" t="s">
        <v>206</v>
      </c>
      <c r="E1087" s="178" t="s">
        <v>35</v>
      </c>
      <c r="F1087" s="179">
        <v>255</v>
      </c>
      <c r="G1087" s="180">
        <v>0.932039816078015</v>
      </c>
    </row>
    <row r="1088" spans="1:7" x14ac:dyDescent="0.3">
      <c r="B1088" s="178" t="s">
        <v>237</v>
      </c>
      <c r="C1088" s="178" t="s">
        <v>219</v>
      </c>
      <c r="D1088" s="178" t="s">
        <v>206</v>
      </c>
      <c r="E1088" s="178" t="s">
        <v>32</v>
      </c>
      <c r="F1088" s="179">
        <v>229</v>
      </c>
      <c r="G1088" s="180">
        <v>0.94361073215097802</v>
      </c>
    </row>
    <row r="1089" spans="2:7" x14ac:dyDescent="0.3">
      <c r="B1089" s="178" t="s">
        <v>237</v>
      </c>
      <c r="C1089" s="178" t="s">
        <v>219</v>
      </c>
      <c r="D1089" s="178" t="s">
        <v>206</v>
      </c>
      <c r="E1089" s="178" t="s">
        <v>39</v>
      </c>
      <c r="F1089" s="179">
        <v>204</v>
      </c>
      <c r="G1089" s="180">
        <v>0.95391844777929402</v>
      </c>
    </row>
    <row r="1090" spans="2:7" x14ac:dyDescent="0.3">
      <c r="B1090" s="178" t="s">
        <v>237</v>
      </c>
      <c r="C1090" s="178" t="s">
        <v>219</v>
      </c>
      <c r="D1090" s="178" t="s">
        <v>206</v>
      </c>
      <c r="E1090" s="178" t="s">
        <v>221</v>
      </c>
      <c r="F1090" s="179">
        <v>202</v>
      </c>
      <c r="G1090" s="180">
        <v>0.96412510737203805</v>
      </c>
    </row>
    <row r="1091" spans="2:7" x14ac:dyDescent="0.3">
      <c r="B1091" s="178" t="s">
        <v>237</v>
      </c>
      <c r="C1091" s="178" t="s">
        <v>219</v>
      </c>
      <c r="D1091" s="178" t="s">
        <v>206</v>
      </c>
      <c r="E1091" s="178" t="s">
        <v>20</v>
      </c>
      <c r="F1091" s="179">
        <v>147</v>
      </c>
      <c r="G1091" s="180">
        <v>0.97155272598655995</v>
      </c>
    </row>
    <row r="1092" spans="2:7" x14ac:dyDescent="0.3">
      <c r="B1092" s="178" t="s">
        <v>237</v>
      </c>
      <c r="C1092" s="178" t="s">
        <v>219</v>
      </c>
      <c r="D1092" s="178" t="s">
        <v>206</v>
      </c>
      <c r="E1092" s="178" t="s">
        <v>33</v>
      </c>
      <c r="F1092" s="179">
        <v>135</v>
      </c>
      <c r="G1092" s="180">
        <v>0.97837400838765098</v>
      </c>
    </row>
    <row r="1093" spans="2:7" x14ac:dyDescent="0.3">
      <c r="B1093" s="178" t="s">
        <v>237</v>
      </c>
      <c r="C1093" s="178" t="s">
        <v>219</v>
      </c>
      <c r="D1093" s="178" t="s">
        <v>206</v>
      </c>
      <c r="E1093" s="178" t="s">
        <v>226</v>
      </c>
      <c r="F1093" s="179">
        <v>112</v>
      </c>
      <c r="G1093" s="180">
        <v>0.98403314637966799</v>
      </c>
    </row>
    <row r="1094" spans="2:7" x14ac:dyDescent="0.3">
      <c r="B1094" s="178" t="s">
        <v>237</v>
      </c>
      <c r="C1094" s="178" t="s">
        <v>219</v>
      </c>
      <c r="D1094" s="178" t="s">
        <v>206</v>
      </c>
      <c r="E1094" s="178" t="s">
        <v>50</v>
      </c>
      <c r="F1094" s="179">
        <v>66</v>
      </c>
      <c r="G1094" s="180">
        <v>0.98736799555353405</v>
      </c>
    </row>
    <row r="1095" spans="2:7" x14ac:dyDescent="0.3">
      <c r="B1095" s="178" t="s">
        <v>237</v>
      </c>
      <c r="C1095" s="178" t="s">
        <v>219</v>
      </c>
      <c r="D1095" s="178" t="s">
        <v>206</v>
      </c>
      <c r="E1095" s="178" t="s">
        <v>28</v>
      </c>
      <c r="F1095" s="179">
        <v>62</v>
      </c>
      <c r="G1095" s="180">
        <v>0.99050073265625804</v>
      </c>
    </row>
    <row r="1096" spans="2:7" x14ac:dyDescent="0.3">
      <c r="B1096" s="178" t="s">
        <v>237</v>
      </c>
      <c r="C1096" s="178" t="s">
        <v>219</v>
      </c>
      <c r="D1096" s="178" t="s">
        <v>206</v>
      </c>
      <c r="E1096" s="178" t="s">
        <v>45</v>
      </c>
      <c r="F1096" s="179">
        <v>56</v>
      </c>
      <c r="G1096" s="180">
        <v>0.99333030165226599</v>
      </c>
    </row>
    <row r="1097" spans="2:7" x14ac:dyDescent="0.3">
      <c r="B1097" s="178" t="s">
        <v>237</v>
      </c>
      <c r="C1097" s="178" t="s">
        <v>219</v>
      </c>
      <c r="D1097" s="178" t="s">
        <v>206</v>
      </c>
      <c r="E1097" s="178" t="s">
        <v>47</v>
      </c>
      <c r="F1097" s="179">
        <v>23</v>
      </c>
      <c r="G1097" s="180">
        <v>0.99449244606134102</v>
      </c>
    </row>
    <row r="1098" spans="2:7" x14ac:dyDescent="0.3">
      <c r="B1098" s="178" t="s">
        <v>237</v>
      </c>
      <c r="C1098" s="178" t="s">
        <v>219</v>
      </c>
      <c r="D1098" s="178" t="s">
        <v>206</v>
      </c>
      <c r="E1098" s="178" t="s">
        <v>36</v>
      </c>
      <c r="F1098" s="179">
        <v>21</v>
      </c>
      <c r="G1098" s="180">
        <v>0.99555353443484396</v>
      </c>
    </row>
    <row r="1099" spans="2:7" x14ac:dyDescent="0.3">
      <c r="B1099" s="178" t="s">
        <v>237</v>
      </c>
      <c r="C1099" s="178" t="s">
        <v>219</v>
      </c>
      <c r="D1099" s="178" t="s">
        <v>206</v>
      </c>
      <c r="E1099" s="178" t="s">
        <v>48</v>
      </c>
      <c r="F1099" s="179">
        <v>14</v>
      </c>
      <c r="G1099" s="180">
        <v>0.99626092668384603</v>
      </c>
    </row>
    <row r="1100" spans="2:7" x14ac:dyDescent="0.3">
      <c r="B1100" s="178" t="s">
        <v>237</v>
      </c>
      <c r="C1100" s="178" t="s">
        <v>219</v>
      </c>
      <c r="D1100" s="178" t="s">
        <v>206</v>
      </c>
      <c r="E1100" s="178" t="s">
        <v>51</v>
      </c>
      <c r="F1100" s="179">
        <v>10</v>
      </c>
      <c r="G1100" s="180">
        <v>0.99727148703956303</v>
      </c>
    </row>
    <row r="1101" spans="2:7" x14ac:dyDescent="0.3">
      <c r="B1101" s="178" t="s">
        <v>237</v>
      </c>
      <c r="C1101" s="178" t="s">
        <v>219</v>
      </c>
      <c r="D1101" s="178" t="s">
        <v>206</v>
      </c>
      <c r="E1101" s="178" t="s">
        <v>213</v>
      </c>
      <c r="F1101" s="179">
        <v>10</v>
      </c>
      <c r="G1101" s="180">
        <v>0.99727148703956303</v>
      </c>
    </row>
    <row r="1102" spans="2:7" x14ac:dyDescent="0.3">
      <c r="B1102" s="178" t="s">
        <v>237</v>
      </c>
      <c r="C1102" s="178" t="s">
        <v>219</v>
      </c>
      <c r="D1102" s="178" t="s">
        <v>206</v>
      </c>
      <c r="E1102" s="178" t="s">
        <v>53</v>
      </c>
      <c r="F1102" s="179">
        <v>9</v>
      </c>
      <c r="G1102" s="180">
        <v>0.99772623919963599</v>
      </c>
    </row>
    <row r="1103" spans="2:7" x14ac:dyDescent="0.3">
      <c r="B1103" s="178" t="s">
        <v>237</v>
      </c>
      <c r="C1103" s="178" t="s">
        <v>219</v>
      </c>
      <c r="D1103" s="178" t="s">
        <v>206</v>
      </c>
      <c r="E1103" s="178" t="s">
        <v>52</v>
      </c>
      <c r="F1103" s="179">
        <v>8</v>
      </c>
      <c r="G1103" s="180">
        <v>0.99813046334192301</v>
      </c>
    </row>
    <row r="1104" spans="2:7" x14ac:dyDescent="0.3">
      <c r="B1104" s="178" t="s">
        <v>237</v>
      </c>
      <c r="C1104" s="178" t="s">
        <v>219</v>
      </c>
      <c r="D1104" s="178" t="s">
        <v>206</v>
      </c>
      <c r="E1104" s="178" t="s">
        <v>54</v>
      </c>
      <c r="F1104" s="179">
        <v>6</v>
      </c>
      <c r="G1104" s="180">
        <v>0.99843363144863795</v>
      </c>
    </row>
    <row r="1105" spans="2:7" x14ac:dyDescent="0.3">
      <c r="B1105" s="178" t="s">
        <v>237</v>
      </c>
      <c r="C1105" s="178" t="s">
        <v>219</v>
      </c>
      <c r="D1105" s="178" t="s">
        <v>206</v>
      </c>
      <c r="E1105" s="178" t="s">
        <v>30</v>
      </c>
      <c r="F1105" s="179">
        <v>5</v>
      </c>
      <c r="G1105" s="180">
        <v>0.99919155171542595</v>
      </c>
    </row>
    <row r="1106" spans="2:7" x14ac:dyDescent="0.3">
      <c r="B1106" s="178" t="s">
        <v>237</v>
      </c>
      <c r="C1106" s="178" t="s">
        <v>219</v>
      </c>
      <c r="D1106" s="178" t="s">
        <v>206</v>
      </c>
      <c r="E1106" s="178" t="s">
        <v>46</v>
      </c>
      <c r="F1106" s="179">
        <v>5</v>
      </c>
      <c r="G1106" s="180">
        <v>0.99919155171542595</v>
      </c>
    </row>
    <row r="1107" spans="2:7" x14ac:dyDescent="0.3">
      <c r="B1107" s="178" t="s">
        <v>237</v>
      </c>
      <c r="C1107" s="178" t="s">
        <v>219</v>
      </c>
      <c r="D1107" s="178" t="s">
        <v>206</v>
      </c>
      <c r="E1107" s="178" t="s">
        <v>67</v>
      </c>
      <c r="F1107" s="179">
        <v>5</v>
      </c>
      <c r="G1107" s="180">
        <v>0.99919155171542595</v>
      </c>
    </row>
    <row r="1108" spans="2:7" x14ac:dyDescent="0.3">
      <c r="B1108" s="178" t="s">
        <v>237</v>
      </c>
      <c r="C1108" s="178" t="s">
        <v>219</v>
      </c>
      <c r="D1108" s="178" t="s">
        <v>206</v>
      </c>
      <c r="E1108" s="178" t="s">
        <v>66</v>
      </c>
      <c r="F1108" s="179">
        <v>4</v>
      </c>
      <c r="G1108" s="180">
        <v>0.99939366378657002</v>
      </c>
    </row>
    <row r="1109" spans="2:7" x14ac:dyDescent="0.3">
      <c r="B1109" s="178" t="s">
        <v>237</v>
      </c>
      <c r="C1109" s="178" t="s">
        <v>219</v>
      </c>
      <c r="D1109" s="178" t="s">
        <v>206</v>
      </c>
      <c r="E1109" s="178" t="s">
        <v>37</v>
      </c>
      <c r="F1109" s="179">
        <v>2</v>
      </c>
      <c r="G1109" s="180">
        <v>0.99979788792885704</v>
      </c>
    </row>
    <row r="1110" spans="2:7" x14ac:dyDescent="0.3">
      <c r="B1110" s="178" t="s">
        <v>237</v>
      </c>
      <c r="C1110" s="178" t="s">
        <v>219</v>
      </c>
      <c r="D1110" s="178" t="s">
        <v>206</v>
      </c>
      <c r="E1110" s="178" t="s">
        <v>88</v>
      </c>
      <c r="F1110" s="179">
        <v>2</v>
      </c>
      <c r="G1110" s="180">
        <v>0.99979788792885704</v>
      </c>
    </row>
    <row r="1111" spans="2:7" x14ac:dyDescent="0.3">
      <c r="B1111" s="178" t="s">
        <v>237</v>
      </c>
      <c r="C1111" s="178" t="s">
        <v>219</v>
      </c>
      <c r="D1111" s="178" t="s">
        <v>206</v>
      </c>
      <c r="E1111" s="178" t="s">
        <v>75</v>
      </c>
      <c r="F1111" s="179">
        <v>2</v>
      </c>
      <c r="G1111" s="180">
        <v>0.99979788792885704</v>
      </c>
    </row>
    <row r="1112" spans="2:7" x14ac:dyDescent="0.3">
      <c r="B1112" s="178" t="s">
        <v>237</v>
      </c>
      <c r="C1112" s="178" t="s">
        <v>219</v>
      </c>
      <c r="D1112" s="178" t="s">
        <v>206</v>
      </c>
      <c r="E1112" s="178" t="s">
        <v>70</v>
      </c>
      <c r="F1112" s="179">
        <v>2</v>
      </c>
      <c r="G1112" s="180">
        <v>0.99979788792885704</v>
      </c>
    </row>
    <row r="1113" spans="2:7" x14ac:dyDescent="0.3">
      <c r="B1113" s="178" t="s">
        <v>237</v>
      </c>
      <c r="C1113" s="178" t="s">
        <v>219</v>
      </c>
      <c r="D1113" s="178" t="s">
        <v>206</v>
      </c>
      <c r="E1113" s="178" t="s">
        <v>38</v>
      </c>
      <c r="F1113" s="179">
        <v>1</v>
      </c>
      <c r="G1113" s="180">
        <v>1</v>
      </c>
    </row>
    <row r="1114" spans="2:7" x14ac:dyDescent="0.3">
      <c r="B1114" s="178" t="s">
        <v>237</v>
      </c>
      <c r="C1114" s="178" t="s">
        <v>219</v>
      </c>
      <c r="D1114" s="178" t="s">
        <v>206</v>
      </c>
      <c r="E1114" s="178" t="s">
        <v>76</v>
      </c>
      <c r="F1114" s="179">
        <v>1</v>
      </c>
      <c r="G1114" s="180">
        <v>1</v>
      </c>
    </row>
    <row r="1115" spans="2:7" x14ac:dyDescent="0.3">
      <c r="B1115" s="178" t="s">
        <v>237</v>
      </c>
      <c r="C1115" s="178" t="s">
        <v>219</v>
      </c>
      <c r="D1115" s="178" t="s">
        <v>206</v>
      </c>
      <c r="E1115" s="178" t="s">
        <v>204</v>
      </c>
      <c r="F1115" s="179">
        <v>1</v>
      </c>
      <c r="G1115" s="180">
        <v>1</v>
      </c>
    </row>
    <row r="1116" spans="2:7" x14ac:dyDescent="0.3">
      <c r="B1116" s="178" t="s">
        <v>237</v>
      </c>
      <c r="C1116" s="178" t="s">
        <v>219</v>
      </c>
      <c r="D1116" s="178" t="s">
        <v>206</v>
      </c>
      <c r="E1116" s="178" t="s">
        <v>63</v>
      </c>
      <c r="F1116" s="179">
        <v>1</v>
      </c>
      <c r="G1116" s="180">
        <v>1</v>
      </c>
    </row>
    <row r="1117" spans="2:7" x14ac:dyDescent="0.3">
      <c r="B1117" s="178" t="s">
        <v>237</v>
      </c>
      <c r="C1117" s="178" t="s">
        <v>219</v>
      </c>
      <c r="D1117" s="178" t="s">
        <v>206</v>
      </c>
      <c r="E1117" s="178" t="s">
        <v>65</v>
      </c>
      <c r="F1117" s="179">
        <v>0</v>
      </c>
      <c r="G1117" s="180">
        <v>1</v>
      </c>
    </row>
    <row r="1118" spans="2:7" x14ac:dyDescent="0.3">
      <c r="B1118" s="178" t="s">
        <v>237</v>
      </c>
      <c r="C1118" s="178" t="s">
        <v>219</v>
      </c>
      <c r="D1118" s="178" t="s">
        <v>206</v>
      </c>
      <c r="E1118" s="178" t="s">
        <v>81</v>
      </c>
      <c r="F1118" s="179">
        <v>0</v>
      </c>
      <c r="G1118" s="180">
        <v>1</v>
      </c>
    </row>
    <row r="1119" spans="2:7" x14ac:dyDescent="0.3">
      <c r="B1119" s="178" t="s">
        <v>237</v>
      </c>
      <c r="C1119" s="178" t="s">
        <v>219</v>
      </c>
      <c r="D1119" s="178" t="s">
        <v>206</v>
      </c>
      <c r="E1119" s="178" t="s">
        <v>43</v>
      </c>
      <c r="F1119" s="179">
        <v>0</v>
      </c>
      <c r="G1119" s="180">
        <v>1</v>
      </c>
    </row>
    <row r="1120" spans="2:7" x14ac:dyDescent="0.3">
      <c r="B1120" s="178" t="s">
        <v>237</v>
      </c>
      <c r="C1120" s="178" t="s">
        <v>219</v>
      </c>
      <c r="D1120" s="178" t="s">
        <v>206</v>
      </c>
      <c r="E1120" s="178" t="s">
        <v>89</v>
      </c>
      <c r="F1120" s="179">
        <v>0</v>
      </c>
      <c r="G1120" s="180">
        <v>1</v>
      </c>
    </row>
  </sheetData>
  <conditionalFormatting sqref="G999:G1048576 F1:F1120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877C-5C9D-4D57-8DD0-0FC3E1A7EE50}">
  <sheetPr codeName="Hoja3"/>
  <dimension ref="A1:F3076"/>
  <sheetViews>
    <sheetView tabSelected="1" topLeftCell="A2142" zoomScale="115" zoomScaleNormal="115" workbookViewId="0">
      <selection activeCell="F2" sqref="F2:F3076"/>
    </sheetView>
  </sheetViews>
  <sheetFormatPr baseColWidth="10" defaultColWidth="8.88671875" defaultRowHeight="14.4" x14ac:dyDescent="0.3"/>
  <cols>
    <col min="1" max="1" width="25.77734375" customWidth="1"/>
    <col min="2" max="2" width="16.44140625" customWidth="1"/>
    <col min="3" max="3" width="14.21875" customWidth="1"/>
    <col min="4" max="4" width="24.44140625" customWidth="1"/>
    <col min="5" max="5" width="21.5546875" customWidth="1"/>
    <col min="6" max="6" width="27.44140625" customWidth="1"/>
  </cols>
  <sheetData>
    <row r="1" spans="1:6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</row>
    <row r="2" spans="1:6" x14ac:dyDescent="0.3">
      <c r="A2" t="str">
        <f>_xlfn.XLOOKUP(ColombiaClientes[[#This Row],[Client]],VpsClientes[Client],VpsClientes[VP],"",0)</f>
        <v>Carlos Beltran Hernandez</v>
      </c>
      <c r="B2" t="s">
        <v>93</v>
      </c>
      <c r="C2" t="s">
        <v>92</v>
      </c>
      <c r="D2" t="s">
        <v>90</v>
      </c>
      <c r="E2" t="s">
        <v>91</v>
      </c>
      <c r="F2" s="1">
        <v>46897</v>
      </c>
    </row>
    <row r="3" spans="1:6" x14ac:dyDescent="0.3">
      <c r="A3" t="str">
        <f>_xlfn.XLOOKUP(ColombiaClientes[[#This Row],[Client]],VpsClientes[Client],VpsClientes[VP],"",0)</f>
        <v>Carlos Beltran Hernandez</v>
      </c>
      <c r="B3" t="s">
        <v>94</v>
      </c>
      <c r="C3" t="s">
        <v>92</v>
      </c>
      <c r="D3" t="s">
        <v>90</v>
      </c>
      <c r="E3" t="s">
        <v>91</v>
      </c>
      <c r="F3" s="1">
        <v>29031</v>
      </c>
    </row>
    <row r="4" spans="1:6" x14ac:dyDescent="0.3">
      <c r="A4" t="str">
        <f>_xlfn.XLOOKUP(ColombiaClientes[[#This Row],[Client]],VpsClientes[Client],VpsClientes[VP],"",0)</f>
        <v>Ludy Torres Benitez</v>
      </c>
      <c r="B4" t="s">
        <v>95</v>
      </c>
      <c r="C4" t="s">
        <v>92</v>
      </c>
      <c r="D4" t="s">
        <v>90</v>
      </c>
      <c r="E4" t="s">
        <v>91</v>
      </c>
      <c r="F4" s="1">
        <v>23322</v>
      </c>
    </row>
    <row r="5" spans="1:6" x14ac:dyDescent="0.3">
      <c r="A5" t="str">
        <f>_xlfn.XLOOKUP(ColombiaClientes[[#This Row],[Client]],VpsClientes[Client],VpsClientes[VP],"",0)</f>
        <v>Martha Guzman Arango</v>
      </c>
      <c r="B5" t="s">
        <v>96</v>
      </c>
      <c r="C5" t="s">
        <v>92</v>
      </c>
      <c r="D5" t="s">
        <v>90</v>
      </c>
      <c r="E5" t="s">
        <v>91</v>
      </c>
      <c r="F5" s="1">
        <v>11372</v>
      </c>
    </row>
    <row r="6" spans="1:6" x14ac:dyDescent="0.3">
      <c r="A6" t="str">
        <f>_xlfn.XLOOKUP(ColombiaClientes[[#This Row],[Client]],VpsClientes[Client],VpsClientes[VP],"",0)</f>
        <v>Martha Guzman Arango</v>
      </c>
      <c r="B6" t="s">
        <v>97</v>
      </c>
      <c r="C6" t="s">
        <v>92</v>
      </c>
      <c r="D6" t="s">
        <v>90</v>
      </c>
      <c r="E6" t="s">
        <v>91</v>
      </c>
      <c r="F6" s="1">
        <v>10147</v>
      </c>
    </row>
    <row r="7" spans="1:6" x14ac:dyDescent="0.3">
      <c r="A7" t="str">
        <f>_xlfn.XLOOKUP(ColombiaClientes[[#This Row],[Client]],VpsClientes[Client],VpsClientes[VP],"",0)</f>
        <v>Martha Guzman Arango</v>
      </c>
      <c r="B7" t="s">
        <v>98</v>
      </c>
      <c r="C7" t="s">
        <v>92</v>
      </c>
      <c r="D7" t="s">
        <v>90</v>
      </c>
      <c r="E7" t="s">
        <v>91</v>
      </c>
      <c r="F7" s="1">
        <v>10047</v>
      </c>
    </row>
    <row r="8" spans="1:6" x14ac:dyDescent="0.3">
      <c r="A8" t="str">
        <f>_xlfn.XLOOKUP(ColombiaClientes[[#This Row],[Client]],VpsClientes[Client],VpsClientes[VP],"",0)</f>
        <v>Moises Saavedra Garcia</v>
      </c>
      <c r="B8" t="s">
        <v>99</v>
      </c>
      <c r="C8" t="s">
        <v>92</v>
      </c>
      <c r="D8" t="s">
        <v>90</v>
      </c>
      <c r="E8" t="s">
        <v>91</v>
      </c>
      <c r="F8" s="1">
        <v>9676</v>
      </c>
    </row>
    <row r="9" spans="1:6" x14ac:dyDescent="0.3">
      <c r="A9" t="str">
        <f>_xlfn.XLOOKUP(ColombiaClientes[[#This Row],[Client]],VpsClientes[Client],VpsClientes[VP],"",0)</f>
        <v>Martha Guzman Arango</v>
      </c>
      <c r="B9" t="s">
        <v>100</v>
      </c>
      <c r="C9" t="s">
        <v>92</v>
      </c>
      <c r="D9" t="s">
        <v>90</v>
      </c>
      <c r="E9" t="s">
        <v>91</v>
      </c>
      <c r="F9" s="1">
        <v>7908</v>
      </c>
    </row>
    <row r="10" spans="1:6" x14ac:dyDescent="0.3">
      <c r="A10" t="str">
        <f>_xlfn.XLOOKUP(ColombiaClientes[[#This Row],[Client]],VpsClientes[Client],VpsClientes[VP],"",0)</f>
        <v>Maria Forero Jara</v>
      </c>
      <c r="B10" t="s">
        <v>101</v>
      </c>
      <c r="C10" t="s">
        <v>92</v>
      </c>
      <c r="D10" t="s">
        <v>90</v>
      </c>
      <c r="E10" t="s">
        <v>91</v>
      </c>
      <c r="F10" s="1">
        <v>7038</v>
      </c>
    </row>
    <row r="11" spans="1:6" x14ac:dyDescent="0.3">
      <c r="A11" t="str">
        <f>_xlfn.XLOOKUP(ColombiaClientes[[#This Row],[Client]],VpsClientes[Client],VpsClientes[VP],"",0)</f>
        <v>Carlos Beltran Hernandez</v>
      </c>
      <c r="B11" t="s">
        <v>102</v>
      </c>
      <c r="C11" t="s">
        <v>92</v>
      </c>
      <c r="D11" t="s">
        <v>90</v>
      </c>
      <c r="E11" t="s">
        <v>91</v>
      </c>
      <c r="F11" s="1">
        <v>6420</v>
      </c>
    </row>
    <row r="12" spans="1:6" x14ac:dyDescent="0.3">
      <c r="A12" t="str">
        <f>_xlfn.XLOOKUP(ColombiaClientes[[#This Row],[Client]],VpsClientes[Client],VpsClientes[VP],"",0)</f>
        <v>Martha Guzman Arango</v>
      </c>
      <c r="B12" t="s">
        <v>103</v>
      </c>
      <c r="C12" t="s">
        <v>92</v>
      </c>
      <c r="D12" t="s">
        <v>90</v>
      </c>
      <c r="E12" t="s">
        <v>91</v>
      </c>
      <c r="F12" s="1">
        <v>6175</v>
      </c>
    </row>
    <row r="13" spans="1:6" x14ac:dyDescent="0.3">
      <c r="A13" t="str">
        <f>_xlfn.XLOOKUP(ColombiaClientes[[#This Row],[Client]],VpsClientes[Client],VpsClientes[VP],"",0)</f>
        <v>Jhonatan Izquierdo Rico</v>
      </c>
      <c r="B13" t="s">
        <v>104</v>
      </c>
      <c r="C13" t="s">
        <v>92</v>
      </c>
      <c r="D13" t="s">
        <v>90</v>
      </c>
      <c r="E13" t="s">
        <v>91</v>
      </c>
      <c r="F13" s="1">
        <v>5762</v>
      </c>
    </row>
    <row r="14" spans="1:6" x14ac:dyDescent="0.3">
      <c r="A14" t="str">
        <f>_xlfn.XLOOKUP(ColombiaClientes[[#This Row],[Client]],VpsClientes[Client],VpsClientes[VP],"",0)</f>
        <v>Carlos Castillo Figueroa</v>
      </c>
      <c r="B14" t="s">
        <v>105</v>
      </c>
      <c r="C14" t="s">
        <v>92</v>
      </c>
      <c r="D14" t="s">
        <v>90</v>
      </c>
      <c r="E14" t="s">
        <v>91</v>
      </c>
      <c r="F14" s="1">
        <v>5301</v>
      </c>
    </row>
    <row r="15" spans="1:6" x14ac:dyDescent="0.3">
      <c r="A15" t="str">
        <f>_xlfn.XLOOKUP(ColombiaClientes[[#This Row],[Client]],VpsClientes[Client],VpsClientes[VP],"",0)</f>
        <v>Maria Forero Jara</v>
      </c>
      <c r="B15" t="s">
        <v>106</v>
      </c>
      <c r="C15" t="s">
        <v>92</v>
      </c>
      <c r="D15" t="s">
        <v>90</v>
      </c>
      <c r="E15" t="s">
        <v>91</v>
      </c>
      <c r="F15" s="1">
        <v>4952</v>
      </c>
    </row>
    <row r="16" spans="1:6" x14ac:dyDescent="0.3">
      <c r="A16" t="str">
        <f>_xlfn.XLOOKUP(ColombiaClientes[[#This Row],[Client]],VpsClientes[Client],VpsClientes[VP],"",0)</f>
        <v>Jhonatan Izquierdo Rico</v>
      </c>
      <c r="B16" t="s">
        <v>107</v>
      </c>
      <c r="C16" t="s">
        <v>92</v>
      </c>
      <c r="D16" t="s">
        <v>90</v>
      </c>
      <c r="E16" t="s">
        <v>91</v>
      </c>
      <c r="F16" s="1">
        <v>4445</v>
      </c>
    </row>
    <row r="17" spans="1:6" x14ac:dyDescent="0.3">
      <c r="A17" t="str">
        <f>_xlfn.XLOOKUP(ColombiaClientes[[#This Row],[Client]],VpsClientes[Client],VpsClientes[VP],"",0)</f>
        <v>Maria Forero Jara</v>
      </c>
      <c r="B17" t="s">
        <v>108</v>
      </c>
      <c r="C17" t="s">
        <v>92</v>
      </c>
      <c r="D17" t="s">
        <v>90</v>
      </c>
      <c r="E17" t="s">
        <v>91</v>
      </c>
      <c r="F17" s="1">
        <v>4282</v>
      </c>
    </row>
    <row r="18" spans="1:6" x14ac:dyDescent="0.3">
      <c r="A18" t="str">
        <f>_xlfn.XLOOKUP(ColombiaClientes[[#This Row],[Client]],VpsClientes[Client],VpsClientes[VP],"",0)</f>
        <v>Martha Guzman Arango</v>
      </c>
      <c r="B18" t="s">
        <v>109</v>
      </c>
      <c r="C18" t="s">
        <v>92</v>
      </c>
      <c r="D18" t="s">
        <v>90</v>
      </c>
      <c r="E18" t="s">
        <v>91</v>
      </c>
      <c r="F18" s="1">
        <v>3829</v>
      </c>
    </row>
    <row r="19" spans="1:6" x14ac:dyDescent="0.3">
      <c r="A19" t="str">
        <f>_xlfn.XLOOKUP(ColombiaClientes[[#This Row],[Client]],VpsClientes[Client],VpsClientes[VP],"",0)</f>
        <v>Moises Saavedra Garcia</v>
      </c>
      <c r="B19" t="s">
        <v>110</v>
      </c>
      <c r="C19" t="s">
        <v>92</v>
      </c>
      <c r="D19" t="s">
        <v>90</v>
      </c>
      <c r="E19" t="s">
        <v>91</v>
      </c>
      <c r="F19" s="1">
        <v>3661</v>
      </c>
    </row>
    <row r="20" spans="1:6" x14ac:dyDescent="0.3">
      <c r="A20" t="str">
        <f>_xlfn.XLOOKUP(ColombiaClientes[[#This Row],[Client]],VpsClientes[Client],VpsClientes[VP],"",0)</f>
        <v>Maria Forero Jara</v>
      </c>
      <c r="B20" t="s">
        <v>111</v>
      </c>
      <c r="C20" t="s">
        <v>92</v>
      </c>
      <c r="D20" t="s">
        <v>90</v>
      </c>
      <c r="E20" t="s">
        <v>91</v>
      </c>
      <c r="F20" s="1">
        <v>3600</v>
      </c>
    </row>
    <row r="21" spans="1:6" x14ac:dyDescent="0.3">
      <c r="A21" t="str">
        <f>_xlfn.XLOOKUP(ColombiaClientes[[#This Row],[Client]],VpsClientes[Client],VpsClientes[VP],"",0)</f>
        <v>Jhonatan Izquierdo Rico</v>
      </c>
      <c r="B21" t="s">
        <v>112</v>
      </c>
      <c r="C21" t="s">
        <v>92</v>
      </c>
      <c r="D21" t="s">
        <v>90</v>
      </c>
      <c r="E21" t="s">
        <v>91</v>
      </c>
      <c r="F21" s="1">
        <v>3129</v>
      </c>
    </row>
    <row r="22" spans="1:6" x14ac:dyDescent="0.3">
      <c r="A22" t="str">
        <f>_xlfn.XLOOKUP(ColombiaClientes[[#This Row],[Client]],VpsClientes[Client],VpsClientes[VP],"",0)</f>
        <v>Sandra Romero Zuluaga</v>
      </c>
      <c r="B22" t="s">
        <v>113</v>
      </c>
      <c r="C22" t="s">
        <v>92</v>
      </c>
      <c r="D22" t="s">
        <v>90</v>
      </c>
      <c r="E22" t="s">
        <v>91</v>
      </c>
      <c r="F22" s="1">
        <v>3038</v>
      </c>
    </row>
    <row r="23" spans="1:6" x14ac:dyDescent="0.3">
      <c r="A23" t="str">
        <f>_xlfn.XLOOKUP(ColombiaClientes[[#This Row],[Client]],VpsClientes[Client],VpsClientes[VP],"",0)</f>
        <v>Martha Guzman Arango</v>
      </c>
      <c r="B23" t="s">
        <v>114</v>
      </c>
      <c r="C23" t="s">
        <v>92</v>
      </c>
      <c r="D23" t="s">
        <v>90</v>
      </c>
      <c r="E23" t="s">
        <v>91</v>
      </c>
      <c r="F23" s="1">
        <v>3007</v>
      </c>
    </row>
    <row r="24" spans="1:6" x14ac:dyDescent="0.3">
      <c r="A24" t="str">
        <f>_xlfn.XLOOKUP(ColombiaClientes[[#This Row],[Client]],VpsClientes[Client],VpsClientes[VP],"",0)</f>
        <v>Moises Saavedra Garcia</v>
      </c>
      <c r="B24" t="s">
        <v>115</v>
      </c>
      <c r="C24" t="s">
        <v>92</v>
      </c>
      <c r="D24" t="s">
        <v>90</v>
      </c>
      <c r="E24" t="s">
        <v>91</v>
      </c>
      <c r="F24" s="1">
        <v>2882</v>
      </c>
    </row>
    <row r="25" spans="1:6" x14ac:dyDescent="0.3">
      <c r="A25" t="str">
        <f>_xlfn.XLOOKUP(ColombiaClientes[[#This Row],[Client]],VpsClientes[Client],VpsClientes[VP],"",0)</f>
        <v>Ernesto Rico Zuluaga</v>
      </c>
      <c r="B25" t="s">
        <v>116</v>
      </c>
      <c r="C25" t="s">
        <v>92</v>
      </c>
      <c r="D25" t="s">
        <v>90</v>
      </c>
      <c r="E25" t="s">
        <v>91</v>
      </c>
      <c r="F25" s="1">
        <v>2539</v>
      </c>
    </row>
    <row r="26" spans="1:6" x14ac:dyDescent="0.3">
      <c r="A26" t="str">
        <f>_xlfn.XLOOKUP(ColombiaClientes[[#This Row],[Client]],VpsClientes[Client],VpsClientes[VP],"",0)</f>
        <v>Jhonatan Izquierdo Rico</v>
      </c>
      <c r="B26" t="s">
        <v>117</v>
      </c>
      <c r="C26" t="s">
        <v>92</v>
      </c>
      <c r="D26" t="s">
        <v>90</v>
      </c>
      <c r="E26" t="s">
        <v>91</v>
      </c>
      <c r="F26" s="1">
        <v>2385</v>
      </c>
    </row>
    <row r="27" spans="1:6" x14ac:dyDescent="0.3">
      <c r="A27" t="str">
        <f>_xlfn.XLOOKUP(ColombiaClientes[[#This Row],[Client]],VpsClientes[Client],VpsClientes[VP],"",0)</f>
        <v>Martha Guzman Arango</v>
      </c>
      <c r="B27" t="s">
        <v>118</v>
      </c>
      <c r="C27" t="s">
        <v>92</v>
      </c>
      <c r="D27" t="s">
        <v>90</v>
      </c>
      <c r="E27" t="s">
        <v>91</v>
      </c>
      <c r="F27" s="1">
        <v>2383</v>
      </c>
    </row>
    <row r="28" spans="1:6" x14ac:dyDescent="0.3">
      <c r="A28" t="str">
        <f>_xlfn.XLOOKUP(ColombiaClientes[[#This Row],[Client]],VpsClientes[Client],VpsClientes[VP],"",0)</f>
        <v>Carlos Beltran Hernandez</v>
      </c>
      <c r="B28" t="s">
        <v>119</v>
      </c>
      <c r="C28" t="s">
        <v>92</v>
      </c>
      <c r="D28" t="s">
        <v>90</v>
      </c>
      <c r="E28" t="s">
        <v>91</v>
      </c>
      <c r="F28" s="1">
        <v>2321</v>
      </c>
    </row>
    <row r="29" spans="1:6" x14ac:dyDescent="0.3">
      <c r="A29" t="str">
        <f>_xlfn.XLOOKUP(ColombiaClientes[[#This Row],[Client]],VpsClientes[Client],VpsClientes[VP],"",0)</f>
        <v>Moises Saavedra Garcia</v>
      </c>
      <c r="B29" t="s">
        <v>120</v>
      </c>
      <c r="C29" t="s">
        <v>92</v>
      </c>
      <c r="D29" t="s">
        <v>90</v>
      </c>
      <c r="E29" t="s">
        <v>91</v>
      </c>
      <c r="F29" s="1">
        <v>2271</v>
      </c>
    </row>
    <row r="30" spans="1:6" x14ac:dyDescent="0.3">
      <c r="A30" t="str">
        <f>_xlfn.XLOOKUP(ColombiaClientes[[#This Row],[Client]],VpsClientes[Client],VpsClientes[VP],"",0)</f>
        <v>Ernesto Rico Zuluaga</v>
      </c>
      <c r="B30" t="s">
        <v>121</v>
      </c>
      <c r="C30" t="s">
        <v>92</v>
      </c>
      <c r="D30" t="s">
        <v>90</v>
      </c>
      <c r="E30" t="s">
        <v>91</v>
      </c>
      <c r="F30" s="1">
        <v>2260</v>
      </c>
    </row>
    <row r="31" spans="1:6" x14ac:dyDescent="0.3">
      <c r="A31" t="str">
        <f>_xlfn.XLOOKUP(ColombiaClientes[[#This Row],[Client]],VpsClientes[Client],VpsClientes[VP],"",0)</f>
        <v>Martha Guzman Arango</v>
      </c>
      <c r="B31" t="s">
        <v>122</v>
      </c>
      <c r="C31" t="s">
        <v>92</v>
      </c>
      <c r="D31" t="s">
        <v>90</v>
      </c>
      <c r="E31" t="s">
        <v>91</v>
      </c>
      <c r="F31" s="1">
        <v>2138</v>
      </c>
    </row>
    <row r="32" spans="1:6" x14ac:dyDescent="0.3">
      <c r="A32" t="str">
        <f>_xlfn.XLOOKUP(ColombiaClientes[[#This Row],[Client]],VpsClientes[Client],VpsClientes[VP],"",0)</f>
        <v>Maria Forero Jara</v>
      </c>
      <c r="B32" t="s">
        <v>123</v>
      </c>
      <c r="C32" t="s">
        <v>92</v>
      </c>
      <c r="D32" t="s">
        <v>90</v>
      </c>
      <c r="E32" t="s">
        <v>91</v>
      </c>
      <c r="F32" s="1">
        <v>2132</v>
      </c>
    </row>
    <row r="33" spans="1:6" x14ac:dyDescent="0.3">
      <c r="A33" t="str">
        <f>_xlfn.XLOOKUP(ColombiaClientes[[#This Row],[Client]],VpsClientes[Client],VpsClientes[VP],"",0)</f>
        <v>Martha Guzman Arango</v>
      </c>
      <c r="B33" t="s">
        <v>124</v>
      </c>
      <c r="C33" t="s">
        <v>92</v>
      </c>
      <c r="D33" t="s">
        <v>90</v>
      </c>
      <c r="E33" t="s">
        <v>91</v>
      </c>
      <c r="F33" s="1">
        <v>2082</v>
      </c>
    </row>
    <row r="34" spans="1:6" x14ac:dyDescent="0.3">
      <c r="A34" t="str">
        <f>_xlfn.XLOOKUP(ColombiaClientes[[#This Row],[Client]],VpsClientes[Client],VpsClientes[VP],"",0)</f>
        <v>Maria Forero Jara</v>
      </c>
      <c r="B34" t="s">
        <v>125</v>
      </c>
      <c r="C34" t="s">
        <v>92</v>
      </c>
      <c r="D34" t="s">
        <v>90</v>
      </c>
      <c r="E34" t="s">
        <v>91</v>
      </c>
      <c r="F34" s="1">
        <v>1801</v>
      </c>
    </row>
    <row r="35" spans="1:6" x14ac:dyDescent="0.3">
      <c r="A35" t="str">
        <f>_xlfn.XLOOKUP(ColombiaClientes[[#This Row],[Client]],VpsClientes[Client],VpsClientes[VP],"",0)</f>
        <v>Jhonatan Izquierdo Rico</v>
      </c>
      <c r="B35" t="s">
        <v>126</v>
      </c>
      <c r="C35" t="s">
        <v>92</v>
      </c>
      <c r="D35" t="s">
        <v>90</v>
      </c>
      <c r="E35" t="s">
        <v>91</v>
      </c>
      <c r="F35" s="1">
        <v>1732</v>
      </c>
    </row>
    <row r="36" spans="1:6" x14ac:dyDescent="0.3">
      <c r="A36" t="str">
        <f>_xlfn.XLOOKUP(ColombiaClientes[[#This Row],[Client]],VpsClientes[Client],VpsClientes[VP],"",0)</f>
        <v>Moises Saavedra Garcia</v>
      </c>
      <c r="B36" t="s">
        <v>201</v>
      </c>
      <c r="C36" t="s">
        <v>194</v>
      </c>
      <c r="D36" t="s">
        <v>90</v>
      </c>
      <c r="E36" t="s">
        <v>91</v>
      </c>
      <c r="F36" s="1">
        <v>4</v>
      </c>
    </row>
    <row r="37" spans="1:6" x14ac:dyDescent="0.3">
      <c r="A37" t="str">
        <f>_xlfn.XLOOKUP(ColombiaClientes[[#This Row],[Client]],VpsClientes[Client],VpsClientes[VP],"",0)</f>
        <v>Jhonatan Izquierdo Rico</v>
      </c>
      <c r="B37" t="s">
        <v>128</v>
      </c>
      <c r="C37" t="s">
        <v>92</v>
      </c>
      <c r="D37" t="s">
        <v>90</v>
      </c>
      <c r="E37" t="s">
        <v>91</v>
      </c>
      <c r="F37" s="1">
        <v>1479</v>
      </c>
    </row>
    <row r="38" spans="1:6" x14ac:dyDescent="0.3">
      <c r="A38" t="str">
        <f>_xlfn.XLOOKUP(ColombiaClientes[[#This Row],[Client]],VpsClientes[Client],VpsClientes[VP],"",0)</f>
        <v>Jhonatan Izquierdo Rico</v>
      </c>
      <c r="B38" t="s">
        <v>129</v>
      </c>
      <c r="C38" t="s">
        <v>92</v>
      </c>
      <c r="D38" t="s">
        <v>90</v>
      </c>
      <c r="E38" t="s">
        <v>91</v>
      </c>
      <c r="F38" s="1">
        <v>1363</v>
      </c>
    </row>
    <row r="39" spans="1:6" x14ac:dyDescent="0.3">
      <c r="A39" t="str">
        <f>_xlfn.XLOOKUP(ColombiaClientes[[#This Row],[Client]],VpsClientes[Client],VpsClientes[VP],"",0)</f>
        <v>Hector Muraira Garza</v>
      </c>
      <c r="B39" t="s">
        <v>130</v>
      </c>
      <c r="C39" t="s">
        <v>92</v>
      </c>
      <c r="D39" t="s">
        <v>90</v>
      </c>
      <c r="E39" t="s">
        <v>91</v>
      </c>
      <c r="F39" s="1">
        <v>1332</v>
      </c>
    </row>
    <row r="40" spans="1:6" x14ac:dyDescent="0.3">
      <c r="A40" t="str">
        <f>_xlfn.XLOOKUP(ColombiaClientes[[#This Row],[Client]],VpsClientes[Client],VpsClientes[VP],"",0)</f>
        <v>Martha Guzman Arango</v>
      </c>
      <c r="B40" t="s">
        <v>131</v>
      </c>
      <c r="C40" t="s">
        <v>92</v>
      </c>
      <c r="D40" t="s">
        <v>90</v>
      </c>
      <c r="E40" t="s">
        <v>91</v>
      </c>
      <c r="F40" s="1">
        <v>1200</v>
      </c>
    </row>
    <row r="41" spans="1:6" x14ac:dyDescent="0.3">
      <c r="A41" t="str">
        <f>_xlfn.XLOOKUP(ColombiaClientes[[#This Row],[Client]],VpsClientes[Client],VpsClientes[VP],"",0)</f>
        <v>Hector Muraira Garza</v>
      </c>
      <c r="B41" t="s">
        <v>132</v>
      </c>
      <c r="C41" t="s">
        <v>92</v>
      </c>
      <c r="D41" t="s">
        <v>90</v>
      </c>
      <c r="E41" t="s">
        <v>91</v>
      </c>
      <c r="F41" s="1">
        <v>1116</v>
      </c>
    </row>
    <row r="42" spans="1:6" x14ac:dyDescent="0.3">
      <c r="A42" t="str">
        <f>_xlfn.XLOOKUP(ColombiaClientes[[#This Row],[Client]],VpsClientes[Client],VpsClientes[VP],"",0)</f>
        <v>Moises Saavedra Garcia</v>
      </c>
      <c r="B42" t="s">
        <v>201</v>
      </c>
      <c r="C42" t="s">
        <v>194</v>
      </c>
      <c r="D42" t="s">
        <v>90</v>
      </c>
      <c r="E42" t="s">
        <v>206</v>
      </c>
      <c r="F42" s="1">
        <v>2</v>
      </c>
    </row>
    <row r="43" spans="1:6" x14ac:dyDescent="0.3">
      <c r="A43" t="str">
        <f>_xlfn.XLOOKUP(ColombiaClientes[[#This Row],[Client]],VpsClientes[Client],VpsClientes[VP],"",0)</f>
        <v>Juan Granados Castillo</v>
      </c>
      <c r="B43" t="s">
        <v>134</v>
      </c>
      <c r="C43" t="s">
        <v>92</v>
      </c>
      <c r="D43" t="s">
        <v>90</v>
      </c>
      <c r="E43" t="s">
        <v>91</v>
      </c>
      <c r="F43" s="1">
        <v>988</v>
      </c>
    </row>
    <row r="44" spans="1:6" x14ac:dyDescent="0.3">
      <c r="A44" t="str">
        <f>_xlfn.XLOOKUP(ColombiaClientes[[#This Row],[Client]],VpsClientes[Client],VpsClientes[VP],"",0)</f>
        <v>Martha Guzman Arango</v>
      </c>
      <c r="B44" t="s">
        <v>135</v>
      </c>
      <c r="C44" t="s">
        <v>92</v>
      </c>
      <c r="D44" t="s">
        <v>90</v>
      </c>
      <c r="E44" t="s">
        <v>91</v>
      </c>
      <c r="F44" s="1">
        <v>894</v>
      </c>
    </row>
    <row r="45" spans="1:6" x14ac:dyDescent="0.3">
      <c r="A45" t="str">
        <f>_xlfn.XLOOKUP(ColombiaClientes[[#This Row],[Client]],VpsClientes[Client],VpsClientes[VP],"",0)</f>
        <v>Juan Granados Castillo</v>
      </c>
      <c r="B45" t="s">
        <v>136</v>
      </c>
      <c r="C45" t="s">
        <v>92</v>
      </c>
      <c r="D45" t="s">
        <v>90</v>
      </c>
      <c r="E45" t="s">
        <v>91</v>
      </c>
      <c r="F45" s="1">
        <v>869</v>
      </c>
    </row>
    <row r="46" spans="1:6" x14ac:dyDescent="0.3">
      <c r="A46" t="str">
        <f>_xlfn.XLOOKUP(ColombiaClientes[[#This Row],[Client]],VpsClientes[Client],VpsClientes[VP],"",0)</f>
        <v>Hector Muraira Garza</v>
      </c>
      <c r="B46" t="s">
        <v>137</v>
      </c>
      <c r="C46" t="s">
        <v>92</v>
      </c>
      <c r="D46" t="s">
        <v>90</v>
      </c>
      <c r="E46" t="s">
        <v>91</v>
      </c>
      <c r="F46" s="1">
        <v>866</v>
      </c>
    </row>
    <row r="47" spans="1:6" x14ac:dyDescent="0.3">
      <c r="A47" t="str">
        <f>_xlfn.XLOOKUP(ColombiaClientes[[#This Row],[Client]],VpsClientes[Client],VpsClientes[VP],"",0)</f>
        <v>Jhonatan Izquierdo Rico</v>
      </c>
      <c r="B47" t="s">
        <v>138</v>
      </c>
      <c r="C47" t="s">
        <v>92</v>
      </c>
      <c r="D47" t="s">
        <v>90</v>
      </c>
      <c r="E47" t="s">
        <v>91</v>
      </c>
      <c r="F47" s="1">
        <v>865</v>
      </c>
    </row>
    <row r="48" spans="1:6" x14ac:dyDescent="0.3">
      <c r="A48" t="str">
        <f>_xlfn.XLOOKUP(ColombiaClientes[[#This Row],[Client]],VpsClientes[Client],VpsClientes[VP],"",0)</f>
        <v>Maria Forero Jara</v>
      </c>
      <c r="B48" t="s">
        <v>139</v>
      </c>
      <c r="C48" t="s">
        <v>92</v>
      </c>
      <c r="D48" t="s">
        <v>90</v>
      </c>
      <c r="E48" t="s">
        <v>91</v>
      </c>
      <c r="F48" s="1">
        <v>849</v>
      </c>
    </row>
    <row r="49" spans="1:6" x14ac:dyDescent="0.3">
      <c r="A49" t="str">
        <f>_xlfn.XLOOKUP(ColombiaClientes[[#This Row],[Client]],VpsClientes[Client],VpsClientes[VP],"",0)</f>
        <v>Hector Muraira Garza</v>
      </c>
      <c r="B49" t="s">
        <v>140</v>
      </c>
      <c r="C49" t="s">
        <v>92</v>
      </c>
      <c r="D49" t="s">
        <v>90</v>
      </c>
      <c r="E49" t="s">
        <v>91</v>
      </c>
      <c r="F49" s="1">
        <v>779</v>
      </c>
    </row>
    <row r="50" spans="1:6" x14ac:dyDescent="0.3">
      <c r="A50" t="str">
        <f>_xlfn.XLOOKUP(ColombiaClientes[[#This Row],[Client]],VpsClientes[Client],VpsClientes[VP],"",0)</f>
        <v>Moises Saavedra Garcia</v>
      </c>
      <c r="B50" t="s">
        <v>201</v>
      </c>
      <c r="C50" t="s">
        <v>194</v>
      </c>
      <c r="D50" t="s">
        <v>219</v>
      </c>
      <c r="E50" t="s">
        <v>91</v>
      </c>
      <c r="F50" s="1">
        <v>21</v>
      </c>
    </row>
    <row r="51" spans="1:6" x14ac:dyDescent="0.3">
      <c r="A51" t="str">
        <f>_xlfn.XLOOKUP(ColombiaClientes[[#This Row],[Client]],VpsClientes[Client],VpsClientes[VP],"",0)</f>
        <v>Juan Granados Castillo</v>
      </c>
      <c r="B51" t="s">
        <v>142</v>
      </c>
      <c r="C51" t="s">
        <v>92</v>
      </c>
      <c r="D51" t="s">
        <v>90</v>
      </c>
      <c r="E51" t="s">
        <v>91</v>
      </c>
      <c r="F51" s="1">
        <v>633</v>
      </c>
    </row>
    <row r="52" spans="1:6" x14ac:dyDescent="0.3">
      <c r="A52" t="str">
        <f>_xlfn.XLOOKUP(ColombiaClientes[[#This Row],[Client]],VpsClientes[Client],VpsClientes[VP],"",0)</f>
        <v>Martha Guzman Arango</v>
      </c>
      <c r="B52" t="s">
        <v>143</v>
      </c>
      <c r="C52" t="s">
        <v>92</v>
      </c>
      <c r="D52" t="s">
        <v>90</v>
      </c>
      <c r="E52" t="s">
        <v>91</v>
      </c>
      <c r="F52" s="1">
        <v>602</v>
      </c>
    </row>
    <row r="53" spans="1:6" x14ac:dyDescent="0.3">
      <c r="A53" t="str">
        <f>_xlfn.XLOOKUP(ColombiaClientes[[#This Row],[Client]],VpsClientes[Client],VpsClientes[VP],"",0)</f>
        <v>Maria Forero Jara</v>
      </c>
      <c r="B53" t="s">
        <v>144</v>
      </c>
      <c r="C53" t="s">
        <v>92</v>
      </c>
      <c r="D53" t="s">
        <v>90</v>
      </c>
      <c r="E53" t="s">
        <v>91</v>
      </c>
      <c r="F53" s="1">
        <v>583</v>
      </c>
    </row>
    <row r="54" spans="1:6" x14ac:dyDescent="0.3">
      <c r="A54" t="str">
        <f>_xlfn.XLOOKUP(ColombiaClientes[[#This Row],[Client]],VpsClientes[Client],VpsClientes[VP],"",0)</f>
        <v>Martha Guzman Arango</v>
      </c>
      <c r="B54" t="s">
        <v>145</v>
      </c>
      <c r="C54" t="s">
        <v>92</v>
      </c>
      <c r="D54" t="s">
        <v>90</v>
      </c>
      <c r="E54" t="s">
        <v>91</v>
      </c>
      <c r="F54" s="1">
        <v>542</v>
      </c>
    </row>
    <row r="55" spans="1:6" x14ac:dyDescent="0.3">
      <c r="A55" t="str">
        <f>_xlfn.XLOOKUP(ColombiaClientes[[#This Row],[Client]],VpsClientes[Client],VpsClientes[VP],"",0)</f>
        <v>Martha Guzman Arango</v>
      </c>
      <c r="B55" t="s">
        <v>146</v>
      </c>
      <c r="C55" t="s">
        <v>92</v>
      </c>
      <c r="D55" t="s">
        <v>90</v>
      </c>
      <c r="E55" t="s">
        <v>91</v>
      </c>
      <c r="F55" s="1">
        <v>530</v>
      </c>
    </row>
    <row r="56" spans="1:6" x14ac:dyDescent="0.3">
      <c r="A56" t="str">
        <f>_xlfn.XLOOKUP(ColombiaClientes[[#This Row],[Client]],VpsClientes[Client],VpsClientes[VP],"",0)</f>
        <v>Moises Saavedra Garcia</v>
      </c>
      <c r="B56" t="s">
        <v>201</v>
      </c>
      <c r="C56" t="s">
        <v>194</v>
      </c>
      <c r="D56" t="s">
        <v>219</v>
      </c>
      <c r="E56" t="s">
        <v>206</v>
      </c>
      <c r="F56" s="1">
        <v>0</v>
      </c>
    </row>
    <row r="57" spans="1:6" x14ac:dyDescent="0.3">
      <c r="A57" t="str">
        <f>_xlfn.XLOOKUP(ColombiaClientes[[#This Row],[Client]],VpsClientes[Client],VpsClientes[VP],"",0)</f>
        <v>Martha Guzman Arango</v>
      </c>
      <c r="B57" t="s">
        <v>148</v>
      </c>
      <c r="C57" t="s">
        <v>92</v>
      </c>
      <c r="D57" t="s">
        <v>90</v>
      </c>
      <c r="E57" t="s">
        <v>91</v>
      </c>
      <c r="F57" s="1">
        <v>434</v>
      </c>
    </row>
    <row r="58" spans="1:6" x14ac:dyDescent="0.3">
      <c r="A58" t="str">
        <f>_xlfn.XLOOKUP(ColombiaClientes[[#This Row],[Client]],VpsClientes[Client],VpsClientes[VP],"",0)</f>
        <v>Juan Granados Castillo</v>
      </c>
      <c r="B58" t="s">
        <v>149</v>
      </c>
      <c r="C58" t="s">
        <v>92</v>
      </c>
      <c r="D58" t="s">
        <v>90</v>
      </c>
      <c r="E58" t="s">
        <v>91</v>
      </c>
      <c r="F58" s="1">
        <v>430</v>
      </c>
    </row>
    <row r="59" spans="1:6" x14ac:dyDescent="0.3">
      <c r="A59" t="str">
        <f>_xlfn.XLOOKUP(ColombiaClientes[[#This Row],[Client]],VpsClientes[Client],VpsClientes[VP],"",0)</f>
        <v>Moises Saavedra Garcia</v>
      </c>
      <c r="B59" t="s">
        <v>150</v>
      </c>
      <c r="C59" t="s">
        <v>92</v>
      </c>
      <c r="D59" t="s">
        <v>90</v>
      </c>
      <c r="E59" t="s">
        <v>91</v>
      </c>
      <c r="F59" s="1">
        <v>429</v>
      </c>
    </row>
    <row r="60" spans="1:6" x14ac:dyDescent="0.3">
      <c r="A60" t="str">
        <f>_xlfn.XLOOKUP(ColombiaClientes[[#This Row],[Client]],VpsClientes[Client],VpsClientes[VP],"",0)</f>
        <v>Carlos Beltran Hernandez</v>
      </c>
      <c r="B60" t="s">
        <v>151</v>
      </c>
      <c r="C60" t="s">
        <v>92</v>
      </c>
      <c r="D60" t="s">
        <v>90</v>
      </c>
      <c r="E60" t="s">
        <v>91</v>
      </c>
      <c r="F60" s="1">
        <v>410</v>
      </c>
    </row>
    <row r="61" spans="1:6" x14ac:dyDescent="0.3">
      <c r="A61" t="str">
        <f>_xlfn.XLOOKUP(ColombiaClientes[[#This Row],[Client]],VpsClientes[Client],VpsClientes[VP],"",0)</f>
        <v>Martha Guzman Arango</v>
      </c>
      <c r="B61" t="s">
        <v>152</v>
      </c>
      <c r="C61" t="s">
        <v>92</v>
      </c>
      <c r="D61" t="s">
        <v>90</v>
      </c>
      <c r="E61" t="s">
        <v>91</v>
      </c>
      <c r="F61" s="1">
        <v>378</v>
      </c>
    </row>
    <row r="62" spans="1:6" x14ac:dyDescent="0.3">
      <c r="A62" t="str">
        <f>_xlfn.XLOOKUP(ColombiaClientes[[#This Row],[Client]],VpsClientes[Client],VpsClientes[VP],"",0)</f>
        <v>Martha Guzman Arango</v>
      </c>
      <c r="B62" t="s">
        <v>153</v>
      </c>
      <c r="C62" t="s">
        <v>92</v>
      </c>
      <c r="D62" t="s">
        <v>90</v>
      </c>
      <c r="E62" t="s">
        <v>91</v>
      </c>
      <c r="F62" s="1">
        <v>377</v>
      </c>
    </row>
    <row r="63" spans="1:6" x14ac:dyDescent="0.3">
      <c r="A63" t="str">
        <f>_xlfn.XLOOKUP(ColombiaClientes[[#This Row],[Client]],VpsClientes[Client],VpsClientes[VP],"",0)</f>
        <v>Hector Muraira Garza</v>
      </c>
      <c r="B63" t="s">
        <v>154</v>
      </c>
      <c r="C63" t="s">
        <v>92</v>
      </c>
      <c r="D63" t="s">
        <v>90</v>
      </c>
      <c r="E63" t="s">
        <v>91</v>
      </c>
      <c r="F63" s="1">
        <v>366</v>
      </c>
    </row>
    <row r="64" spans="1:6" x14ac:dyDescent="0.3">
      <c r="A64" t="str">
        <f>_xlfn.XLOOKUP(ColombiaClientes[[#This Row],[Client]],VpsClientes[Client],VpsClientes[VP],"",0)</f>
        <v>Martha Guzman Arango</v>
      </c>
      <c r="B64" t="s">
        <v>155</v>
      </c>
      <c r="C64" t="s">
        <v>92</v>
      </c>
      <c r="D64" t="s">
        <v>90</v>
      </c>
      <c r="E64" t="s">
        <v>91</v>
      </c>
      <c r="F64" s="1">
        <v>354</v>
      </c>
    </row>
    <row r="65" spans="1:6" x14ac:dyDescent="0.3">
      <c r="A65" t="str">
        <f>_xlfn.XLOOKUP(ColombiaClientes[[#This Row],[Client]],VpsClientes[Client],VpsClientes[VP],"",0)</f>
        <v>Martha Guzman Arango</v>
      </c>
      <c r="B65" t="s">
        <v>156</v>
      </c>
      <c r="C65" t="s">
        <v>92</v>
      </c>
      <c r="D65" t="s">
        <v>90</v>
      </c>
      <c r="E65" t="s">
        <v>91</v>
      </c>
      <c r="F65" s="1">
        <v>348</v>
      </c>
    </row>
    <row r="66" spans="1:6" x14ac:dyDescent="0.3">
      <c r="A66" t="str">
        <f>_xlfn.XLOOKUP(ColombiaClientes[[#This Row],[Client]],VpsClientes[Client],VpsClientes[VP],"",0)</f>
        <v>Jhonatan Izquierdo Rico</v>
      </c>
      <c r="B66" t="s">
        <v>157</v>
      </c>
      <c r="C66" t="s">
        <v>92</v>
      </c>
      <c r="D66" t="s">
        <v>90</v>
      </c>
      <c r="E66" t="s">
        <v>91</v>
      </c>
      <c r="F66" s="1">
        <v>339</v>
      </c>
    </row>
    <row r="67" spans="1:6" x14ac:dyDescent="0.3">
      <c r="A67" t="str">
        <f>_xlfn.XLOOKUP(ColombiaClientes[[#This Row],[Client]],VpsClientes[Client],VpsClientes[VP],"",0)</f>
        <v>Carlos Beltran Hernandez</v>
      </c>
      <c r="B67" t="s">
        <v>158</v>
      </c>
      <c r="C67" t="s">
        <v>92</v>
      </c>
      <c r="D67" t="s">
        <v>90</v>
      </c>
      <c r="E67" t="s">
        <v>91</v>
      </c>
      <c r="F67" s="1">
        <v>327</v>
      </c>
    </row>
    <row r="68" spans="1:6" x14ac:dyDescent="0.3">
      <c r="A68" t="str">
        <f>_xlfn.XLOOKUP(ColombiaClientes[[#This Row],[Client]],VpsClientes[Client],VpsClientes[VP],"",0)</f>
        <v>Jhonatan Izquierdo Rico</v>
      </c>
      <c r="B68" t="s">
        <v>159</v>
      </c>
      <c r="C68" t="s">
        <v>92</v>
      </c>
      <c r="D68" t="s">
        <v>90</v>
      </c>
      <c r="E68" t="s">
        <v>91</v>
      </c>
      <c r="F68" s="1">
        <v>319</v>
      </c>
    </row>
    <row r="69" spans="1:6" x14ac:dyDescent="0.3">
      <c r="A69" t="str">
        <f>_xlfn.XLOOKUP(ColombiaClientes[[#This Row],[Client]],VpsClientes[Client],VpsClientes[VP],"",0)</f>
        <v>Sergio Gomez Perez</v>
      </c>
      <c r="B69" t="s">
        <v>160</v>
      </c>
      <c r="C69" t="s">
        <v>92</v>
      </c>
      <c r="D69" t="s">
        <v>90</v>
      </c>
      <c r="E69" t="s">
        <v>91</v>
      </c>
      <c r="F69" s="1">
        <v>315</v>
      </c>
    </row>
    <row r="70" spans="1:6" x14ac:dyDescent="0.3">
      <c r="A70" t="str">
        <f>_xlfn.XLOOKUP(ColombiaClientes[[#This Row],[Client]],VpsClientes[Client],VpsClientes[VP],"",0)</f>
        <v>Maria Forero Jara</v>
      </c>
      <c r="B70" t="s">
        <v>161</v>
      </c>
      <c r="C70" t="s">
        <v>92</v>
      </c>
      <c r="D70" t="s">
        <v>90</v>
      </c>
      <c r="E70" t="s">
        <v>91</v>
      </c>
      <c r="F70" s="1">
        <v>294</v>
      </c>
    </row>
    <row r="71" spans="1:6" x14ac:dyDescent="0.3">
      <c r="A71" t="str">
        <f>_xlfn.XLOOKUP(ColombiaClientes[[#This Row],[Client]],VpsClientes[Client],VpsClientes[VP],"",0)</f>
        <v>Martha Guzman Arango</v>
      </c>
      <c r="B71" t="s">
        <v>162</v>
      </c>
      <c r="C71" t="s">
        <v>92</v>
      </c>
      <c r="D71" t="s">
        <v>90</v>
      </c>
      <c r="E71" t="s">
        <v>91</v>
      </c>
      <c r="F71" s="1">
        <v>291</v>
      </c>
    </row>
    <row r="72" spans="1:6" x14ac:dyDescent="0.3">
      <c r="A72" t="str">
        <f>_xlfn.XLOOKUP(ColombiaClientes[[#This Row],[Client]],VpsClientes[Client],VpsClientes[VP],"",0)</f>
        <v>Maria Forero Jara</v>
      </c>
      <c r="B72" t="s">
        <v>163</v>
      </c>
      <c r="C72" t="s">
        <v>92</v>
      </c>
      <c r="D72" t="s">
        <v>90</v>
      </c>
      <c r="E72" t="s">
        <v>91</v>
      </c>
      <c r="F72" s="1">
        <v>273</v>
      </c>
    </row>
    <row r="73" spans="1:6" x14ac:dyDescent="0.3">
      <c r="A73" t="str">
        <f>_xlfn.XLOOKUP(ColombiaClientes[[#This Row],[Client]],VpsClientes[Client],VpsClientes[VP],"",0)</f>
        <v>Hector Muraira Garza</v>
      </c>
      <c r="B73" t="s">
        <v>164</v>
      </c>
      <c r="C73" t="s">
        <v>92</v>
      </c>
      <c r="D73" t="s">
        <v>90</v>
      </c>
      <c r="E73" t="s">
        <v>91</v>
      </c>
      <c r="F73" s="1">
        <v>233</v>
      </c>
    </row>
    <row r="74" spans="1:6" x14ac:dyDescent="0.3">
      <c r="A74" t="str">
        <f>_xlfn.XLOOKUP(ColombiaClientes[[#This Row],[Client]],VpsClientes[Client],VpsClientes[VP],"",0)</f>
        <v>Martha Guzman Arango</v>
      </c>
      <c r="B74" t="s">
        <v>165</v>
      </c>
      <c r="C74" t="s">
        <v>92</v>
      </c>
      <c r="D74" t="s">
        <v>90</v>
      </c>
      <c r="E74" t="s">
        <v>91</v>
      </c>
      <c r="F74" s="1">
        <v>231</v>
      </c>
    </row>
    <row r="75" spans="1:6" x14ac:dyDescent="0.3">
      <c r="A75" t="str">
        <f>_xlfn.XLOOKUP(ColombiaClientes[[#This Row],[Client]],VpsClientes[Client],VpsClientes[VP],"",0)</f>
        <v>Martha Guzman Arango</v>
      </c>
      <c r="B75" t="s">
        <v>166</v>
      </c>
      <c r="C75" t="s">
        <v>92</v>
      </c>
      <c r="D75" t="s">
        <v>90</v>
      </c>
      <c r="E75" t="s">
        <v>91</v>
      </c>
      <c r="F75" s="1">
        <v>223</v>
      </c>
    </row>
    <row r="76" spans="1:6" x14ac:dyDescent="0.3">
      <c r="A76" t="str">
        <f>_xlfn.XLOOKUP(ColombiaClientes[[#This Row],[Client]],VpsClientes[Client],VpsClientes[VP],"",0)</f>
        <v>Hector Muraira Garza</v>
      </c>
      <c r="B76" t="s">
        <v>167</v>
      </c>
      <c r="C76" t="s">
        <v>92</v>
      </c>
      <c r="D76" t="s">
        <v>90</v>
      </c>
      <c r="E76" t="s">
        <v>91</v>
      </c>
      <c r="F76" s="1">
        <v>211</v>
      </c>
    </row>
    <row r="77" spans="1:6" x14ac:dyDescent="0.3">
      <c r="A77" t="str">
        <f>_xlfn.XLOOKUP(ColombiaClientes[[#This Row],[Client]],VpsClientes[Client],VpsClientes[VP],"",0)</f>
        <v>Martha Guzman Arango</v>
      </c>
      <c r="B77" t="s">
        <v>168</v>
      </c>
      <c r="C77" t="s">
        <v>92</v>
      </c>
      <c r="D77" t="s">
        <v>90</v>
      </c>
      <c r="E77" t="s">
        <v>91</v>
      </c>
      <c r="F77" s="1">
        <v>198</v>
      </c>
    </row>
    <row r="78" spans="1:6" x14ac:dyDescent="0.3">
      <c r="A78" t="str">
        <f>_xlfn.XLOOKUP(ColombiaClientes[[#This Row],[Client]],VpsClientes[Client],VpsClientes[VP],"",0)</f>
        <v>Martha Guzman Arango</v>
      </c>
      <c r="B78" t="s">
        <v>169</v>
      </c>
      <c r="C78" t="s">
        <v>92</v>
      </c>
      <c r="D78" t="s">
        <v>90</v>
      </c>
      <c r="E78" t="s">
        <v>91</v>
      </c>
      <c r="F78" s="1">
        <v>188</v>
      </c>
    </row>
    <row r="79" spans="1:6" x14ac:dyDescent="0.3">
      <c r="A79" t="str">
        <f>_xlfn.XLOOKUP(ColombiaClientes[[#This Row],[Client]],VpsClientes[Client],VpsClientes[VP],"",0)</f>
        <v>Martha Guzman Arango</v>
      </c>
      <c r="B79" t="s">
        <v>170</v>
      </c>
      <c r="C79" t="s">
        <v>92</v>
      </c>
      <c r="D79" t="s">
        <v>90</v>
      </c>
      <c r="E79" t="s">
        <v>91</v>
      </c>
      <c r="F79" s="1">
        <v>175</v>
      </c>
    </row>
    <row r="80" spans="1:6" x14ac:dyDescent="0.3">
      <c r="A80" t="str">
        <f>_xlfn.XLOOKUP(ColombiaClientes[[#This Row],[Client]],VpsClientes[Client],VpsClientes[VP],"",0)</f>
        <v>Martha Guzman Arango</v>
      </c>
      <c r="B80" t="s">
        <v>171</v>
      </c>
      <c r="C80" t="s">
        <v>92</v>
      </c>
      <c r="D80" t="s">
        <v>90</v>
      </c>
      <c r="E80" t="s">
        <v>91</v>
      </c>
      <c r="F80" s="1">
        <v>173</v>
      </c>
    </row>
    <row r="81" spans="1:6" x14ac:dyDescent="0.3">
      <c r="A81" t="str">
        <f>_xlfn.XLOOKUP(ColombiaClientes[[#This Row],[Client]],VpsClientes[Client],VpsClientes[VP],"",0)</f>
        <v>Moises Saavedra Garcia</v>
      </c>
      <c r="B81" t="s">
        <v>172</v>
      </c>
      <c r="C81" t="s">
        <v>92</v>
      </c>
      <c r="D81" t="s">
        <v>90</v>
      </c>
      <c r="E81" t="s">
        <v>91</v>
      </c>
      <c r="F81" s="1">
        <v>168</v>
      </c>
    </row>
    <row r="82" spans="1:6" x14ac:dyDescent="0.3">
      <c r="A82" t="str">
        <f>_xlfn.XLOOKUP(ColombiaClientes[[#This Row],[Client]],VpsClientes[Client],VpsClientes[VP],"",0)</f>
        <v>Carlos Beltran Hernandez</v>
      </c>
      <c r="B82" t="s">
        <v>173</v>
      </c>
      <c r="C82" t="s">
        <v>92</v>
      </c>
      <c r="D82" t="s">
        <v>90</v>
      </c>
      <c r="E82" t="s">
        <v>91</v>
      </c>
      <c r="F82" s="1">
        <v>164</v>
      </c>
    </row>
    <row r="83" spans="1:6" x14ac:dyDescent="0.3">
      <c r="A83" t="str">
        <f>_xlfn.XLOOKUP(ColombiaClientes[[#This Row],[Client]],VpsClientes[Client],VpsClientes[VP],"",0)</f>
        <v>Martha Guzman Arango</v>
      </c>
      <c r="B83" t="s">
        <v>174</v>
      </c>
      <c r="C83" t="s">
        <v>92</v>
      </c>
      <c r="D83" t="s">
        <v>90</v>
      </c>
      <c r="E83" t="s">
        <v>91</v>
      </c>
      <c r="F83" s="1">
        <v>159</v>
      </c>
    </row>
    <row r="84" spans="1:6" x14ac:dyDescent="0.3">
      <c r="A84" t="str">
        <f>_xlfn.XLOOKUP(ColombiaClientes[[#This Row],[Client]],VpsClientes[Client],VpsClientes[VP],"",0)</f>
        <v>Moises Saavedra Garcia</v>
      </c>
      <c r="B84" t="s">
        <v>175</v>
      </c>
      <c r="C84" t="s">
        <v>92</v>
      </c>
      <c r="D84" t="s">
        <v>90</v>
      </c>
      <c r="E84" t="s">
        <v>91</v>
      </c>
      <c r="F84" s="1">
        <v>154</v>
      </c>
    </row>
    <row r="85" spans="1:6" x14ac:dyDescent="0.3">
      <c r="A85" t="str">
        <f>_xlfn.XLOOKUP(ColombiaClientes[[#This Row],[Client]],VpsClientes[Client],VpsClientes[VP],"",0)</f>
        <v>Martha Guzman Arango</v>
      </c>
      <c r="B85" t="s">
        <v>176</v>
      </c>
      <c r="C85" t="s">
        <v>92</v>
      </c>
      <c r="D85" t="s">
        <v>90</v>
      </c>
      <c r="E85" t="s">
        <v>91</v>
      </c>
      <c r="F85" s="1">
        <v>142</v>
      </c>
    </row>
    <row r="86" spans="1:6" x14ac:dyDescent="0.3">
      <c r="A86" t="str">
        <f>_xlfn.XLOOKUP(ColombiaClientes[[#This Row],[Client]],VpsClientes[Client],VpsClientes[VP],"",0)</f>
        <v>Sergio Gomez Perez</v>
      </c>
      <c r="B86" t="s">
        <v>160</v>
      </c>
      <c r="C86" t="s">
        <v>191</v>
      </c>
      <c r="D86" t="s">
        <v>90</v>
      </c>
      <c r="E86" t="s">
        <v>91</v>
      </c>
      <c r="F86" s="1">
        <v>246</v>
      </c>
    </row>
    <row r="87" spans="1:6" x14ac:dyDescent="0.3">
      <c r="A87" t="str">
        <f>_xlfn.XLOOKUP(ColombiaClientes[[#This Row],[Client]],VpsClientes[Client],VpsClientes[VP],"",0)</f>
        <v>Sergio Gomez Perez</v>
      </c>
      <c r="B87" t="s">
        <v>160</v>
      </c>
      <c r="C87" t="s">
        <v>192</v>
      </c>
      <c r="D87" t="s">
        <v>90</v>
      </c>
      <c r="E87" t="s">
        <v>91</v>
      </c>
      <c r="F87" s="1">
        <v>401</v>
      </c>
    </row>
    <row r="88" spans="1:6" x14ac:dyDescent="0.3">
      <c r="A88" t="str">
        <f>_xlfn.XLOOKUP(ColombiaClientes[[#This Row],[Client]],VpsClientes[Client],VpsClientes[VP],"",0)</f>
        <v>Maria Forero Jara</v>
      </c>
      <c r="B88" t="s">
        <v>179</v>
      </c>
      <c r="C88" t="s">
        <v>92</v>
      </c>
      <c r="D88" t="s">
        <v>90</v>
      </c>
      <c r="E88" t="s">
        <v>91</v>
      </c>
      <c r="F88" s="1">
        <v>129</v>
      </c>
    </row>
    <row r="89" spans="1:6" x14ac:dyDescent="0.3">
      <c r="A89" t="str">
        <f>_xlfn.XLOOKUP(ColombiaClientes[[#This Row],[Client]],VpsClientes[Client],VpsClientes[VP],"",0)</f>
        <v>Martha Guzman Arango</v>
      </c>
      <c r="B89" t="s">
        <v>180</v>
      </c>
      <c r="C89" t="s">
        <v>92</v>
      </c>
      <c r="D89" t="s">
        <v>90</v>
      </c>
      <c r="E89" t="s">
        <v>91</v>
      </c>
      <c r="F89" s="1">
        <v>86</v>
      </c>
    </row>
    <row r="90" spans="1:6" x14ac:dyDescent="0.3">
      <c r="A90" t="str">
        <f>_xlfn.XLOOKUP(ColombiaClientes[[#This Row],[Client]],VpsClientes[Client],VpsClientes[VP],"",0)</f>
        <v>Sergio Gomez Perez</v>
      </c>
      <c r="B90" t="s">
        <v>160</v>
      </c>
      <c r="C90" t="s">
        <v>194</v>
      </c>
      <c r="D90" t="s">
        <v>90</v>
      </c>
      <c r="E90" t="s">
        <v>91</v>
      </c>
      <c r="F90" s="1">
        <v>214</v>
      </c>
    </row>
    <row r="91" spans="1:6" x14ac:dyDescent="0.3">
      <c r="A91" t="str">
        <f>_xlfn.XLOOKUP(ColombiaClientes[[#This Row],[Client]],VpsClientes[Client],VpsClientes[VP],"",0)</f>
        <v>Maria Forero Jara</v>
      </c>
      <c r="B91" t="s">
        <v>182</v>
      </c>
      <c r="C91" t="s">
        <v>92</v>
      </c>
      <c r="D91" t="s">
        <v>90</v>
      </c>
      <c r="E91" t="s">
        <v>91</v>
      </c>
      <c r="F91" s="1">
        <v>77</v>
      </c>
    </row>
    <row r="92" spans="1:6" x14ac:dyDescent="0.3">
      <c r="A92" t="str">
        <f>_xlfn.XLOOKUP(ColombiaClientes[[#This Row],[Client]],VpsClientes[Client],VpsClientes[VP],"",0)</f>
        <v>Martha Guzman Arango</v>
      </c>
      <c r="B92" t="s">
        <v>183</v>
      </c>
      <c r="C92" t="s">
        <v>92</v>
      </c>
      <c r="D92" t="s">
        <v>90</v>
      </c>
      <c r="E92" t="s">
        <v>91</v>
      </c>
      <c r="F92" s="1">
        <v>58</v>
      </c>
    </row>
    <row r="93" spans="1:6" x14ac:dyDescent="0.3">
      <c r="A93" t="str">
        <f>_xlfn.XLOOKUP(ColombiaClientes[[#This Row],[Client]],VpsClientes[Client],VpsClientes[VP],"",0)</f>
        <v>Sergio Gomez Perez</v>
      </c>
      <c r="B93" t="s">
        <v>160</v>
      </c>
      <c r="C93" t="s">
        <v>202</v>
      </c>
      <c r="D93" t="s">
        <v>90</v>
      </c>
      <c r="E93" t="s">
        <v>91</v>
      </c>
      <c r="F93" s="1">
        <v>470</v>
      </c>
    </row>
    <row r="94" spans="1:6" x14ac:dyDescent="0.3">
      <c r="A94" t="str">
        <f>_xlfn.XLOOKUP(ColombiaClientes[[#This Row],[Client]],VpsClientes[Client],VpsClientes[VP],"",0)</f>
        <v>Martha Guzman Arango</v>
      </c>
      <c r="B94" t="s">
        <v>185</v>
      </c>
      <c r="C94" t="s">
        <v>92</v>
      </c>
      <c r="D94" t="s">
        <v>90</v>
      </c>
      <c r="E94" t="s">
        <v>91</v>
      </c>
      <c r="F94" s="1">
        <v>52</v>
      </c>
    </row>
    <row r="95" spans="1:6" x14ac:dyDescent="0.3">
      <c r="A95" t="str">
        <f>_xlfn.XLOOKUP(ColombiaClientes[[#This Row],[Client]],VpsClientes[Client],VpsClientes[VP],"",0)</f>
        <v>Martha Guzman Arango</v>
      </c>
      <c r="B95" t="s">
        <v>186</v>
      </c>
      <c r="C95" t="s">
        <v>92</v>
      </c>
      <c r="D95" t="s">
        <v>90</v>
      </c>
      <c r="E95" t="s">
        <v>91</v>
      </c>
      <c r="F95" s="1">
        <v>52</v>
      </c>
    </row>
    <row r="96" spans="1:6" x14ac:dyDescent="0.3">
      <c r="A96" t="str">
        <f>_xlfn.XLOOKUP(ColombiaClientes[[#This Row],[Client]],VpsClientes[Client],VpsClientes[VP],"",0)</f>
        <v>Moises Saavedra Garcia</v>
      </c>
      <c r="B96" t="s">
        <v>187</v>
      </c>
      <c r="C96" t="s">
        <v>92</v>
      </c>
      <c r="D96" t="s">
        <v>90</v>
      </c>
      <c r="E96" t="s">
        <v>91</v>
      </c>
      <c r="F96" s="1">
        <v>25</v>
      </c>
    </row>
    <row r="97" spans="1:6" x14ac:dyDescent="0.3">
      <c r="A97" t="str">
        <f>_xlfn.XLOOKUP(ColombiaClientes[[#This Row],[Client]],VpsClientes[Client],VpsClientes[VP],"",0)</f>
        <v>Martha Guzman Arango</v>
      </c>
      <c r="B97" t="s">
        <v>188</v>
      </c>
      <c r="C97" t="s">
        <v>92</v>
      </c>
      <c r="D97" t="s">
        <v>90</v>
      </c>
      <c r="E97" t="s">
        <v>91</v>
      </c>
      <c r="F97" s="1">
        <v>17</v>
      </c>
    </row>
    <row r="98" spans="1:6" x14ac:dyDescent="0.3">
      <c r="A98" t="str">
        <f>_xlfn.XLOOKUP(ColombiaClientes[[#This Row],[Client]],VpsClientes[Client],VpsClientes[VP],"",0)</f>
        <v>Martha Guzman Arango</v>
      </c>
      <c r="B98" t="s">
        <v>189</v>
      </c>
      <c r="C98" t="s">
        <v>92</v>
      </c>
      <c r="D98" t="s">
        <v>90</v>
      </c>
      <c r="E98" t="s">
        <v>91</v>
      </c>
      <c r="F98" s="1">
        <v>6</v>
      </c>
    </row>
    <row r="99" spans="1:6" x14ac:dyDescent="0.3">
      <c r="A99" t="str">
        <f>_xlfn.XLOOKUP(ColombiaClientes[[#This Row],[Client]],VpsClientes[Client],VpsClientes[VP],"",0)</f>
        <v>Moises Saavedra Garcia</v>
      </c>
      <c r="B99" t="s">
        <v>190</v>
      </c>
      <c r="C99" t="s">
        <v>92</v>
      </c>
      <c r="D99" t="s">
        <v>90</v>
      </c>
      <c r="E99" t="s">
        <v>91</v>
      </c>
      <c r="F99" s="1">
        <v>5</v>
      </c>
    </row>
    <row r="100" spans="1:6" x14ac:dyDescent="0.3">
      <c r="A100" t="str">
        <f>_xlfn.XLOOKUP(ColombiaClientes[[#This Row],[Client]],VpsClientes[Client],VpsClientes[VP],"",0)</f>
        <v>Carlos Beltran Hernandez</v>
      </c>
      <c r="B100" t="s">
        <v>93</v>
      </c>
      <c r="C100" t="s">
        <v>191</v>
      </c>
      <c r="D100" t="s">
        <v>90</v>
      </c>
      <c r="E100" t="s">
        <v>91</v>
      </c>
      <c r="F100" s="1">
        <v>34492</v>
      </c>
    </row>
    <row r="101" spans="1:6" x14ac:dyDescent="0.3">
      <c r="A101" t="str">
        <f>_xlfn.XLOOKUP(ColombiaClientes[[#This Row],[Client]],VpsClientes[Client],VpsClientes[VP],"",0)</f>
        <v>Ludy Torres Benitez</v>
      </c>
      <c r="B101" t="s">
        <v>95</v>
      </c>
      <c r="C101" t="s">
        <v>191</v>
      </c>
      <c r="D101" t="s">
        <v>90</v>
      </c>
      <c r="E101" t="s">
        <v>91</v>
      </c>
      <c r="F101" s="1">
        <v>19486</v>
      </c>
    </row>
    <row r="102" spans="1:6" x14ac:dyDescent="0.3">
      <c r="A102" t="str">
        <f>_xlfn.XLOOKUP(ColombiaClientes[[#This Row],[Client]],VpsClientes[Client],VpsClientes[VP],"",0)</f>
        <v>Carlos Beltran Hernandez</v>
      </c>
      <c r="B102" t="s">
        <v>94</v>
      </c>
      <c r="C102" t="s">
        <v>191</v>
      </c>
      <c r="D102" t="s">
        <v>90</v>
      </c>
      <c r="E102" t="s">
        <v>91</v>
      </c>
      <c r="F102" s="1">
        <v>18040</v>
      </c>
    </row>
    <row r="103" spans="1:6" x14ac:dyDescent="0.3">
      <c r="A103" t="str">
        <f>_xlfn.XLOOKUP(ColombiaClientes[[#This Row],[Client]],VpsClientes[Client],VpsClientes[VP],"",0)</f>
        <v>Martha Guzman Arango</v>
      </c>
      <c r="B103" t="s">
        <v>96</v>
      </c>
      <c r="C103" t="s">
        <v>191</v>
      </c>
      <c r="D103" t="s">
        <v>90</v>
      </c>
      <c r="E103" t="s">
        <v>91</v>
      </c>
      <c r="F103" s="1">
        <v>14393</v>
      </c>
    </row>
    <row r="104" spans="1:6" x14ac:dyDescent="0.3">
      <c r="A104" t="str">
        <f>_xlfn.XLOOKUP(ColombiaClientes[[#This Row],[Client]],VpsClientes[Client],VpsClientes[VP],"",0)</f>
        <v>Moises Saavedra Garcia</v>
      </c>
      <c r="B104" t="s">
        <v>99</v>
      </c>
      <c r="C104" t="s">
        <v>191</v>
      </c>
      <c r="D104" t="s">
        <v>90</v>
      </c>
      <c r="E104" t="s">
        <v>91</v>
      </c>
      <c r="F104" s="1">
        <v>11665</v>
      </c>
    </row>
    <row r="105" spans="1:6" x14ac:dyDescent="0.3">
      <c r="A105" t="str">
        <f>_xlfn.XLOOKUP(ColombiaClientes[[#This Row],[Client]],VpsClientes[Client],VpsClientes[VP],"",0)</f>
        <v>Maria Forero Jara</v>
      </c>
      <c r="B105" t="s">
        <v>106</v>
      </c>
      <c r="C105" t="s">
        <v>191</v>
      </c>
      <c r="D105" t="s">
        <v>90</v>
      </c>
      <c r="E105" t="s">
        <v>91</v>
      </c>
      <c r="F105" s="1">
        <v>9094</v>
      </c>
    </row>
    <row r="106" spans="1:6" x14ac:dyDescent="0.3">
      <c r="A106" t="str">
        <f>_xlfn.XLOOKUP(ColombiaClientes[[#This Row],[Client]],VpsClientes[Client],VpsClientes[VP],"",0)</f>
        <v>Maria Forero Jara</v>
      </c>
      <c r="B106" t="s">
        <v>101</v>
      </c>
      <c r="C106" t="s">
        <v>191</v>
      </c>
      <c r="D106" t="s">
        <v>90</v>
      </c>
      <c r="E106" t="s">
        <v>91</v>
      </c>
      <c r="F106" s="1">
        <v>8446</v>
      </c>
    </row>
    <row r="107" spans="1:6" x14ac:dyDescent="0.3">
      <c r="A107" t="str">
        <f>_xlfn.XLOOKUP(ColombiaClientes[[#This Row],[Client]],VpsClientes[Client],VpsClientes[VP],"",0)</f>
        <v>Maria Forero Jara</v>
      </c>
      <c r="B107" t="s">
        <v>108</v>
      </c>
      <c r="C107" t="s">
        <v>191</v>
      </c>
      <c r="D107" t="s">
        <v>90</v>
      </c>
      <c r="E107" t="s">
        <v>91</v>
      </c>
      <c r="F107" s="1">
        <v>8429</v>
      </c>
    </row>
    <row r="108" spans="1:6" x14ac:dyDescent="0.3">
      <c r="A108" t="str">
        <f>_xlfn.XLOOKUP(ColombiaClientes[[#This Row],[Client]],VpsClientes[Client],VpsClientes[VP],"",0)</f>
        <v>Martha Guzman Arango</v>
      </c>
      <c r="B108" t="s">
        <v>98</v>
      </c>
      <c r="C108" t="s">
        <v>191</v>
      </c>
      <c r="D108" t="s">
        <v>90</v>
      </c>
      <c r="E108" t="s">
        <v>91</v>
      </c>
      <c r="F108" s="1">
        <v>7093</v>
      </c>
    </row>
    <row r="109" spans="1:6" x14ac:dyDescent="0.3">
      <c r="A109" t="str">
        <f>_xlfn.XLOOKUP(ColombiaClientes[[#This Row],[Client]],VpsClientes[Client],VpsClientes[VP],"",0)</f>
        <v>Martha Guzman Arango</v>
      </c>
      <c r="B109" t="s">
        <v>100</v>
      </c>
      <c r="C109" t="s">
        <v>191</v>
      </c>
      <c r="D109" t="s">
        <v>90</v>
      </c>
      <c r="E109" t="s">
        <v>91</v>
      </c>
      <c r="F109" s="1">
        <v>6063</v>
      </c>
    </row>
    <row r="110" spans="1:6" x14ac:dyDescent="0.3">
      <c r="A110" t="str">
        <f>_xlfn.XLOOKUP(ColombiaClientes[[#This Row],[Client]],VpsClientes[Client],VpsClientes[VP],"",0)</f>
        <v>Maria Forero Jara</v>
      </c>
      <c r="B110" t="s">
        <v>111</v>
      </c>
      <c r="C110" t="s">
        <v>191</v>
      </c>
      <c r="D110" t="s">
        <v>90</v>
      </c>
      <c r="E110" t="s">
        <v>91</v>
      </c>
      <c r="F110" s="1">
        <v>5980</v>
      </c>
    </row>
    <row r="111" spans="1:6" x14ac:dyDescent="0.3">
      <c r="A111" t="str">
        <f>_xlfn.XLOOKUP(ColombiaClientes[[#This Row],[Client]],VpsClientes[Client],VpsClientes[VP],"",0)</f>
        <v>Jhonatan Izquierdo Rico</v>
      </c>
      <c r="B111" t="s">
        <v>104</v>
      </c>
      <c r="C111" t="s">
        <v>191</v>
      </c>
      <c r="D111" t="s">
        <v>90</v>
      </c>
      <c r="E111" t="s">
        <v>91</v>
      </c>
      <c r="F111" s="1">
        <v>5805</v>
      </c>
    </row>
    <row r="112" spans="1:6" x14ac:dyDescent="0.3">
      <c r="A112" t="str">
        <f>_xlfn.XLOOKUP(ColombiaClientes[[#This Row],[Client]],VpsClientes[Client],VpsClientes[VP],"",0)</f>
        <v>Carlos Beltran Hernandez</v>
      </c>
      <c r="B112" t="s">
        <v>102</v>
      </c>
      <c r="C112" t="s">
        <v>191</v>
      </c>
      <c r="D112" t="s">
        <v>90</v>
      </c>
      <c r="E112" t="s">
        <v>91</v>
      </c>
      <c r="F112" s="1">
        <v>5070</v>
      </c>
    </row>
    <row r="113" spans="1:6" x14ac:dyDescent="0.3">
      <c r="A113" t="str">
        <f>_xlfn.XLOOKUP(ColombiaClientes[[#This Row],[Client]],VpsClientes[Client],VpsClientes[VP],"",0)</f>
        <v>Martha Guzman Arango</v>
      </c>
      <c r="B113" t="s">
        <v>97</v>
      </c>
      <c r="C113" t="s">
        <v>191</v>
      </c>
      <c r="D113" t="s">
        <v>90</v>
      </c>
      <c r="E113" t="s">
        <v>91</v>
      </c>
      <c r="F113" s="1">
        <v>5045</v>
      </c>
    </row>
    <row r="114" spans="1:6" x14ac:dyDescent="0.3">
      <c r="A114" t="str">
        <f>_xlfn.XLOOKUP(ColombiaClientes[[#This Row],[Client]],VpsClientes[Client],VpsClientes[VP],"",0)</f>
        <v>Jhonatan Izquierdo Rico</v>
      </c>
      <c r="B114" t="s">
        <v>107</v>
      </c>
      <c r="C114" t="s">
        <v>191</v>
      </c>
      <c r="D114" t="s">
        <v>90</v>
      </c>
      <c r="E114" t="s">
        <v>91</v>
      </c>
      <c r="F114" s="1">
        <v>4861</v>
      </c>
    </row>
    <row r="115" spans="1:6" x14ac:dyDescent="0.3">
      <c r="A115" t="str">
        <f>_xlfn.XLOOKUP(ColombiaClientes[[#This Row],[Client]],VpsClientes[Client],VpsClientes[VP],"",0)</f>
        <v>Martha Guzman Arango</v>
      </c>
      <c r="B115" t="s">
        <v>114</v>
      </c>
      <c r="C115" t="s">
        <v>191</v>
      </c>
      <c r="D115" t="s">
        <v>90</v>
      </c>
      <c r="E115" t="s">
        <v>91</v>
      </c>
      <c r="F115" s="1">
        <v>4430</v>
      </c>
    </row>
    <row r="116" spans="1:6" x14ac:dyDescent="0.3">
      <c r="A116" t="str">
        <f>_xlfn.XLOOKUP(ColombiaClientes[[#This Row],[Client]],VpsClientes[Client],VpsClientes[VP],"",0)</f>
        <v>Carlos Beltran Hernandez</v>
      </c>
      <c r="B116" t="s">
        <v>151</v>
      </c>
      <c r="C116" t="s">
        <v>191</v>
      </c>
      <c r="D116" t="s">
        <v>90</v>
      </c>
      <c r="E116" t="s">
        <v>91</v>
      </c>
      <c r="F116" s="1">
        <v>4289</v>
      </c>
    </row>
    <row r="117" spans="1:6" x14ac:dyDescent="0.3">
      <c r="A117" t="str">
        <f>_xlfn.XLOOKUP(ColombiaClientes[[#This Row],[Client]],VpsClientes[Client],VpsClientes[VP],"",0)</f>
        <v>Martha Guzman Arango</v>
      </c>
      <c r="B117" t="s">
        <v>109</v>
      </c>
      <c r="C117" t="s">
        <v>191</v>
      </c>
      <c r="D117" t="s">
        <v>90</v>
      </c>
      <c r="E117" t="s">
        <v>91</v>
      </c>
      <c r="F117" s="1">
        <v>4143</v>
      </c>
    </row>
    <row r="118" spans="1:6" x14ac:dyDescent="0.3">
      <c r="A118" t="str">
        <f>_xlfn.XLOOKUP(ColombiaClientes[[#This Row],[Client]],VpsClientes[Client],VpsClientes[VP],"",0)</f>
        <v>Maria Forero Jara</v>
      </c>
      <c r="B118" t="s">
        <v>123</v>
      </c>
      <c r="C118" t="s">
        <v>191</v>
      </c>
      <c r="D118" t="s">
        <v>90</v>
      </c>
      <c r="E118" t="s">
        <v>91</v>
      </c>
      <c r="F118" s="1">
        <v>4049</v>
      </c>
    </row>
    <row r="119" spans="1:6" x14ac:dyDescent="0.3">
      <c r="A119" t="str">
        <f>_xlfn.XLOOKUP(ColombiaClientes[[#This Row],[Client]],VpsClientes[Client],VpsClientes[VP],"",0)</f>
        <v>Carlos Castillo Figueroa</v>
      </c>
      <c r="B119" t="s">
        <v>105</v>
      </c>
      <c r="C119" t="s">
        <v>191</v>
      </c>
      <c r="D119" t="s">
        <v>90</v>
      </c>
      <c r="E119" t="s">
        <v>91</v>
      </c>
      <c r="F119" s="1">
        <v>3988</v>
      </c>
    </row>
    <row r="120" spans="1:6" x14ac:dyDescent="0.3">
      <c r="A120" t="str">
        <f>_xlfn.XLOOKUP(ColombiaClientes[[#This Row],[Client]],VpsClientes[Client],VpsClientes[VP],"",0)</f>
        <v>Moises Saavedra Garcia</v>
      </c>
      <c r="B120" t="s">
        <v>115</v>
      </c>
      <c r="C120" t="s">
        <v>191</v>
      </c>
      <c r="D120" t="s">
        <v>90</v>
      </c>
      <c r="E120" t="s">
        <v>91</v>
      </c>
      <c r="F120" s="1">
        <v>3732</v>
      </c>
    </row>
    <row r="121" spans="1:6" x14ac:dyDescent="0.3">
      <c r="A121" t="str">
        <f>_xlfn.XLOOKUP(ColombiaClientes[[#This Row],[Client]],VpsClientes[Client],VpsClientes[VP],"",0)</f>
        <v>Martha Guzman Arango</v>
      </c>
      <c r="B121" t="s">
        <v>103</v>
      </c>
      <c r="C121" t="s">
        <v>191</v>
      </c>
      <c r="D121" t="s">
        <v>90</v>
      </c>
      <c r="E121" t="s">
        <v>91</v>
      </c>
      <c r="F121" s="1">
        <v>3179</v>
      </c>
    </row>
    <row r="122" spans="1:6" x14ac:dyDescent="0.3">
      <c r="A122" t="str">
        <f>_xlfn.XLOOKUP(ColombiaClientes[[#This Row],[Client]],VpsClientes[Client],VpsClientes[VP],"",0)</f>
        <v>Jhonatan Izquierdo Rico</v>
      </c>
      <c r="B122" t="s">
        <v>112</v>
      </c>
      <c r="C122" t="s">
        <v>191</v>
      </c>
      <c r="D122" t="s">
        <v>90</v>
      </c>
      <c r="E122" t="s">
        <v>91</v>
      </c>
      <c r="F122" s="1">
        <v>3024</v>
      </c>
    </row>
    <row r="123" spans="1:6" x14ac:dyDescent="0.3">
      <c r="A123" t="str">
        <f>_xlfn.XLOOKUP(ColombiaClientes[[#This Row],[Client]],VpsClientes[Client],VpsClientes[VP],"",0)</f>
        <v>Martha Guzman Arango</v>
      </c>
      <c r="B123" t="s">
        <v>118</v>
      </c>
      <c r="C123" t="s">
        <v>191</v>
      </c>
      <c r="D123" t="s">
        <v>90</v>
      </c>
      <c r="E123" t="s">
        <v>91</v>
      </c>
      <c r="F123" s="1">
        <v>2996</v>
      </c>
    </row>
    <row r="124" spans="1:6" x14ac:dyDescent="0.3">
      <c r="A124" t="str">
        <f>_xlfn.XLOOKUP(ColombiaClientes[[#This Row],[Client]],VpsClientes[Client],VpsClientes[VP],"",0)</f>
        <v>Moises Saavedra Garcia</v>
      </c>
      <c r="B124" t="s">
        <v>110</v>
      </c>
      <c r="C124" t="s">
        <v>191</v>
      </c>
      <c r="D124" t="s">
        <v>90</v>
      </c>
      <c r="E124" t="s">
        <v>91</v>
      </c>
      <c r="F124" s="1">
        <v>2851</v>
      </c>
    </row>
    <row r="125" spans="1:6" x14ac:dyDescent="0.3">
      <c r="A125" t="str">
        <f>_xlfn.XLOOKUP(ColombiaClientes[[#This Row],[Client]],VpsClientes[Client],VpsClientes[VP],"",0)</f>
        <v>Ernesto Rico Zuluaga</v>
      </c>
      <c r="B125" t="s">
        <v>121</v>
      </c>
      <c r="C125" t="s">
        <v>191</v>
      </c>
      <c r="D125" t="s">
        <v>90</v>
      </c>
      <c r="E125" t="s">
        <v>91</v>
      </c>
      <c r="F125" s="1">
        <v>2500</v>
      </c>
    </row>
    <row r="126" spans="1:6" x14ac:dyDescent="0.3">
      <c r="A126" t="str">
        <f>_xlfn.XLOOKUP(ColombiaClientes[[#This Row],[Client]],VpsClientes[Client],VpsClientes[VP],"",0)</f>
        <v>Jhonatan Izquierdo Rico</v>
      </c>
      <c r="B126" t="s">
        <v>138</v>
      </c>
      <c r="C126" t="s">
        <v>191</v>
      </c>
      <c r="D126" t="s">
        <v>90</v>
      </c>
      <c r="E126" t="s">
        <v>91</v>
      </c>
      <c r="F126" s="1">
        <v>2492</v>
      </c>
    </row>
    <row r="127" spans="1:6" x14ac:dyDescent="0.3">
      <c r="A127" t="str">
        <f>_xlfn.XLOOKUP(ColombiaClientes[[#This Row],[Client]],VpsClientes[Client],VpsClientes[VP],"",0)</f>
        <v>Jhonatan Izquierdo Rico</v>
      </c>
      <c r="B127" t="s">
        <v>126</v>
      </c>
      <c r="C127" t="s">
        <v>191</v>
      </c>
      <c r="D127" t="s">
        <v>90</v>
      </c>
      <c r="E127" t="s">
        <v>91</v>
      </c>
      <c r="F127" s="1">
        <v>2457</v>
      </c>
    </row>
    <row r="128" spans="1:6" x14ac:dyDescent="0.3">
      <c r="A128" t="str">
        <f>_xlfn.XLOOKUP(ColombiaClientes[[#This Row],[Client]],VpsClientes[Client],VpsClientes[VP],"",0)</f>
        <v>Martha Guzman Arango</v>
      </c>
      <c r="B128" t="s">
        <v>122</v>
      </c>
      <c r="C128" t="s">
        <v>191</v>
      </c>
      <c r="D128" t="s">
        <v>90</v>
      </c>
      <c r="E128" t="s">
        <v>91</v>
      </c>
      <c r="F128" s="1">
        <v>2399</v>
      </c>
    </row>
    <row r="129" spans="1:6" x14ac:dyDescent="0.3">
      <c r="A129" t="str">
        <f>_xlfn.XLOOKUP(ColombiaClientes[[#This Row],[Client]],VpsClientes[Client],VpsClientes[VP],"",0)</f>
        <v>Ernesto Rico Zuluaga</v>
      </c>
      <c r="B129" t="s">
        <v>116</v>
      </c>
      <c r="C129" t="s">
        <v>191</v>
      </c>
      <c r="D129" t="s">
        <v>90</v>
      </c>
      <c r="E129" t="s">
        <v>91</v>
      </c>
      <c r="F129" s="1">
        <v>2357</v>
      </c>
    </row>
    <row r="130" spans="1:6" x14ac:dyDescent="0.3">
      <c r="A130" t="str">
        <f>_xlfn.XLOOKUP(ColombiaClientes[[#This Row],[Client]],VpsClientes[Client],VpsClientes[VP],"",0)</f>
        <v>Hector Muraira Garza</v>
      </c>
      <c r="B130" t="s">
        <v>132</v>
      </c>
      <c r="C130" t="s">
        <v>191</v>
      </c>
      <c r="D130" t="s">
        <v>90</v>
      </c>
      <c r="E130" t="s">
        <v>91</v>
      </c>
      <c r="F130" s="1">
        <v>2324</v>
      </c>
    </row>
    <row r="131" spans="1:6" x14ac:dyDescent="0.3">
      <c r="A131" t="str">
        <f>_xlfn.XLOOKUP(ColombiaClientes[[#This Row],[Client]],VpsClientes[Client],VpsClientes[VP],"",0)</f>
        <v>Jhonatan Izquierdo Rico</v>
      </c>
      <c r="B131" t="s">
        <v>128</v>
      </c>
      <c r="C131" t="s">
        <v>191</v>
      </c>
      <c r="D131" t="s">
        <v>90</v>
      </c>
      <c r="E131" t="s">
        <v>91</v>
      </c>
      <c r="F131" s="1">
        <v>2249</v>
      </c>
    </row>
    <row r="132" spans="1:6" x14ac:dyDescent="0.3">
      <c r="A132" t="str">
        <f>_xlfn.XLOOKUP(ColombiaClientes[[#This Row],[Client]],VpsClientes[Client],VpsClientes[VP],"",0)</f>
        <v>Moises Saavedra Garcia</v>
      </c>
      <c r="B132" t="s">
        <v>120</v>
      </c>
      <c r="C132" t="s">
        <v>191</v>
      </c>
      <c r="D132" t="s">
        <v>90</v>
      </c>
      <c r="E132" t="s">
        <v>91</v>
      </c>
      <c r="F132" s="1">
        <v>2237</v>
      </c>
    </row>
    <row r="133" spans="1:6" x14ac:dyDescent="0.3">
      <c r="A133" t="str">
        <f>_xlfn.XLOOKUP(ColombiaClientes[[#This Row],[Client]],VpsClientes[Client],VpsClientes[VP],"",0)</f>
        <v>Martha Guzman Arango</v>
      </c>
      <c r="B133" t="s">
        <v>124</v>
      </c>
      <c r="C133" t="s">
        <v>191</v>
      </c>
      <c r="D133" t="s">
        <v>90</v>
      </c>
      <c r="E133" t="s">
        <v>91</v>
      </c>
      <c r="F133" s="1">
        <v>2227</v>
      </c>
    </row>
    <row r="134" spans="1:6" x14ac:dyDescent="0.3">
      <c r="A134" t="str">
        <f>_xlfn.XLOOKUP(ColombiaClientes[[#This Row],[Client]],VpsClientes[Client],VpsClientes[VP],"",0)</f>
        <v>Sandra Romero Zuluaga</v>
      </c>
      <c r="B134" t="s">
        <v>113</v>
      </c>
      <c r="C134" t="s">
        <v>191</v>
      </c>
      <c r="D134" t="s">
        <v>90</v>
      </c>
      <c r="E134" t="s">
        <v>91</v>
      </c>
      <c r="F134" s="1">
        <v>2224</v>
      </c>
    </row>
    <row r="135" spans="1:6" x14ac:dyDescent="0.3">
      <c r="A135" t="str">
        <f>_xlfn.XLOOKUP(ColombiaClientes[[#This Row],[Client]],VpsClientes[Client],VpsClientes[VP],"",0)</f>
        <v>Martha Guzman Arango</v>
      </c>
      <c r="B135" t="s">
        <v>131</v>
      </c>
      <c r="C135" t="s">
        <v>191</v>
      </c>
      <c r="D135" t="s">
        <v>90</v>
      </c>
      <c r="E135" t="s">
        <v>91</v>
      </c>
      <c r="F135" s="1">
        <v>2209</v>
      </c>
    </row>
    <row r="136" spans="1:6" x14ac:dyDescent="0.3">
      <c r="A136" t="str">
        <f>_xlfn.XLOOKUP(ColombiaClientes[[#This Row],[Client]],VpsClientes[Client],VpsClientes[VP],"",0)</f>
        <v>Maria Forero Jara</v>
      </c>
      <c r="B136" t="s">
        <v>125</v>
      </c>
      <c r="C136" t="s">
        <v>191</v>
      </c>
      <c r="D136" t="s">
        <v>90</v>
      </c>
      <c r="E136" t="s">
        <v>91</v>
      </c>
      <c r="F136" s="1">
        <v>1990</v>
      </c>
    </row>
    <row r="137" spans="1:6" x14ac:dyDescent="0.3">
      <c r="A137" t="str">
        <f>_xlfn.XLOOKUP(ColombiaClientes[[#This Row],[Client]],VpsClientes[Client],VpsClientes[VP],"",0)</f>
        <v>Carlos Beltran Hernandez</v>
      </c>
      <c r="B137" t="s">
        <v>119</v>
      </c>
      <c r="C137" t="s">
        <v>191</v>
      </c>
      <c r="D137" t="s">
        <v>90</v>
      </c>
      <c r="E137" t="s">
        <v>91</v>
      </c>
      <c r="F137" s="1">
        <v>1988</v>
      </c>
    </row>
    <row r="138" spans="1:6" x14ac:dyDescent="0.3">
      <c r="A138" t="str">
        <f>_xlfn.XLOOKUP(ColombiaClientes[[#This Row],[Client]],VpsClientes[Client],VpsClientes[VP],"",0)</f>
        <v>Hector Muraira Garza</v>
      </c>
      <c r="B138" t="s">
        <v>130</v>
      </c>
      <c r="C138" t="s">
        <v>191</v>
      </c>
      <c r="D138" t="s">
        <v>90</v>
      </c>
      <c r="E138" t="s">
        <v>91</v>
      </c>
      <c r="F138" s="1">
        <v>1822</v>
      </c>
    </row>
    <row r="139" spans="1:6" x14ac:dyDescent="0.3">
      <c r="A139" t="str">
        <f>_xlfn.XLOOKUP(ColombiaClientes[[#This Row],[Client]],VpsClientes[Client],VpsClientes[VP],"",0)</f>
        <v>Martha Guzman Arango</v>
      </c>
      <c r="B139" t="s">
        <v>143</v>
      </c>
      <c r="C139" t="s">
        <v>191</v>
      </c>
      <c r="D139" t="s">
        <v>90</v>
      </c>
      <c r="E139" t="s">
        <v>91</v>
      </c>
      <c r="F139" s="1">
        <v>1597</v>
      </c>
    </row>
    <row r="140" spans="1:6" x14ac:dyDescent="0.3">
      <c r="A140" t="str">
        <f>_xlfn.XLOOKUP(ColombiaClientes[[#This Row],[Client]],VpsClientes[Client],VpsClientes[VP],"",0)</f>
        <v>Jhonatan Izquierdo Rico</v>
      </c>
      <c r="B140" t="s">
        <v>129</v>
      </c>
      <c r="C140" t="s">
        <v>191</v>
      </c>
      <c r="D140" t="s">
        <v>90</v>
      </c>
      <c r="E140" t="s">
        <v>91</v>
      </c>
      <c r="F140" s="1">
        <v>1437</v>
      </c>
    </row>
    <row r="141" spans="1:6" x14ac:dyDescent="0.3">
      <c r="A141" t="str">
        <f>_xlfn.XLOOKUP(ColombiaClientes[[#This Row],[Client]],VpsClientes[Client],VpsClientes[VP],"",0)</f>
        <v>Juan Granados Castillo</v>
      </c>
      <c r="B141" t="s">
        <v>142</v>
      </c>
      <c r="C141" t="s">
        <v>191</v>
      </c>
      <c r="D141" t="s">
        <v>90</v>
      </c>
      <c r="E141" t="s">
        <v>91</v>
      </c>
      <c r="F141" s="1">
        <v>1272</v>
      </c>
    </row>
    <row r="142" spans="1:6" x14ac:dyDescent="0.3">
      <c r="A142" t="str">
        <f>_xlfn.XLOOKUP(ColombiaClientes[[#This Row],[Client]],VpsClientes[Client],VpsClientes[VP],"",0)</f>
        <v>Martha Guzman Arango</v>
      </c>
      <c r="B142" t="s">
        <v>135</v>
      </c>
      <c r="C142" t="s">
        <v>191</v>
      </c>
      <c r="D142" t="s">
        <v>90</v>
      </c>
      <c r="E142" t="s">
        <v>91</v>
      </c>
      <c r="F142" s="1">
        <v>1267</v>
      </c>
    </row>
    <row r="143" spans="1:6" x14ac:dyDescent="0.3">
      <c r="A143" t="str">
        <f>_xlfn.XLOOKUP(ColombiaClientes[[#This Row],[Client]],VpsClientes[Client],VpsClientes[VP],"",0)</f>
        <v>Hector Muraira Garza</v>
      </c>
      <c r="B143" t="s">
        <v>137</v>
      </c>
      <c r="C143" t="s">
        <v>191</v>
      </c>
      <c r="D143" t="s">
        <v>90</v>
      </c>
      <c r="E143" t="s">
        <v>91</v>
      </c>
      <c r="F143" s="1">
        <v>1252</v>
      </c>
    </row>
    <row r="144" spans="1:6" x14ac:dyDescent="0.3">
      <c r="A144" t="str">
        <f>_xlfn.XLOOKUP(ColombiaClientes[[#This Row],[Client]],VpsClientes[Client],VpsClientes[VP],"",0)</f>
        <v>Jhonatan Izquierdo Rico</v>
      </c>
      <c r="B144" t="s">
        <v>117</v>
      </c>
      <c r="C144" t="s">
        <v>191</v>
      </c>
      <c r="D144" t="s">
        <v>90</v>
      </c>
      <c r="E144" t="s">
        <v>91</v>
      </c>
      <c r="F144" s="1">
        <v>1171</v>
      </c>
    </row>
    <row r="145" spans="1:6" x14ac:dyDescent="0.3">
      <c r="A145" t="str">
        <f>_xlfn.XLOOKUP(ColombiaClientes[[#This Row],[Client]],VpsClientes[Client],VpsClientes[VP],"",0)</f>
        <v>Jhonatan Izquierdo Rico</v>
      </c>
      <c r="B145" t="s">
        <v>196</v>
      </c>
      <c r="C145" t="s">
        <v>191</v>
      </c>
      <c r="D145" t="s">
        <v>90</v>
      </c>
      <c r="E145" t="s">
        <v>91</v>
      </c>
      <c r="F145" s="1">
        <v>937</v>
      </c>
    </row>
    <row r="146" spans="1:6" x14ac:dyDescent="0.3">
      <c r="A146" t="str">
        <f>_xlfn.XLOOKUP(ColombiaClientes[[#This Row],[Client]],VpsClientes[Client],VpsClientes[VP],"",0)</f>
        <v>Martha Guzman Arango</v>
      </c>
      <c r="B146" t="s">
        <v>168</v>
      </c>
      <c r="C146" t="s">
        <v>191</v>
      </c>
      <c r="D146" t="s">
        <v>90</v>
      </c>
      <c r="E146" t="s">
        <v>91</v>
      </c>
      <c r="F146" s="1">
        <v>896</v>
      </c>
    </row>
    <row r="147" spans="1:6" x14ac:dyDescent="0.3">
      <c r="A147" t="str">
        <f>_xlfn.XLOOKUP(ColombiaClientes[[#This Row],[Client]],VpsClientes[Client],VpsClientes[VP],"",0)</f>
        <v>Juan Granados Castillo</v>
      </c>
      <c r="B147" t="s">
        <v>136</v>
      </c>
      <c r="C147" t="s">
        <v>191</v>
      </c>
      <c r="D147" t="s">
        <v>90</v>
      </c>
      <c r="E147" t="s">
        <v>91</v>
      </c>
      <c r="F147" s="1">
        <v>827</v>
      </c>
    </row>
    <row r="148" spans="1:6" x14ac:dyDescent="0.3">
      <c r="A148" t="str">
        <f>_xlfn.XLOOKUP(ColombiaClientes[[#This Row],[Client]],VpsClientes[Client],VpsClientes[VP],"",0)</f>
        <v>Maria Forero Jara</v>
      </c>
      <c r="B148" t="s">
        <v>139</v>
      </c>
      <c r="C148" t="s">
        <v>191</v>
      </c>
      <c r="D148" t="s">
        <v>90</v>
      </c>
      <c r="E148" t="s">
        <v>91</v>
      </c>
      <c r="F148" s="1">
        <v>762</v>
      </c>
    </row>
    <row r="149" spans="1:6" x14ac:dyDescent="0.3">
      <c r="A149" t="str">
        <f>_xlfn.XLOOKUP(ColombiaClientes[[#This Row],[Client]],VpsClientes[Client],VpsClientes[VP],"",0)</f>
        <v>Hector Muraira Garza</v>
      </c>
      <c r="B149" t="s">
        <v>154</v>
      </c>
      <c r="C149" t="s">
        <v>191</v>
      </c>
      <c r="D149" t="s">
        <v>90</v>
      </c>
      <c r="E149" t="s">
        <v>91</v>
      </c>
      <c r="F149" s="1">
        <v>755</v>
      </c>
    </row>
    <row r="150" spans="1:6" x14ac:dyDescent="0.3">
      <c r="A150" t="str">
        <f>_xlfn.XLOOKUP(ColombiaClientes[[#This Row],[Client]],VpsClientes[Client],VpsClientes[VP],"",0)</f>
        <v>Martha Guzman Arango</v>
      </c>
      <c r="B150" t="s">
        <v>148</v>
      </c>
      <c r="C150" t="s">
        <v>191</v>
      </c>
      <c r="D150" t="s">
        <v>90</v>
      </c>
      <c r="E150" t="s">
        <v>91</v>
      </c>
      <c r="F150" s="1">
        <v>661</v>
      </c>
    </row>
    <row r="151" spans="1:6" x14ac:dyDescent="0.3">
      <c r="A151" t="str">
        <f>_xlfn.XLOOKUP(ColombiaClientes[[#This Row],[Client]],VpsClientes[Client],VpsClientes[VP],"",0)</f>
        <v>Juan Granados Castillo</v>
      </c>
      <c r="B151" t="s">
        <v>134</v>
      </c>
      <c r="C151" t="s">
        <v>191</v>
      </c>
      <c r="D151" t="s">
        <v>90</v>
      </c>
      <c r="E151" t="s">
        <v>91</v>
      </c>
      <c r="F151" s="1">
        <v>647</v>
      </c>
    </row>
    <row r="152" spans="1:6" x14ac:dyDescent="0.3">
      <c r="A152" t="str">
        <f>_xlfn.XLOOKUP(ColombiaClientes[[#This Row],[Client]],VpsClientes[Client],VpsClientes[VP],"",0)</f>
        <v>Sergio Gomez Perez</v>
      </c>
      <c r="B152" t="s">
        <v>160</v>
      </c>
      <c r="C152" t="s">
        <v>92</v>
      </c>
      <c r="D152" t="s">
        <v>90</v>
      </c>
      <c r="E152" t="s">
        <v>206</v>
      </c>
      <c r="F152" s="1">
        <v>70</v>
      </c>
    </row>
    <row r="153" spans="1:6" x14ac:dyDescent="0.3">
      <c r="A153" t="str">
        <f>_xlfn.XLOOKUP(ColombiaClientes[[#This Row],[Client]],VpsClientes[Client],VpsClientes[VP],"",0)</f>
        <v>Martha Guzman Arango</v>
      </c>
      <c r="B153" t="s">
        <v>146</v>
      </c>
      <c r="C153" t="s">
        <v>191</v>
      </c>
      <c r="D153" t="s">
        <v>90</v>
      </c>
      <c r="E153" t="s">
        <v>91</v>
      </c>
      <c r="F153" s="1">
        <v>533</v>
      </c>
    </row>
    <row r="154" spans="1:6" x14ac:dyDescent="0.3">
      <c r="A154" t="str">
        <f>_xlfn.XLOOKUP(ColombiaClientes[[#This Row],[Client]],VpsClientes[Client],VpsClientes[VP],"",0)</f>
        <v>Martha Guzman Arango</v>
      </c>
      <c r="B154" t="s">
        <v>170</v>
      </c>
      <c r="C154" t="s">
        <v>191</v>
      </c>
      <c r="D154" t="s">
        <v>90</v>
      </c>
      <c r="E154" t="s">
        <v>91</v>
      </c>
      <c r="F154" s="1">
        <v>528</v>
      </c>
    </row>
    <row r="155" spans="1:6" x14ac:dyDescent="0.3">
      <c r="A155" t="str">
        <f>_xlfn.XLOOKUP(ColombiaClientes[[#This Row],[Client]],VpsClientes[Client],VpsClientes[VP],"",0)</f>
        <v>Martha Guzman Arango</v>
      </c>
      <c r="B155" t="s">
        <v>180</v>
      </c>
      <c r="C155" t="s">
        <v>191</v>
      </c>
      <c r="D155" t="s">
        <v>90</v>
      </c>
      <c r="E155" t="s">
        <v>91</v>
      </c>
      <c r="F155" s="1">
        <v>515</v>
      </c>
    </row>
    <row r="156" spans="1:6" x14ac:dyDescent="0.3">
      <c r="A156" t="str">
        <f>_xlfn.XLOOKUP(ColombiaClientes[[#This Row],[Client]],VpsClientes[Client],VpsClientes[VP],"",0)</f>
        <v>Martha Guzman Arango</v>
      </c>
      <c r="B156" t="s">
        <v>152</v>
      </c>
      <c r="C156" t="s">
        <v>191</v>
      </c>
      <c r="D156" t="s">
        <v>90</v>
      </c>
      <c r="E156" t="s">
        <v>91</v>
      </c>
      <c r="F156" s="1">
        <v>503</v>
      </c>
    </row>
    <row r="157" spans="1:6" x14ac:dyDescent="0.3">
      <c r="A157" t="str">
        <f>_xlfn.XLOOKUP(ColombiaClientes[[#This Row],[Client]],VpsClientes[Client],VpsClientes[VP],"",0)</f>
        <v>Hector Muraira Garza</v>
      </c>
      <c r="B157" t="s">
        <v>140</v>
      </c>
      <c r="C157" t="s">
        <v>191</v>
      </c>
      <c r="D157" t="s">
        <v>90</v>
      </c>
      <c r="E157" t="s">
        <v>91</v>
      </c>
      <c r="F157" s="1">
        <v>502</v>
      </c>
    </row>
    <row r="158" spans="1:6" x14ac:dyDescent="0.3">
      <c r="A158" t="str">
        <f>_xlfn.XLOOKUP(ColombiaClientes[[#This Row],[Client]],VpsClientes[Client],VpsClientes[VP],"",0)</f>
        <v>Martha Guzman Arango</v>
      </c>
      <c r="B158" t="s">
        <v>171</v>
      </c>
      <c r="C158" t="s">
        <v>191</v>
      </c>
      <c r="D158" t="s">
        <v>90</v>
      </c>
      <c r="E158" t="s">
        <v>91</v>
      </c>
      <c r="F158" s="1">
        <v>473</v>
      </c>
    </row>
    <row r="159" spans="1:6" x14ac:dyDescent="0.3">
      <c r="A159" t="str">
        <f>_xlfn.XLOOKUP(ColombiaClientes[[#This Row],[Client]],VpsClientes[Client],VpsClientes[VP],"",0)</f>
        <v>Martha Guzman Arango</v>
      </c>
      <c r="B159" t="s">
        <v>166</v>
      </c>
      <c r="C159" t="s">
        <v>191</v>
      </c>
      <c r="D159" t="s">
        <v>90</v>
      </c>
      <c r="E159" t="s">
        <v>91</v>
      </c>
      <c r="F159" s="1">
        <v>468</v>
      </c>
    </row>
    <row r="160" spans="1:6" x14ac:dyDescent="0.3">
      <c r="A160" t="str">
        <f>_xlfn.XLOOKUP(ColombiaClientes[[#This Row],[Client]],VpsClientes[Client],VpsClientes[VP],"",0)</f>
        <v>Martha Guzman Arango</v>
      </c>
      <c r="B160" t="s">
        <v>156</v>
      </c>
      <c r="C160" t="s">
        <v>191</v>
      </c>
      <c r="D160" t="s">
        <v>90</v>
      </c>
      <c r="E160" t="s">
        <v>91</v>
      </c>
      <c r="F160" s="1">
        <v>464</v>
      </c>
    </row>
    <row r="161" spans="1:6" x14ac:dyDescent="0.3">
      <c r="A161" t="str">
        <f>_xlfn.XLOOKUP(ColombiaClientes[[#This Row],[Client]],VpsClientes[Client],VpsClientes[VP],"",0)</f>
        <v>Moises Saavedra Garcia</v>
      </c>
      <c r="B161" t="s">
        <v>190</v>
      </c>
      <c r="C161" t="s">
        <v>191</v>
      </c>
      <c r="D161" t="s">
        <v>90</v>
      </c>
      <c r="E161" t="s">
        <v>91</v>
      </c>
      <c r="F161" s="1">
        <v>463</v>
      </c>
    </row>
    <row r="162" spans="1:6" x14ac:dyDescent="0.3">
      <c r="A162" t="str">
        <f>_xlfn.XLOOKUP(ColombiaClientes[[#This Row],[Client]],VpsClientes[Client],VpsClientes[VP],"",0)</f>
        <v>Martha Guzman Arango</v>
      </c>
      <c r="B162" t="s">
        <v>162</v>
      </c>
      <c r="C162" t="s">
        <v>191</v>
      </c>
      <c r="D162" t="s">
        <v>90</v>
      </c>
      <c r="E162" t="s">
        <v>91</v>
      </c>
      <c r="F162" s="1">
        <v>441</v>
      </c>
    </row>
    <row r="163" spans="1:6" x14ac:dyDescent="0.3">
      <c r="A163" t="str">
        <f>_xlfn.XLOOKUP(ColombiaClientes[[#This Row],[Client]],VpsClientes[Client],VpsClientes[VP],"",0)</f>
        <v>Sergio Gomez Perez</v>
      </c>
      <c r="B163" t="s">
        <v>160</v>
      </c>
      <c r="C163" t="s">
        <v>191</v>
      </c>
      <c r="D163" t="s">
        <v>90</v>
      </c>
      <c r="E163" t="s">
        <v>206</v>
      </c>
      <c r="F163" s="1">
        <v>138</v>
      </c>
    </row>
    <row r="164" spans="1:6" x14ac:dyDescent="0.3">
      <c r="A164" t="str">
        <f>_xlfn.XLOOKUP(ColombiaClientes[[#This Row],[Client]],VpsClientes[Client],VpsClientes[VP],"",0)</f>
        <v>Sergio Gomez Perez</v>
      </c>
      <c r="B164" t="s">
        <v>160</v>
      </c>
      <c r="C164" t="s">
        <v>192</v>
      </c>
      <c r="D164" t="s">
        <v>90</v>
      </c>
      <c r="E164" t="s">
        <v>206</v>
      </c>
      <c r="F164" s="1">
        <v>112</v>
      </c>
    </row>
    <row r="165" spans="1:6" x14ac:dyDescent="0.3">
      <c r="A165" t="str">
        <f>_xlfn.XLOOKUP(ColombiaClientes[[#This Row],[Client]],VpsClientes[Client],VpsClientes[VP],"",0)</f>
        <v>Martha Guzman Arango</v>
      </c>
      <c r="B165" t="s">
        <v>145</v>
      </c>
      <c r="C165" t="s">
        <v>191</v>
      </c>
      <c r="D165" t="s">
        <v>90</v>
      </c>
      <c r="E165" t="s">
        <v>91</v>
      </c>
      <c r="F165" s="1">
        <v>413</v>
      </c>
    </row>
    <row r="166" spans="1:6" x14ac:dyDescent="0.3">
      <c r="A166" t="str">
        <f>_xlfn.XLOOKUP(ColombiaClientes[[#This Row],[Client]],VpsClientes[Client],VpsClientes[VP],"",0)</f>
        <v>Moises Saavedra Garcia</v>
      </c>
      <c r="B166" t="s">
        <v>150</v>
      </c>
      <c r="C166" t="s">
        <v>191</v>
      </c>
      <c r="D166" t="s">
        <v>90</v>
      </c>
      <c r="E166" t="s">
        <v>91</v>
      </c>
      <c r="F166" s="1">
        <v>387</v>
      </c>
    </row>
    <row r="167" spans="1:6" x14ac:dyDescent="0.3">
      <c r="A167" t="str">
        <f>_xlfn.XLOOKUP(ColombiaClientes[[#This Row],[Client]],VpsClientes[Client],VpsClientes[VP],"",0)</f>
        <v>Maria Forero Jara</v>
      </c>
      <c r="B167" t="s">
        <v>163</v>
      </c>
      <c r="C167" t="s">
        <v>191</v>
      </c>
      <c r="D167" t="s">
        <v>90</v>
      </c>
      <c r="E167" t="s">
        <v>91</v>
      </c>
      <c r="F167" s="1">
        <v>343</v>
      </c>
    </row>
    <row r="168" spans="1:6" x14ac:dyDescent="0.3">
      <c r="A168" t="str">
        <f>_xlfn.XLOOKUP(ColombiaClientes[[#This Row],[Client]],VpsClientes[Client],VpsClientes[VP],"",0)</f>
        <v>Martha Guzman Arango</v>
      </c>
      <c r="B168" t="s">
        <v>183</v>
      </c>
      <c r="C168" t="s">
        <v>191</v>
      </c>
      <c r="D168" t="s">
        <v>90</v>
      </c>
      <c r="E168" t="s">
        <v>91</v>
      </c>
      <c r="F168" s="1">
        <v>342</v>
      </c>
    </row>
    <row r="169" spans="1:6" x14ac:dyDescent="0.3">
      <c r="A169" t="str">
        <f>_xlfn.XLOOKUP(ColombiaClientes[[#This Row],[Client]],VpsClientes[Client],VpsClientes[VP],"",0)</f>
        <v>Maria Forero Jara</v>
      </c>
      <c r="B169" t="s">
        <v>144</v>
      </c>
      <c r="C169" t="s">
        <v>191</v>
      </c>
      <c r="D169" t="s">
        <v>90</v>
      </c>
      <c r="E169" t="s">
        <v>91</v>
      </c>
      <c r="F169" s="1">
        <v>303</v>
      </c>
    </row>
    <row r="170" spans="1:6" x14ac:dyDescent="0.3">
      <c r="A170" t="str">
        <f>_xlfn.XLOOKUP(ColombiaClientes[[#This Row],[Client]],VpsClientes[Client],VpsClientes[VP],"",0)</f>
        <v>Carlos Beltran Hernandez</v>
      </c>
      <c r="B170" t="s">
        <v>173</v>
      </c>
      <c r="C170" t="s">
        <v>191</v>
      </c>
      <c r="D170" t="s">
        <v>90</v>
      </c>
      <c r="E170" t="s">
        <v>91</v>
      </c>
      <c r="F170" s="1">
        <v>295</v>
      </c>
    </row>
    <row r="171" spans="1:6" x14ac:dyDescent="0.3">
      <c r="A171" t="str">
        <f>_xlfn.XLOOKUP(ColombiaClientes[[#This Row],[Client]],VpsClientes[Client],VpsClientes[VP],"",0)</f>
        <v>Martha Guzman Arango</v>
      </c>
      <c r="B171" t="s">
        <v>165</v>
      </c>
      <c r="C171" t="s">
        <v>191</v>
      </c>
      <c r="D171" t="s">
        <v>90</v>
      </c>
      <c r="E171" t="s">
        <v>91</v>
      </c>
      <c r="F171" s="1">
        <v>279</v>
      </c>
    </row>
    <row r="172" spans="1:6" x14ac:dyDescent="0.3">
      <c r="A172" t="str">
        <f>_xlfn.XLOOKUP(ColombiaClientes[[#This Row],[Client]],VpsClientes[Client],VpsClientes[VP],"",0)</f>
        <v>Jhonatan Izquierdo Rico</v>
      </c>
      <c r="B172" t="s">
        <v>157</v>
      </c>
      <c r="C172" t="s">
        <v>191</v>
      </c>
      <c r="D172" t="s">
        <v>90</v>
      </c>
      <c r="E172" t="s">
        <v>91</v>
      </c>
      <c r="F172" s="1">
        <v>254</v>
      </c>
    </row>
    <row r="173" spans="1:6" x14ac:dyDescent="0.3">
      <c r="A173" t="str">
        <f>_xlfn.XLOOKUP(ColombiaClientes[[#This Row],[Client]],VpsClientes[Client],VpsClientes[VP],"",0)</f>
        <v>Sergio Gomez Perez</v>
      </c>
      <c r="B173" t="s">
        <v>160</v>
      </c>
      <c r="C173" t="s">
        <v>194</v>
      </c>
      <c r="D173" t="s">
        <v>90</v>
      </c>
      <c r="E173" t="s">
        <v>206</v>
      </c>
      <c r="F173" s="1">
        <v>74</v>
      </c>
    </row>
    <row r="174" spans="1:6" x14ac:dyDescent="0.3">
      <c r="A174" t="str">
        <f>_xlfn.XLOOKUP(ColombiaClientes[[#This Row],[Client]],VpsClientes[Client],VpsClientes[VP],"",0)</f>
        <v>Moises Saavedra Garcia</v>
      </c>
      <c r="B174" t="s">
        <v>172</v>
      </c>
      <c r="C174" t="s">
        <v>191</v>
      </c>
      <c r="D174" t="s">
        <v>90</v>
      </c>
      <c r="E174" t="s">
        <v>91</v>
      </c>
      <c r="F174" s="1">
        <v>236</v>
      </c>
    </row>
    <row r="175" spans="1:6" x14ac:dyDescent="0.3">
      <c r="A175" t="str">
        <f>_xlfn.XLOOKUP(ColombiaClientes[[#This Row],[Client]],VpsClientes[Client],VpsClientes[VP],"",0)</f>
        <v>Sergio Gomez Perez</v>
      </c>
      <c r="B175" t="s">
        <v>160</v>
      </c>
      <c r="C175" t="s">
        <v>202</v>
      </c>
      <c r="D175" t="s">
        <v>90</v>
      </c>
      <c r="E175" t="s">
        <v>206</v>
      </c>
      <c r="F175" s="1">
        <v>7</v>
      </c>
    </row>
    <row r="176" spans="1:6" x14ac:dyDescent="0.3">
      <c r="A176" t="str">
        <f>_xlfn.XLOOKUP(ColombiaClientes[[#This Row],[Client]],VpsClientes[Client],VpsClientes[VP],"",0)</f>
        <v>Moises Saavedra Garcia</v>
      </c>
      <c r="B176" t="s">
        <v>175</v>
      </c>
      <c r="C176" t="s">
        <v>191</v>
      </c>
      <c r="D176" t="s">
        <v>90</v>
      </c>
      <c r="E176" t="s">
        <v>91</v>
      </c>
      <c r="F176" s="1">
        <v>232</v>
      </c>
    </row>
    <row r="177" spans="1:6" x14ac:dyDescent="0.3">
      <c r="A177" t="str">
        <f>_xlfn.XLOOKUP(ColombiaClientes[[#This Row],[Client]],VpsClientes[Client],VpsClientes[VP],"",0)</f>
        <v>Martha Guzman Arango</v>
      </c>
      <c r="B177" t="s">
        <v>153</v>
      </c>
      <c r="C177" t="s">
        <v>191</v>
      </c>
      <c r="D177" t="s">
        <v>90</v>
      </c>
      <c r="E177" t="s">
        <v>91</v>
      </c>
      <c r="F177" s="1">
        <v>226</v>
      </c>
    </row>
    <row r="178" spans="1:6" x14ac:dyDescent="0.3">
      <c r="A178" t="str">
        <f>_xlfn.XLOOKUP(ColombiaClientes[[#This Row],[Client]],VpsClientes[Client],VpsClientes[VP],"",0)</f>
        <v>Sergio Gomez Perez</v>
      </c>
      <c r="B178" t="s">
        <v>160</v>
      </c>
      <c r="C178" t="s">
        <v>92</v>
      </c>
      <c r="D178" t="s">
        <v>219</v>
      </c>
      <c r="E178" t="s">
        <v>91</v>
      </c>
      <c r="F178" s="1">
        <v>117</v>
      </c>
    </row>
    <row r="179" spans="1:6" x14ac:dyDescent="0.3">
      <c r="A179" t="str">
        <f>_xlfn.XLOOKUP(ColombiaClientes[[#This Row],[Client]],VpsClientes[Client],VpsClientes[VP],"",0)</f>
        <v>Maria Forero Jara</v>
      </c>
      <c r="B179" t="s">
        <v>161</v>
      </c>
      <c r="C179" t="s">
        <v>191</v>
      </c>
      <c r="D179" t="s">
        <v>90</v>
      </c>
      <c r="E179" t="s">
        <v>91</v>
      </c>
      <c r="F179" s="1">
        <v>182</v>
      </c>
    </row>
    <row r="180" spans="1:6" x14ac:dyDescent="0.3">
      <c r="A180" t="str">
        <f>_xlfn.XLOOKUP(ColombiaClientes[[#This Row],[Client]],VpsClientes[Client],VpsClientes[VP],"",0)</f>
        <v>Martha Guzman Arango</v>
      </c>
      <c r="B180" t="s">
        <v>169</v>
      </c>
      <c r="C180" t="s">
        <v>191</v>
      </c>
      <c r="D180" t="s">
        <v>90</v>
      </c>
      <c r="E180" t="s">
        <v>91</v>
      </c>
      <c r="F180" s="1">
        <v>181</v>
      </c>
    </row>
    <row r="181" spans="1:6" x14ac:dyDescent="0.3">
      <c r="A181" t="str">
        <f>_xlfn.XLOOKUP(ColombiaClientes[[#This Row],[Client]],VpsClientes[Client],VpsClientes[VP],"",0)</f>
        <v>Juan Granados Castillo</v>
      </c>
      <c r="B181" t="s">
        <v>149</v>
      </c>
      <c r="C181" t="s">
        <v>191</v>
      </c>
      <c r="D181" t="s">
        <v>90</v>
      </c>
      <c r="E181" t="s">
        <v>91</v>
      </c>
      <c r="F181" s="1">
        <v>174</v>
      </c>
    </row>
    <row r="182" spans="1:6" x14ac:dyDescent="0.3">
      <c r="A182" t="str">
        <f>_xlfn.XLOOKUP(ColombiaClientes[[#This Row],[Client]],VpsClientes[Client],VpsClientes[VP],"",0)</f>
        <v>Martha Guzman Arango</v>
      </c>
      <c r="B182" t="s">
        <v>174</v>
      </c>
      <c r="C182" t="s">
        <v>191</v>
      </c>
      <c r="D182" t="s">
        <v>90</v>
      </c>
      <c r="E182" t="s">
        <v>91</v>
      </c>
      <c r="F182" s="1">
        <v>173</v>
      </c>
    </row>
    <row r="183" spans="1:6" x14ac:dyDescent="0.3">
      <c r="A183" t="str">
        <f>_xlfn.XLOOKUP(ColombiaClientes[[#This Row],[Client]],VpsClientes[Client],VpsClientes[VP],"",0)</f>
        <v>Martha Guzman Arango</v>
      </c>
      <c r="B183" t="s">
        <v>176</v>
      </c>
      <c r="C183" t="s">
        <v>191</v>
      </c>
      <c r="D183" t="s">
        <v>90</v>
      </c>
      <c r="E183" t="s">
        <v>91</v>
      </c>
      <c r="F183" s="1">
        <v>164</v>
      </c>
    </row>
    <row r="184" spans="1:6" x14ac:dyDescent="0.3">
      <c r="A184" t="str">
        <f>_xlfn.XLOOKUP(ColombiaClientes[[#This Row],[Client]],VpsClientes[Client],VpsClientes[VP],"",0)</f>
        <v>Carlos Beltran Hernandez</v>
      </c>
      <c r="B184" t="s">
        <v>158</v>
      </c>
      <c r="C184" t="s">
        <v>191</v>
      </c>
      <c r="D184" t="s">
        <v>90</v>
      </c>
      <c r="E184" t="s">
        <v>91</v>
      </c>
      <c r="F184" s="1">
        <v>160</v>
      </c>
    </row>
    <row r="185" spans="1:6" x14ac:dyDescent="0.3">
      <c r="A185" t="str">
        <f>_xlfn.XLOOKUP(ColombiaClientes[[#This Row],[Client]],VpsClientes[Client],VpsClientes[VP],"",0)</f>
        <v>Martha Guzman Arango</v>
      </c>
      <c r="B185" t="s">
        <v>185</v>
      </c>
      <c r="C185" t="s">
        <v>191</v>
      </c>
      <c r="D185" t="s">
        <v>90</v>
      </c>
      <c r="E185" t="s">
        <v>91</v>
      </c>
      <c r="F185" s="1">
        <v>153</v>
      </c>
    </row>
    <row r="186" spans="1:6" x14ac:dyDescent="0.3">
      <c r="A186" t="str">
        <f>_xlfn.XLOOKUP(ColombiaClientes[[#This Row],[Client]],VpsClientes[Client],VpsClientes[VP],"",0)</f>
        <v>Hector Muraira Garza</v>
      </c>
      <c r="B186" t="s">
        <v>164</v>
      </c>
      <c r="C186" t="s">
        <v>191</v>
      </c>
      <c r="D186" t="s">
        <v>90</v>
      </c>
      <c r="E186" t="s">
        <v>91</v>
      </c>
      <c r="F186" s="1">
        <v>143</v>
      </c>
    </row>
    <row r="187" spans="1:6" x14ac:dyDescent="0.3">
      <c r="A187" t="str">
        <f>_xlfn.XLOOKUP(ColombiaClientes[[#This Row],[Client]],VpsClientes[Client],VpsClientes[VP],"",0)</f>
        <v>Martha Guzman Arango</v>
      </c>
      <c r="B187" t="s">
        <v>155</v>
      </c>
      <c r="C187" t="s">
        <v>191</v>
      </c>
      <c r="D187" t="s">
        <v>90</v>
      </c>
      <c r="E187" t="s">
        <v>91</v>
      </c>
      <c r="F187" s="1">
        <v>133</v>
      </c>
    </row>
    <row r="188" spans="1:6" x14ac:dyDescent="0.3">
      <c r="A188" t="str">
        <f>_xlfn.XLOOKUP(ColombiaClientes[[#This Row],[Client]],VpsClientes[Client],VpsClientes[VP],"",0)</f>
        <v>Jhonatan Izquierdo Rico</v>
      </c>
      <c r="B188" t="s">
        <v>159</v>
      </c>
      <c r="C188" t="s">
        <v>191</v>
      </c>
      <c r="D188" t="s">
        <v>90</v>
      </c>
      <c r="E188" t="s">
        <v>91</v>
      </c>
      <c r="F188" s="1">
        <v>132</v>
      </c>
    </row>
    <row r="189" spans="1:6" x14ac:dyDescent="0.3">
      <c r="A189" t="str">
        <f>_xlfn.XLOOKUP(ColombiaClientes[[#This Row],[Client]],VpsClientes[Client],VpsClientes[VP],"",0)</f>
        <v>Hector Muraira Garza</v>
      </c>
      <c r="B189" t="s">
        <v>167</v>
      </c>
      <c r="C189" t="s">
        <v>191</v>
      </c>
      <c r="D189" t="s">
        <v>90</v>
      </c>
      <c r="E189" t="s">
        <v>91</v>
      </c>
      <c r="F189" s="1">
        <v>132</v>
      </c>
    </row>
    <row r="190" spans="1:6" x14ac:dyDescent="0.3">
      <c r="A190" t="str">
        <f>_xlfn.XLOOKUP(ColombiaClientes[[#This Row],[Client]],VpsClientes[Client],VpsClientes[VP],"",0)</f>
        <v>Maria Forero Jara</v>
      </c>
      <c r="B190" t="s">
        <v>182</v>
      </c>
      <c r="C190" t="s">
        <v>191</v>
      </c>
      <c r="D190" t="s">
        <v>90</v>
      </c>
      <c r="E190" t="s">
        <v>91</v>
      </c>
      <c r="F190" s="1">
        <v>73</v>
      </c>
    </row>
    <row r="191" spans="1:6" x14ac:dyDescent="0.3">
      <c r="A191" t="str">
        <f>_xlfn.XLOOKUP(ColombiaClientes[[#This Row],[Client]],VpsClientes[Client],VpsClientes[VP],"",0)</f>
        <v>Maria Forero Jara</v>
      </c>
      <c r="B191" t="s">
        <v>179</v>
      </c>
      <c r="C191" t="s">
        <v>191</v>
      </c>
      <c r="D191" t="s">
        <v>90</v>
      </c>
      <c r="E191" t="s">
        <v>91</v>
      </c>
      <c r="F191" s="1">
        <v>60</v>
      </c>
    </row>
    <row r="192" spans="1:6" x14ac:dyDescent="0.3">
      <c r="A192" t="str">
        <f>_xlfn.XLOOKUP(ColombiaClientes[[#This Row],[Client]],VpsClientes[Client],VpsClientes[VP],"",0)</f>
        <v>Moises Saavedra Garcia</v>
      </c>
      <c r="B192" t="s">
        <v>187</v>
      </c>
      <c r="C192" t="s">
        <v>191</v>
      </c>
      <c r="D192" t="s">
        <v>90</v>
      </c>
      <c r="E192" t="s">
        <v>91</v>
      </c>
      <c r="F192" s="1">
        <v>51</v>
      </c>
    </row>
    <row r="193" spans="1:6" x14ac:dyDescent="0.3">
      <c r="A193" t="str">
        <f>_xlfn.XLOOKUP(ColombiaClientes[[#This Row],[Client]],VpsClientes[Client],VpsClientes[VP],"",0)</f>
        <v>Sergio Gomez Perez</v>
      </c>
      <c r="B193" t="s">
        <v>160</v>
      </c>
      <c r="C193" t="s">
        <v>191</v>
      </c>
      <c r="D193" t="s">
        <v>219</v>
      </c>
      <c r="E193" t="s">
        <v>91</v>
      </c>
      <c r="F193" s="1">
        <v>164</v>
      </c>
    </row>
    <row r="194" spans="1:6" x14ac:dyDescent="0.3">
      <c r="A194" t="str">
        <f>_xlfn.XLOOKUP(ColombiaClientes[[#This Row],[Client]],VpsClientes[Client],VpsClientes[VP],"",0)</f>
        <v>Martha Guzman Arango</v>
      </c>
      <c r="B194" t="s">
        <v>186</v>
      </c>
      <c r="C194" t="s">
        <v>191</v>
      </c>
      <c r="D194" t="s">
        <v>90</v>
      </c>
      <c r="E194" t="s">
        <v>91</v>
      </c>
      <c r="F194" s="1">
        <v>20</v>
      </c>
    </row>
    <row r="195" spans="1:6" x14ac:dyDescent="0.3">
      <c r="A195" t="str">
        <f>_xlfn.XLOOKUP(ColombiaClientes[[#This Row],[Client]],VpsClientes[Client],VpsClientes[VP],"",0)</f>
        <v>Martha Guzman Arango</v>
      </c>
      <c r="B195" t="s">
        <v>188</v>
      </c>
      <c r="C195" t="s">
        <v>191</v>
      </c>
      <c r="D195" t="s">
        <v>90</v>
      </c>
      <c r="E195" t="s">
        <v>91</v>
      </c>
      <c r="F195" s="1">
        <v>19</v>
      </c>
    </row>
    <row r="196" spans="1:6" x14ac:dyDescent="0.3">
      <c r="A196" t="str">
        <f>_xlfn.XLOOKUP(ColombiaClientes[[#This Row],[Client]],VpsClientes[Client],VpsClientes[VP],"",0)</f>
        <v>Sergio Gomez Perez</v>
      </c>
      <c r="B196" t="s">
        <v>160</v>
      </c>
      <c r="C196" t="s">
        <v>192</v>
      </c>
      <c r="D196" t="s">
        <v>219</v>
      </c>
      <c r="E196" t="s">
        <v>91</v>
      </c>
      <c r="F196" s="1">
        <v>108</v>
      </c>
    </row>
    <row r="197" spans="1:6" x14ac:dyDescent="0.3">
      <c r="A197" t="str">
        <f>_xlfn.XLOOKUP(ColombiaClientes[[#This Row],[Client]],VpsClientes[Client],VpsClientes[VP],"",0)</f>
        <v>Martha Guzman Arango</v>
      </c>
      <c r="B197" t="s">
        <v>189</v>
      </c>
      <c r="C197" t="s">
        <v>191</v>
      </c>
      <c r="D197" t="s">
        <v>90</v>
      </c>
      <c r="E197" t="s">
        <v>91</v>
      </c>
      <c r="F197" s="1">
        <v>1</v>
      </c>
    </row>
    <row r="198" spans="1:6" x14ac:dyDescent="0.3">
      <c r="A198" t="str">
        <f>_xlfn.XLOOKUP(ColombiaClientes[[#This Row],[Client]],VpsClientes[Client],VpsClientes[VP],"",0)</f>
        <v>Carlos Beltran Hernandez</v>
      </c>
      <c r="B198" t="s">
        <v>93</v>
      </c>
      <c r="C198" t="s">
        <v>192</v>
      </c>
      <c r="D198" t="s">
        <v>90</v>
      </c>
      <c r="E198" t="s">
        <v>91</v>
      </c>
      <c r="F198" s="1">
        <v>29191</v>
      </c>
    </row>
    <row r="199" spans="1:6" x14ac:dyDescent="0.3">
      <c r="A199" t="str">
        <f>_xlfn.XLOOKUP(ColombiaClientes[[#This Row],[Client]],VpsClientes[Client],VpsClientes[VP],"",0)</f>
        <v>Martha Guzman Arango</v>
      </c>
      <c r="B199" t="s">
        <v>96</v>
      </c>
      <c r="C199" t="s">
        <v>192</v>
      </c>
      <c r="D199" t="s">
        <v>90</v>
      </c>
      <c r="E199" t="s">
        <v>91</v>
      </c>
      <c r="F199" s="1">
        <v>20571</v>
      </c>
    </row>
    <row r="200" spans="1:6" x14ac:dyDescent="0.3">
      <c r="A200" t="str">
        <f>_xlfn.XLOOKUP(ColombiaClientes[[#This Row],[Client]],VpsClientes[Client],VpsClientes[VP],"",0)</f>
        <v>Ludy Torres Benitez</v>
      </c>
      <c r="B200" t="s">
        <v>95</v>
      </c>
      <c r="C200" t="s">
        <v>192</v>
      </c>
      <c r="D200" t="s">
        <v>90</v>
      </c>
      <c r="E200" t="s">
        <v>91</v>
      </c>
      <c r="F200" s="1">
        <v>20336</v>
      </c>
    </row>
    <row r="201" spans="1:6" x14ac:dyDescent="0.3">
      <c r="A201" t="str">
        <f>_xlfn.XLOOKUP(ColombiaClientes[[#This Row],[Client]],VpsClientes[Client],VpsClientes[VP],"",0)</f>
        <v>Carlos Beltran Hernandez</v>
      </c>
      <c r="B201" t="s">
        <v>94</v>
      </c>
      <c r="C201" t="s">
        <v>192</v>
      </c>
      <c r="D201" t="s">
        <v>90</v>
      </c>
      <c r="E201" t="s">
        <v>91</v>
      </c>
      <c r="F201" s="1">
        <v>16641</v>
      </c>
    </row>
    <row r="202" spans="1:6" x14ac:dyDescent="0.3">
      <c r="A202" t="str">
        <f>_xlfn.XLOOKUP(ColombiaClientes[[#This Row],[Client]],VpsClientes[Client],VpsClientes[VP],"",0)</f>
        <v>Moises Saavedra Garcia</v>
      </c>
      <c r="B202" t="s">
        <v>99</v>
      </c>
      <c r="C202" t="s">
        <v>192</v>
      </c>
      <c r="D202" t="s">
        <v>90</v>
      </c>
      <c r="E202" t="s">
        <v>91</v>
      </c>
      <c r="F202" s="1">
        <v>10885</v>
      </c>
    </row>
    <row r="203" spans="1:6" x14ac:dyDescent="0.3">
      <c r="A203" t="str">
        <f>_xlfn.XLOOKUP(ColombiaClientes[[#This Row],[Client]],VpsClientes[Client],VpsClientes[VP],"",0)</f>
        <v>Martha Guzman Arango</v>
      </c>
      <c r="B203" t="s">
        <v>98</v>
      </c>
      <c r="C203" t="s">
        <v>192</v>
      </c>
      <c r="D203" t="s">
        <v>90</v>
      </c>
      <c r="E203" t="s">
        <v>91</v>
      </c>
      <c r="F203" s="1">
        <v>8968</v>
      </c>
    </row>
    <row r="204" spans="1:6" x14ac:dyDescent="0.3">
      <c r="A204" t="str">
        <f>_xlfn.XLOOKUP(ColombiaClientes[[#This Row],[Client]],VpsClientes[Client],VpsClientes[VP],"",0)</f>
        <v>Maria Forero Jara</v>
      </c>
      <c r="B204" t="s">
        <v>123</v>
      </c>
      <c r="C204" t="s">
        <v>192</v>
      </c>
      <c r="D204" t="s">
        <v>90</v>
      </c>
      <c r="E204" t="s">
        <v>91</v>
      </c>
      <c r="F204" s="1">
        <v>8494</v>
      </c>
    </row>
    <row r="205" spans="1:6" x14ac:dyDescent="0.3">
      <c r="A205" t="str">
        <f>_xlfn.XLOOKUP(ColombiaClientes[[#This Row],[Client]],VpsClientes[Client],VpsClientes[VP],"",0)</f>
        <v>Maria Forero Jara</v>
      </c>
      <c r="B205" t="s">
        <v>111</v>
      </c>
      <c r="C205" t="s">
        <v>192</v>
      </c>
      <c r="D205" t="s">
        <v>90</v>
      </c>
      <c r="E205" t="s">
        <v>91</v>
      </c>
      <c r="F205" s="1">
        <v>8328</v>
      </c>
    </row>
    <row r="206" spans="1:6" x14ac:dyDescent="0.3">
      <c r="A206" t="str">
        <f>_xlfn.XLOOKUP(ColombiaClientes[[#This Row],[Client]],VpsClientes[Client],VpsClientes[VP],"",0)</f>
        <v>Maria Forero Jara</v>
      </c>
      <c r="B206" t="s">
        <v>101</v>
      </c>
      <c r="C206" t="s">
        <v>192</v>
      </c>
      <c r="D206" t="s">
        <v>90</v>
      </c>
      <c r="E206" t="s">
        <v>91</v>
      </c>
      <c r="F206" s="1">
        <v>7929</v>
      </c>
    </row>
    <row r="207" spans="1:6" x14ac:dyDescent="0.3">
      <c r="A207" t="str">
        <f>_xlfn.XLOOKUP(ColombiaClientes[[#This Row],[Client]],VpsClientes[Client],VpsClientes[VP],"",0)</f>
        <v>Maria Forero Jara</v>
      </c>
      <c r="B207" t="s">
        <v>106</v>
      </c>
      <c r="C207" t="s">
        <v>192</v>
      </c>
      <c r="D207" t="s">
        <v>90</v>
      </c>
      <c r="E207" t="s">
        <v>91</v>
      </c>
      <c r="F207" s="1">
        <v>7179</v>
      </c>
    </row>
    <row r="208" spans="1:6" x14ac:dyDescent="0.3">
      <c r="A208" t="str">
        <f>_xlfn.XLOOKUP(ColombiaClientes[[#This Row],[Client]],VpsClientes[Client],VpsClientes[VP],"",0)</f>
        <v>Martha Guzman Arango</v>
      </c>
      <c r="B208" t="s">
        <v>103</v>
      </c>
      <c r="C208" t="s">
        <v>192</v>
      </c>
      <c r="D208" t="s">
        <v>90</v>
      </c>
      <c r="E208" t="s">
        <v>91</v>
      </c>
      <c r="F208" s="1">
        <v>7135</v>
      </c>
    </row>
    <row r="209" spans="1:6" x14ac:dyDescent="0.3">
      <c r="A209" t="str">
        <f>_xlfn.XLOOKUP(ColombiaClientes[[#This Row],[Client]],VpsClientes[Client],VpsClientes[VP],"",0)</f>
        <v>Carlos Castillo Figueroa</v>
      </c>
      <c r="B209" t="s">
        <v>105</v>
      </c>
      <c r="C209" t="s">
        <v>192</v>
      </c>
      <c r="D209" t="s">
        <v>90</v>
      </c>
      <c r="E209" t="s">
        <v>91</v>
      </c>
      <c r="F209" s="1">
        <v>6791</v>
      </c>
    </row>
    <row r="210" spans="1:6" x14ac:dyDescent="0.3">
      <c r="A210" t="str">
        <f>_xlfn.XLOOKUP(ColombiaClientes[[#This Row],[Client]],VpsClientes[Client],VpsClientes[VP],"",0)</f>
        <v>Jhonatan Izquierdo Rico</v>
      </c>
      <c r="B210" t="s">
        <v>104</v>
      </c>
      <c r="C210" t="s">
        <v>192</v>
      </c>
      <c r="D210" t="s">
        <v>90</v>
      </c>
      <c r="E210" t="s">
        <v>91</v>
      </c>
      <c r="F210" s="1">
        <v>6228</v>
      </c>
    </row>
    <row r="211" spans="1:6" x14ac:dyDescent="0.3">
      <c r="A211" t="str">
        <f>_xlfn.XLOOKUP(ColombiaClientes[[#This Row],[Client]],VpsClientes[Client],VpsClientes[VP],"",0)</f>
        <v>Maria Forero Jara</v>
      </c>
      <c r="B211" t="s">
        <v>108</v>
      </c>
      <c r="C211" t="s">
        <v>192</v>
      </c>
      <c r="D211" t="s">
        <v>90</v>
      </c>
      <c r="E211" t="s">
        <v>91</v>
      </c>
      <c r="F211" s="1">
        <v>6058</v>
      </c>
    </row>
    <row r="212" spans="1:6" x14ac:dyDescent="0.3">
      <c r="A212" t="str">
        <f>_xlfn.XLOOKUP(ColombiaClientes[[#This Row],[Client]],VpsClientes[Client],VpsClientes[VP],"",0)</f>
        <v>Jhonatan Izquierdo Rico</v>
      </c>
      <c r="B212" t="s">
        <v>107</v>
      </c>
      <c r="C212" t="s">
        <v>192</v>
      </c>
      <c r="D212" t="s">
        <v>90</v>
      </c>
      <c r="E212" t="s">
        <v>91</v>
      </c>
      <c r="F212" s="1">
        <v>5993</v>
      </c>
    </row>
    <row r="213" spans="1:6" x14ac:dyDescent="0.3">
      <c r="A213" t="str">
        <f>_xlfn.XLOOKUP(ColombiaClientes[[#This Row],[Client]],VpsClientes[Client],VpsClientes[VP],"",0)</f>
        <v>Carlos Beltran Hernandez</v>
      </c>
      <c r="B213" t="s">
        <v>102</v>
      </c>
      <c r="C213" t="s">
        <v>192</v>
      </c>
      <c r="D213" t="s">
        <v>90</v>
      </c>
      <c r="E213" t="s">
        <v>91</v>
      </c>
      <c r="F213" s="1">
        <v>5838</v>
      </c>
    </row>
    <row r="214" spans="1:6" x14ac:dyDescent="0.3">
      <c r="A214" t="str">
        <f>_xlfn.XLOOKUP(ColombiaClientes[[#This Row],[Client]],VpsClientes[Client],VpsClientes[VP],"",0)</f>
        <v>Martha Guzman Arango</v>
      </c>
      <c r="B214" t="s">
        <v>100</v>
      </c>
      <c r="C214" t="s">
        <v>192</v>
      </c>
      <c r="D214" t="s">
        <v>90</v>
      </c>
      <c r="E214" t="s">
        <v>91</v>
      </c>
      <c r="F214" s="1">
        <v>5651</v>
      </c>
    </row>
    <row r="215" spans="1:6" x14ac:dyDescent="0.3">
      <c r="A215" t="str">
        <f>_xlfn.XLOOKUP(ColombiaClientes[[#This Row],[Client]],VpsClientes[Client],VpsClientes[VP],"",0)</f>
        <v>Ernesto Rico Zuluaga</v>
      </c>
      <c r="B215" t="s">
        <v>116</v>
      </c>
      <c r="C215" t="s">
        <v>192</v>
      </c>
      <c r="D215" t="s">
        <v>90</v>
      </c>
      <c r="E215" t="s">
        <v>91</v>
      </c>
      <c r="F215" s="1">
        <v>4503</v>
      </c>
    </row>
    <row r="216" spans="1:6" x14ac:dyDescent="0.3">
      <c r="A216" t="str">
        <f>_xlfn.XLOOKUP(ColombiaClientes[[#This Row],[Client]],VpsClientes[Client],VpsClientes[VP],"",0)</f>
        <v>Martha Guzman Arango</v>
      </c>
      <c r="B216" t="s">
        <v>124</v>
      </c>
      <c r="C216" t="s">
        <v>192</v>
      </c>
      <c r="D216" t="s">
        <v>90</v>
      </c>
      <c r="E216" t="s">
        <v>91</v>
      </c>
      <c r="F216" s="1">
        <v>4219</v>
      </c>
    </row>
    <row r="217" spans="1:6" x14ac:dyDescent="0.3">
      <c r="A217" t="str">
        <f>_xlfn.XLOOKUP(ColombiaClientes[[#This Row],[Client]],VpsClientes[Client],VpsClientes[VP],"",0)</f>
        <v>Martha Guzman Arango</v>
      </c>
      <c r="B217" t="s">
        <v>97</v>
      </c>
      <c r="C217" t="s">
        <v>192</v>
      </c>
      <c r="D217" t="s">
        <v>90</v>
      </c>
      <c r="E217" t="s">
        <v>91</v>
      </c>
      <c r="F217" s="1">
        <v>4081</v>
      </c>
    </row>
    <row r="218" spans="1:6" x14ac:dyDescent="0.3">
      <c r="A218" t="str">
        <f>_xlfn.XLOOKUP(ColombiaClientes[[#This Row],[Client]],VpsClientes[Client],VpsClientes[VP],"",0)</f>
        <v>Martha Guzman Arango</v>
      </c>
      <c r="B218" t="s">
        <v>109</v>
      </c>
      <c r="C218" t="s">
        <v>192</v>
      </c>
      <c r="D218" t="s">
        <v>90</v>
      </c>
      <c r="E218" t="s">
        <v>91</v>
      </c>
      <c r="F218" s="1">
        <v>4073</v>
      </c>
    </row>
    <row r="219" spans="1:6" x14ac:dyDescent="0.3">
      <c r="A219" t="str">
        <f>_xlfn.XLOOKUP(ColombiaClientes[[#This Row],[Client]],VpsClientes[Client],VpsClientes[VP],"",0)</f>
        <v>Martha Guzman Arango</v>
      </c>
      <c r="B219" t="s">
        <v>122</v>
      </c>
      <c r="C219" t="s">
        <v>192</v>
      </c>
      <c r="D219" t="s">
        <v>90</v>
      </c>
      <c r="E219" t="s">
        <v>91</v>
      </c>
      <c r="F219" s="1">
        <v>3883</v>
      </c>
    </row>
    <row r="220" spans="1:6" x14ac:dyDescent="0.3">
      <c r="A220" t="str">
        <f>_xlfn.XLOOKUP(ColombiaClientes[[#This Row],[Client]],VpsClientes[Client],VpsClientes[VP],"",0)</f>
        <v>Moises Saavedra Garcia</v>
      </c>
      <c r="B220" t="s">
        <v>110</v>
      </c>
      <c r="C220" t="s">
        <v>192</v>
      </c>
      <c r="D220" t="s">
        <v>90</v>
      </c>
      <c r="E220" t="s">
        <v>91</v>
      </c>
      <c r="F220" s="1">
        <v>3604</v>
      </c>
    </row>
    <row r="221" spans="1:6" x14ac:dyDescent="0.3">
      <c r="A221" t="str">
        <f>_xlfn.XLOOKUP(ColombiaClientes[[#This Row],[Client]],VpsClientes[Client],VpsClientes[VP],"",0)</f>
        <v>Jhonatan Izquierdo Rico</v>
      </c>
      <c r="B221" t="s">
        <v>112</v>
      </c>
      <c r="C221" t="s">
        <v>192</v>
      </c>
      <c r="D221" t="s">
        <v>90</v>
      </c>
      <c r="E221" t="s">
        <v>91</v>
      </c>
      <c r="F221" s="1">
        <v>3381</v>
      </c>
    </row>
    <row r="222" spans="1:6" x14ac:dyDescent="0.3">
      <c r="A222" t="str">
        <f>_xlfn.XLOOKUP(ColombiaClientes[[#This Row],[Client]],VpsClientes[Client],VpsClientes[VP],"",0)</f>
        <v>Jhonatan Izquierdo Rico</v>
      </c>
      <c r="B222" t="s">
        <v>128</v>
      </c>
      <c r="C222" t="s">
        <v>192</v>
      </c>
      <c r="D222" t="s">
        <v>90</v>
      </c>
      <c r="E222" t="s">
        <v>91</v>
      </c>
      <c r="F222" s="1">
        <v>3366</v>
      </c>
    </row>
    <row r="223" spans="1:6" x14ac:dyDescent="0.3">
      <c r="A223" t="str">
        <f>_xlfn.XLOOKUP(ColombiaClientes[[#This Row],[Client]],VpsClientes[Client],VpsClientes[VP],"",0)</f>
        <v>Martha Guzman Arango</v>
      </c>
      <c r="B223" t="s">
        <v>114</v>
      </c>
      <c r="C223" t="s">
        <v>192</v>
      </c>
      <c r="D223" t="s">
        <v>90</v>
      </c>
      <c r="E223" t="s">
        <v>91</v>
      </c>
      <c r="F223" s="1">
        <v>3310</v>
      </c>
    </row>
    <row r="224" spans="1:6" x14ac:dyDescent="0.3">
      <c r="A224" t="str">
        <f>_xlfn.XLOOKUP(ColombiaClientes[[#This Row],[Client]],VpsClientes[Client],VpsClientes[VP],"",0)</f>
        <v>Ernesto Rico Zuluaga</v>
      </c>
      <c r="B224" t="s">
        <v>121</v>
      </c>
      <c r="C224" t="s">
        <v>192</v>
      </c>
      <c r="D224" t="s">
        <v>90</v>
      </c>
      <c r="E224" t="s">
        <v>91</v>
      </c>
      <c r="F224" s="1">
        <v>3012</v>
      </c>
    </row>
    <row r="225" spans="1:6" x14ac:dyDescent="0.3">
      <c r="A225" t="str">
        <f>_xlfn.XLOOKUP(ColombiaClientes[[#This Row],[Client]],VpsClientes[Client],VpsClientes[VP],"",0)</f>
        <v>Moises Saavedra Garcia</v>
      </c>
      <c r="B225" t="s">
        <v>115</v>
      </c>
      <c r="C225" t="s">
        <v>192</v>
      </c>
      <c r="D225" t="s">
        <v>90</v>
      </c>
      <c r="E225" t="s">
        <v>91</v>
      </c>
      <c r="F225" s="1">
        <v>2867</v>
      </c>
    </row>
    <row r="226" spans="1:6" x14ac:dyDescent="0.3">
      <c r="A226" t="str">
        <f>_xlfn.XLOOKUP(ColombiaClientes[[#This Row],[Client]],VpsClientes[Client],VpsClientes[VP],"",0)</f>
        <v>Sandra Romero Zuluaga</v>
      </c>
      <c r="B226" t="s">
        <v>113</v>
      </c>
      <c r="C226" t="s">
        <v>192</v>
      </c>
      <c r="D226" t="s">
        <v>90</v>
      </c>
      <c r="E226" t="s">
        <v>91</v>
      </c>
      <c r="F226" s="1">
        <v>2694</v>
      </c>
    </row>
    <row r="227" spans="1:6" x14ac:dyDescent="0.3">
      <c r="A227" t="str">
        <f>_xlfn.XLOOKUP(ColombiaClientes[[#This Row],[Client]],VpsClientes[Client],VpsClientes[VP],"",0)</f>
        <v>Martha Guzman Arango</v>
      </c>
      <c r="B227" t="s">
        <v>118</v>
      </c>
      <c r="C227" t="s">
        <v>192</v>
      </c>
      <c r="D227" t="s">
        <v>90</v>
      </c>
      <c r="E227" t="s">
        <v>91</v>
      </c>
      <c r="F227" s="1">
        <v>2496</v>
      </c>
    </row>
    <row r="228" spans="1:6" x14ac:dyDescent="0.3">
      <c r="A228" t="str">
        <f>_xlfn.XLOOKUP(ColombiaClientes[[#This Row],[Client]],VpsClientes[Client],VpsClientes[VP],"",0)</f>
        <v>Hector Muraira Garza</v>
      </c>
      <c r="B228" t="s">
        <v>130</v>
      </c>
      <c r="C228" t="s">
        <v>192</v>
      </c>
      <c r="D228" t="s">
        <v>90</v>
      </c>
      <c r="E228" t="s">
        <v>91</v>
      </c>
      <c r="F228" s="1">
        <v>2252</v>
      </c>
    </row>
    <row r="229" spans="1:6" x14ac:dyDescent="0.3">
      <c r="A229" t="str">
        <f>_xlfn.XLOOKUP(ColombiaClientes[[#This Row],[Client]],VpsClientes[Client],VpsClientes[VP],"",0)</f>
        <v>Maria Forero Jara</v>
      </c>
      <c r="B229" t="s">
        <v>125</v>
      </c>
      <c r="C229" t="s">
        <v>192</v>
      </c>
      <c r="D229" t="s">
        <v>90</v>
      </c>
      <c r="E229" t="s">
        <v>91</v>
      </c>
      <c r="F229" s="1">
        <v>2250</v>
      </c>
    </row>
    <row r="230" spans="1:6" x14ac:dyDescent="0.3">
      <c r="A230" t="str">
        <f>_xlfn.XLOOKUP(ColombiaClientes[[#This Row],[Client]],VpsClientes[Client],VpsClientes[VP],"",0)</f>
        <v>Carlos Beltran Hernandez</v>
      </c>
      <c r="B230" t="s">
        <v>119</v>
      </c>
      <c r="C230" t="s">
        <v>192</v>
      </c>
      <c r="D230" t="s">
        <v>90</v>
      </c>
      <c r="E230" t="s">
        <v>91</v>
      </c>
      <c r="F230" s="1">
        <v>1861</v>
      </c>
    </row>
    <row r="231" spans="1:6" x14ac:dyDescent="0.3">
      <c r="A231" t="str">
        <f>_xlfn.XLOOKUP(ColombiaClientes[[#This Row],[Client]],VpsClientes[Client],VpsClientes[VP],"",0)</f>
        <v>Carlos Beltran Hernandez</v>
      </c>
      <c r="B231" t="s">
        <v>151</v>
      </c>
      <c r="C231" t="s">
        <v>192</v>
      </c>
      <c r="D231" t="s">
        <v>90</v>
      </c>
      <c r="E231" t="s">
        <v>91</v>
      </c>
      <c r="F231" s="1">
        <v>1772</v>
      </c>
    </row>
    <row r="232" spans="1:6" x14ac:dyDescent="0.3">
      <c r="A232" t="str">
        <f>_xlfn.XLOOKUP(ColombiaClientes[[#This Row],[Client]],VpsClientes[Client],VpsClientes[VP],"",0)</f>
        <v>Juan Granados Castillo</v>
      </c>
      <c r="B232" t="s">
        <v>136</v>
      </c>
      <c r="C232" t="s">
        <v>192</v>
      </c>
      <c r="D232" t="s">
        <v>90</v>
      </c>
      <c r="E232" t="s">
        <v>91</v>
      </c>
      <c r="F232" s="1">
        <v>1696</v>
      </c>
    </row>
    <row r="233" spans="1:6" x14ac:dyDescent="0.3">
      <c r="A233" t="str">
        <f>_xlfn.XLOOKUP(ColombiaClientes[[#This Row],[Client]],VpsClientes[Client],VpsClientes[VP],"",0)</f>
        <v>Moises Saavedra Garcia</v>
      </c>
      <c r="B233" t="s">
        <v>120</v>
      </c>
      <c r="C233" t="s">
        <v>192</v>
      </c>
      <c r="D233" t="s">
        <v>90</v>
      </c>
      <c r="E233" t="s">
        <v>91</v>
      </c>
      <c r="F233" s="1">
        <v>1636</v>
      </c>
    </row>
    <row r="234" spans="1:6" x14ac:dyDescent="0.3">
      <c r="A234" t="str">
        <f>_xlfn.XLOOKUP(ColombiaClientes[[#This Row],[Client]],VpsClientes[Client],VpsClientes[VP],"",0)</f>
        <v>Hector Muraira Garza</v>
      </c>
      <c r="B234" t="s">
        <v>137</v>
      </c>
      <c r="C234" t="s">
        <v>192</v>
      </c>
      <c r="D234" t="s">
        <v>90</v>
      </c>
      <c r="E234" t="s">
        <v>91</v>
      </c>
      <c r="F234" s="1">
        <v>1633</v>
      </c>
    </row>
    <row r="235" spans="1:6" x14ac:dyDescent="0.3">
      <c r="A235" t="str">
        <f>_xlfn.XLOOKUP(ColombiaClientes[[#This Row],[Client]],VpsClientes[Client],VpsClientes[VP],"",0)</f>
        <v>Sergio Gomez Perez</v>
      </c>
      <c r="B235" t="s">
        <v>160</v>
      </c>
      <c r="C235" t="s">
        <v>194</v>
      </c>
      <c r="D235" t="s">
        <v>219</v>
      </c>
      <c r="E235" t="s">
        <v>91</v>
      </c>
      <c r="F235" s="1">
        <v>52</v>
      </c>
    </row>
    <row r="236" spans="1:6" x14ac:dyDescent="0.3">
      <c r="A236" t="str">
        <f>_xlfn.XLOOKUP(ColombiaClientes[[#This Row],[Client]],VpsClientes[Client],VpsClientes[VP],"",0)</f>
        <v>Jhonatan Izquierdo Rico</v>
      </c>
      <c r="B236" t="s">
        <v>138</v>
      </c>
      <c r="C236" t="s">
        <v>192</v>
      </c>
      <c r="D236" t="s">
        <v>90</v>
      </c>
      <c r="E236" t="s">
        <v>91</v>
      </c>
      <c r="F236" s="1">
        <v>1339</v>
      </c>
    </row>
    <row r="237" spans="1:6" x14ac:dyDescent="0.3">
      <c r="A237" t="str">
        <f>_xlfn.XLOOKUP(ColombiaClientes[[#This Row],[Client]],VpsClientes[Client],VpsClientes[VP],"",0)</f>
        <v>Martha Guzman Arango</v>
      </c>
      <c r="B237" t="s">
        <v>135</v>
      </c>
      <c r="C237" t="s">
        <v>192</v>
      </c>
      <c r="D237" t="s">
        <v>90</v>
      </c>
      <c r="E237" t="s">
        <v>91</v>
      </c>
      <c r="F237" s="1">
        <v>1304</v>
      </c>
    </row>
    <row r="238" spans="1:6" x14ac:dyDescent="0.3">
      <c r="A238" t="str">
        <f>_xlfn.XLOOKUP(ColombiaClientes[[#This Row],[Client]],VpsClientes[Client],VpsClientes[VP],"",0)</f>
        <v>Martha Guzman Arango</v>
      </c>
      <c r="B238" t="s">
        <v>145</v>
      </c>
      <c r="C238" t="s">
        <v>192</v>
      </c>
      <c r="D238" t="s">
        <v>90</v>
      </c>
      <c r="E238" t="s">
        <v>91</v>
      </c>
      <c r="F238" s="1">
        <v>1190</v>
      </c>
    </row>
    <row r="239" spans="1:6" x14ac:dyDescent="0.3">
      <c r="A239" t="str">
        <f>_xlfn.XLOOKUP(ColombiaClientes[[#This Row],[Client]],VpsClientes[Client],VpsClientes[VP],"",0)</f>
        <v>Juan Granados Castillo</v>
      </c>
      <c r="B239" t="s">
        <v>134</v>
      </c>
      <c r="C239" t="s">
        <v>192</v>
      </c>
      <c r="D239" t="s">
        <v>90</v>
      </c>
      <c r="E239" t="s">
        <v>91</v>
      </c>
      <c r="F239" s="1">
        <v>1189</v>
      </c>
    </row>
    <row r="240" spans="1:6" x14ac:dyDescent="0.3">
      <c r="A240" t="str">
        <f>_xlfn.XLOOKUP(ColombiaClientes[[#This Row],[Client]],VpsClientes[Client],VpsClientes[VP],"",0)</f>
        <v>Hector Muraira Garza</v>
      </c>
      <c r="B240" t="s">
        <v>132</v>
      </c>
      <c r="C240" t="s">
        <v>192</v>
      </c>
      <c r="D240" t="s">
        <v>90</v>
      </c>
      <c r="E240" t="s">
        <v>91</v>
      </c>
      <c r="F240" s="1">
        <v>1166</v>
      </c>
    </row>
    <row r="241" spans="1:6" x14ac:dyDescent="0.3">
      <c r="A241" t="str">
        <f>_xlfn.XLOOKUP(ColombiaClientes[[#This Row],[Client]],VpsClientes[Client],VpsClientes[VP],"",0)</f>
        <v>Juan Granados Castillo</v>
      </c>
      <c r="B241" t="s">
        <v>142</v>
      </c>
      <c r="C241" t="s">
        <v>192</v>
      </c>
      <c r="D241" t="s">
        <v>90</v>
      </c>
      <c r="E241" t="s">
        <v>91</v>
      </c>
      <c r="F241" s="1">
        <v>1143</v>
      </c>
    </row>
    <row r="242" spans="1:6" x14ac:dyDescent="0.3">
      <c r="A242" t="str">
        <f>_xlfn.XLOOKUP(ColombiaClientes[[#This Row],[Client]],VpsClientes[Client],VpsClientes[VP],"",0)</f>
        <v>Jhonatan Izquierdo Rico</v>
      </c>
      <c r="B242" t="s">
        <v>126</v>
      </c>
      <c r="C242" t="s">
        <v>192</v>
      </c>
      <c r="D242" t="s">
        <v>90</v>
      </c>
      <c r="E242" t="s">
        <v>91</v>
      </c>
      <c r="F242" s="1">
        <v>1041</v>
      </c>
    </row>
    <row r="243" spans="1:6" x14ac:dyDescent="0.3">
      <c r="A243" t="str">
        <f>_xlfn.XLOOKUP(ColombiaClientes[[#This Row],[Client]],VpsClientes[Client],VpsClientes[VP],"",0)</f>
        <v>Martha Guzman Arango</v>
      </c>
      <c r="B243" t="s">
        <v>143</v>
      </c>
      <c r="C243" t="s">
        <v>192</v>
      </c>
      <c r="D243" t="s">
        <v>90</v>
      </c>
      <c r="E243" t="s">
        <v>91</v>
      </c>
      <c r="F243" s="1">
        <v>990</v>
      </c>
    </row>
    <row r="244" spans="1:6" x14ac:dyDescent="0.3">
      <c r="A244" t="str">
        <f>_xlfn.XLOOKUP(ColombiaClientes[[#This Row],[Client]],VpsClientes[Client],VpsClientes[VP],"",0)</f>
        <v>Maria Forero Jara</v>
      </c>
      <c r="B244" t="s">
        <v>139</v>
      </c>
      <c r="C244" t="s">
        <v>192</v>
      </c>
      <c r="D244" t="s">
        <v>90</v>
      </c>
      <c r="E244" t="s">
        <v>91</v>
      </c>
      <c r="F244" s="1">
        <v>976</v>
      </c>
    </row>
    <row r="245" spans="1:6" x14ac:dyDescent="0.3">
      <c r="A245" t="str">
        <f>_xlfn.XLOOKUP(ColombiaClientes[[#This Row],[Client]],VpsClientes[Client],VpsClientes[VP],"",0)</f>
        <v>Jhonatan Izquierdo Rico</v>
      </c>
      <c r="B245" t="s">
        <v>196</v>
      </c>
      <c r="C245" t="s">
        <v>192</v>
      </c>
      <c r="D245" t="s">
        <v>90</v>
      </c>
      <c r="E245" t="s">
        <v>91</v>
      </c>
      <c r="F245" s="1">
        <v>952</v>
      </c>
    </row>
    <row r="246" spans="1:6" x14ac:dyDescent="0.3">
      <c r="A246" t="str">
        <f>_xlfn.XLOOKUP(ColombiaClientes[[#This Row],[Client]],VpsClientes[Client],VpsClientes[VP],"",0)</f>
        <v>Moises Saavedra Garcia</v>
      </c>
      <c r="B246" t="s">
        <v>150</v>
      </c>
      <c r="C246" t="s">
        <v>192</v>
      </c>
      <c r="D246" t="s">
        <v>90</v>
      </c>
      <c r="E246" t="s">
        <v>91</v>
      </c>
      <c r="F246" s="1">
        <v>778</v>
      </c>
    </row>
    <row r="247" spans="1:6" x14ac:dyDescent="0.3">
      <c r="A247" t="str">
        <f>_xlfn.XLOOKUP(ColombiaClientes[[#This Row],[Client]],VpsClientes[Client],VpsClientes[VP],"",0)</f>
        <v>Martha Guzman Arango</v>
      </c>
      <c r="B247" t="s">
        <v>152</v>
      </c>
      <c r="C247" t="s">
        <v>192</v>
      </c>
      <c r="D247" t="s">
        <v>90</v>
      </c>
      <c r="E247" t="s">
        <v>91</v>
      </c>
      <c r="F247" s="1">
        <v>733</v>
      </c>
    </row>
    <row r="248" spans="1:6" x14ac:dyDescent="0.3">
      <c r="A248" t="str">
        <f>_xlfn.XLOOKUP(ColombiaClientes[[#This Row],[Client]],VpsClientes[Client],VpsClientes[VP],"",0)</f>
        <v>Jhonatan Izquierdo Rico</v>
      </c>
      <c r="B248" t="s">
        <v>129</v>
      </c>
      <c r="C248" t="s">
        <v>192</v>
      </c>
      <c r="D248" t="s">
        <v>90</v>
      </c>
      <c r="E248" t="s">
        <v>91</v>
      </c>
      <c r="F248" s="1">
        <v>703</v>
      </c>
    </row>
    <row r="249" spans="1:6" x14ac:dyDescent="0.3">
      <c r="A249" t="str">
        <f>_xlfn.XLOOKUP(ColombiaClientes[[#This Row],[Client]],VpsClientes[Client],VpsClientes[VP],"",0)</f>
        <v>Jhonatan Izquierdo Rico</v>
      </c>
      <c r="B249" t="s">
        <v>117</v>
      </c>
      <c r="C249" t="s">
        <v>192</v>
      </c>
      <c r="D249" t="s">
        <v>90</v>
      </c>
      <c r="E249" t="s">
        <v>91</v>
      </c>
      <c r="F249" s="1">
        <v>697</v>
      </c>
    </row>
    <row r="250" spans="1:6" x14ac:dyDescent="0.3">
      <c r="A250" t="str">
        <f>_xlfn.XLOOKUP(ColombiaClientes[[#This Row],[Client]],VpsClientes[Client],VpsClientes[VP],"",0)</f>
        <v>Martha Guzman Arango</v>
      </c>
      <c r="B250" t="s">
        <v>131</v>
      </c>
      <c r="C250" t="s">
        <v>192</v>
      </c>
      <c r="D250" t="s">
        <v>90</v>
      </c>
      <c r="E250" t="s">
        <v>91</v>
      </c>
      <c r="F250" s="1">
        <v>663</v>
      </c>
    </row>
    <row r="251" spans="1:6" x14ac:dyDescent="0.3">
      <c r="A251" t="str">
        <f>_xlfn.XLOOKUP(ColombiaClientes[[#This Row],[Client]],VpsClientes[Client],VpsClientes[VP],"",0)</f>
        <v>Hector Muraira Garza</v>
      </c>
      <c r="B251" t="s">
        <v>154</v>
      </c>
      <c r="C251" t="s">
        <v>192</v>
      </c>
      <c r="D251" t="s">
        <v>90</v>
      </c>
      <c r="E251" t="s">
        <v>91</v>
      </c>
      <c r="F251" s="1">
        <v>492</v>
      </c>
    </row>
    <row r="252" spans="1:6" x14ac:dyDescent="0.3">
      <c r="A252" t="str">
        <f>_xlfn.XLOOKUP(ColombiaClientes[[#This Row],[Client]],VpsClientes[Client],VpsClientes[VP],"",0)</f>
        <v>Martha Guzman Arango</v>
      </c>
      <c r="B252" t="s">
        <v>166</v>
      </c>
      <c r="C252" t="s">
        <v>192</v>
      </c>
      <c r="D252" t="s">
        <v>90</v>
      </c>
      <c r="E252" t="s">
        <v>91</v>
      </c>
      <c r="F252" s="1">
        <v>484</v>
      </c>
    </row>
    <row r="253" spans="1:6" x14ac:dyDescent="0.3">
      <c r="A253" t="str">
        <f>_xlfn.XLOOKUP(ColombiaClientes[[#This Row],[Client]],VpsClientes[Client],VpsClientes[VP],"",0)</f>
        <v>Hector Muraira Garza</v>
      </c>
      <c r="B253" t="s">
        <v>140</v>
      </c>
      <c r="C253" t="s">
        <v>192</v>
      </c>
      <c r="D253" t="s">
        <v>90</v>
      </c>
      <c r="E253" t="s">
        <v>91</v>
      </c>
      <c r="F253" s="1">
        <v>480</v>
      </c>
    </row>
    <row r="254" spans="1:6" x14ac:dyDescent="0.3">
      <c r="A254" t="str">
        <f>_xlfn.XLOOKUP(ColombiaClientes[[#This Row],[Client]],VpsClientes[Client],VpsClientes[VP],"",0)</f>
        <v>Martha Guzman Arango</v>
      </c>
      <c r="B254" t="s">
        <v>155</v>
      </c>
      <c r="C254" t="s">
        <v>192</v>
      </c>
      <c r="D254" t="s">
        <v>90</v>
      </c>
      <c r="E254" t="s">
        <v>91</v>
      </c>
      <c r="F254" s="1">
        <v>438</v>
      </c>
    </row>
    <row r="255" spans="1:6" x14ac:dyDescent="0.3">
      <c r="A255" t="str">
        <f>_xlfn.XLOOKUP(ColombiaClientes[[#This Row],[Client]],VpsClientes[Client],VpsClientes[VP],"",0)</f>
        <v>Sergio Gomez Perez</v>
      </c>
      <c r="B255" t="s">
        <v>160</v>
      </c>
      <c r="C255" t="s">
        <v>202</v>
      </c>
      <c r="D255" t="s">
        <v>219</v>
      </c>
      <c r="E255" t="s">
        <v>91</v>
      </c>
      <c r="F255" s="1">
        <v>20</v>
      </c>
    </row>
    <row r="256" spans="1:6" x14ac:dyDescent="0.3">
      <c r="A256" t="str">
        <f>_xlfn.XLOOKUP(ColombiaClientes[[#This Row],[Client]],VpsClientes[Client],VpsClientes[VP],"",0)</f>
        <v>Martha Guzman Arango</v>
      </c>
      <c r="B256" t="s">
        <v>168</v>
      </c>
      <c r="C256" t="s">
        <v>192</v>
      </c>
      <c r="D256" t="s">
        <v>90</v>
      </c>
      <c r="E256" t="s">
        <v>91</v>
      </c>
      <c r="F256" s="1">
        <v>395</v>
      </c>
    </row>
    <row r="257" spans="1:6" x14ac:dyDescent="0.3">
      <c r="A257" t="str">
        <f>_xlfn.XLOOKUP(ColombiaClientes[[#This Row],[Client]],VpsClientes[Client],VpsClientes[VP],"",0)</f>
        <v>Martha Guzman Arango</v>
      </c>
      <c r="B257" t="s">
        <v>148</v>
      </c>
      <c r="C257" t="s">
        <v>192</v>
      </c>
      <c r="D257" t="s">
        <v>90</v>
      </c>
      <c r="E257" t="s">
        <v>91</v>
      </c>
      <c r="F257" s="1">
        <v>394</v>
      </c>
    </row>
    <row r="258" spans="1:6" x14ac:dyDescent="0.3">
      <c r="A258" t="str">
        <f>_xlfn.XLOOKUP(ColombiaClientes[[#This Row],[Client]],VpsClientes[Client],VpsClientes[VP],"",0)</f>
        <v>Moises Saavedra Garcia</v>
      </c>
      <c r="B258" t="s">
        <v>172</v>
      </c>
      <c r="C258" t="s">
        <v>192</v>
      </c>
      <c r="D258" t="s">
        <v>90</v>
      </c>
      <c r="E258" t="s">
        <v>91</v>
      </c>
      <c r="F258" s="1">
        <v>386</v>
      </c>
    </row>
    <row r="259" spans="1:6" x14ac:dyDescent="0.3">
      <c r="A259" t="str">
        <f>_xlfn.XLOOKUP(ColombiaClientes[[#This Row],[Client]],VpsClientes[Client],VpsClientes[VP],"",0)</f>
        <v>Martha Guzman Arango</v>
      </c>
      <c r="B259" t="s">
        <v>170</v>
      </c>
      <c r="C259" t="s">
        <v>192</v>
      </c>
      <c r="D259" t="s">
        <v>90</v>
      </c>
      <c r="E259" t="s">
        <v>91</v>
      </c>
      <c r="F259" s="1">
        <v>375</v>
      </c>
    </row>
    <row r="260" spans="1:6" x14ac:dyDescent="0.3">
      <c r="A260" t="str">
        <f>_xlfn.XLOOKUP(ColombiaClientes[[#This Row],[Client]],VpsClientes[Client],VpsClientes[VP],"",0)</f>
        <v>Martha Guzman Arango</v>
      </c>
      <c r="B260" t="s">
        <v>162</v>
      </c>
      <c r="C260" t="s">
        <v>192</v>
      </c>
      <c r="D260" t="s">
        <v>90</v>
      </c>
      <c r="E260" t="s">
        <v>91</v>
      </c>
      <c r="F260" s="1">
        <v>374</v>
      </c>
    </row>
    <row r="261" spans="1:6" x14ac:dyDescent="0.3">
      <c r="A261" t="str">
        <f>_xlfn.XLOOKUP(ColombiaClientes[[#This Row],[Client]],VpsClientes[Client],VpsClientes[VP],"",0)</f>
        <v>Maria Forero Jara</v>
      </c>
      <c r="B261" t="s">
        <v>161</v>
      </c>
      <c r="C261" t="s">
        <v>192</v>
      </c>
      <c r="D261" t="s">
        <v>90</v>
      </c>
      <c r="E261" t="s">
        <v>91</v>
      </c>
      <c r="F261" s="1">
        <v>371</v>
      </c>
    </row>
    <row r="262" spans="1:6" x14ac:dyDescent="0.3">
      <c r="A262" t="str">
        <f>_xlfn.XLOOKUP(ColombiaClientes[[#This Row],[Client]],VpsClientes[Client],VpsClientes[VP],"",0)</f>
        <v>Jhonatan Izquierdo Rico</v>
      </c>
      <c r="B262" t="s">
        <v>157</v>
      </c>
      <c r="C262" t="s">
        <v>192</v>
      </c>
      <c r="D262" t="s">
        <v>90</v>
      </c>
      <c r="E262" t="s">
        <v>91</v>
      </c>
      <c r="F262" s="1">
        <v>366</v>
      </c>
    </row>
    <row r="263" spans="1:6" x14ac:dyDescent="0.3">
      <c r="A263" t="str">
        <f>_xlfn.XLOOKUP(ColombiaClientes[[#This Row],[Client]],VpsClientes[Client],VpsClientes[VP],"",0)</f>
        <v>Martha Guzman Arango</v>
      </c>
      <c r="B263" t="s">
        <v>156</v>
      </c>
      <c r="C263" t="s">
        <v>192</v>
      </c>
      <c r="D263" t="s">
        <v>90</v>
      </c>
      <c r="E263" t="s">
        <v>91</v>
      </c>
      <c r="F263" s="1">
        <v>365</v>
      </c>
    </row>
    <row r="264" spans="1:6" x14ac:dyDescent="0.3">
      <c r="A264" t="str">
        <f>_xlfn.XLOOKUP(ColombiaClientes[[#This Row],[Client]],VpsClientes[Client],VpsClientes[VP],"",0)</f>
        <v>Maria Forero Jara</v>
      </c>
      <c r="B264" t="s">
        <v>163</v>
      </c>
      <c r="C264" t="s">
        <v>192</v>
      </c>
      <c r="D264" t="s">
        <v>90</v>
      </c>
      <c r="E264" t="s">
        <v>91</v>
      </c>
      <c r="F264" s="1">
        <v>343</v>
      </c>
    </row>
    <row r="265" spans="1:6" x14ac:dyDescent="0.3">
      <c r="A265" t="str">
        <f>_xlfn.XLOOKUP(ColombiaClientes[[#This Row],[Client]],VpsClientes[Client],VpsClientes[VP],"",0)</f>
        <v>Martha Guzman Arango</v>
      </c>
      <c r="B265" t="s">
        <v>171</v>
      </c>
      <c r="C265" t="s">
        <v>192</v>
      </c>
      <c r="D265" t="s">
        <v>90</v>
      </c>
      <c r="E265" t="s">
        <v>91</v>
      </c>
      <c r="F265" s="1">
        <v>325</v>
      </c>
    </row>
    <row r="266" spans="1:6" x14ac:dyDescent="0.3">
      <c r="A266" t="str">
        <f>_xlfn.XLOOKUP(ColombiaClientes[[#This Row],[Client]],VpsClientes[Client],VpsClientes[VP],"",0)</f>
        <v>Moises Saavedra Garcia</v>
      </c>
      <c r="B266" t="s">
        <v>190</v>
      </c>
      <c r="C266" t="s">
        <v>192</v>
      </c>
      <c r="D266" t="s">
        <v>90</v>
      </c>
      <c r="E266" t="s">
        <v>91</v>
      </c>
      <c r="F266" s="1">
        <v>308</v>
      </c>
    </row>
    <row r="267" spans="1:6" x14ac:dyDescent="0.3">
      <c r="A267" t="str">
        <f>_xlfn.XLOOKUP(ColombiaClientes[[#This Row],[Client]],VpsClientes[Client],VpsClientes[VP],"",0)</f>
        <v>Martha Guzman Arango</v>
      </c>
      <c r="B267" t="s">
        <v>185</v>
      </c>
      <c r="C267" t="s">
        <v>192</v>
      </c>
      <c r="D267" t="s">
        <v>90</v>
      </c>
      <c r="E267" t="s">
        <v>91</v>
      </c>
      <c r="F267" s="1">
        <v>299</v>
      </c>
    </row>
    <row r="268" spans="1:6" x14ac:dyDescent="0.3">
      <c r="A268" t="str">
        <f>_xlfn.XLOOKUP(ColombiaClientes[[#This Row],[Client]],VpsClientes[Client],VpsClientes[VP],"",0)</f>
        <v>Martha Guzman Arango</v>
      </c>
      <c r="B268" t="s">
        <v>176</v>
      </c>
      <c r="C268" t="s">
        <v>192</v>
      </c>
      <c r="D268" t="s">
        <v>90</v>
      </c>
      <c r="E268" t="s">
        <v>91</v>
      </c>
      <c r="F268" s="1">
        <v>293</v>
      </c>
    </row>
    <row r="269" spans="1:6" x14ac:dyDescent="0.3">
      <c r="A269" t="str">
        <f>_xlfn.XLOOKUP(ColombiaClientes[[#This Row],[Client]],VpsClientes[Client],VpsClientes[VP],"",0)</f>
        <v>Carlos Beltran Hernandez</v>
      </c>
      <c r="B269" t="s">
        <v>173</v>
      </c>
      <c r="C269" t="s">
        <v>192</v>
      </c>
      <c r="D269" t="s">
        <v>90</v>
      </c>
      <c r="E269" t="s">
        <v>91</v>
      </c>
      <c r="F269" s="1">
        <v>283</v>
      </c>
    </row>
    <row r="270" spans="1:6" x14ac:dyDescent="0.3">
      <c r="A270" t="str">
        <f>_xlfn.XLOOKUP(ColombiaClientes[[#This Row],[Client]],VpsClientes[Client],VpsClientes[VP],"",0)</f>
        <v>Maria Forero Jara</v>
      </c>
      <c r="B270" t="s">
        <v>144</v>
      </c>
      <c r="C270" t="s">
        <v>192</v>
      </c>
      <c r="D270" t="s">
        <v>90</v>
      </c>
      <c r="E270" t="s">
        <v>91</v>
      </c>
      <c r="F270" s="1">
        <v>271</v>
      </c>
    </row>
    <row r="271" spans="1:6" x14ac:dyDescent="0.3">
      <c r="A271" t="str">
        <f>_xlfn.XLOOKUP(ColombiaClientes[[#This Row],[Client]],VpsClientes[Client],VpsClientes[VP],"",0)</f>
        <v>Sergio Gomez Perez</v>
      </c>
      <c r="B271" t="s">
        <v>160</v>
      </c>
      <c r="C271" t="s">
        <v>191</v>
      </c>
      <c r="D271" t="s">
        <v>219</v>
      </c>
      <c r="E271" t="s">
        <v>206</v>
      </c>
      <c r="F271" s="1">
        <v>443</v>
      </c>
    </row>
    <row r="272" spans="1:6" x14ac:dyDescent="0.3">
      <c r="A272" t="str">
        <f>_xlfn.XLOOKUP(ColombiaClientes[[#This Row],[Client]],VpsClientes[Client],VpsClientes[VP],"",0)</f>
        <v>Martha Guzman Arango</v>
      </c>
      <c r="B272" t="s">
        <v>165</v>
      </c>
      <c r="C272" t="s">
        <v>192</v>
      </c>
      <c r="D272" t="s">
        <v>90</v>
      </c>
      <c r="E272" t="s">
        <v>91</v>
      </c>
      <c r="F272" s="1">
        <v>256</v>
      </c>
    </row>
    <row r="273" spans="1:6" x14ac:dyDescent="0.3">
      <c r="A273" t="str">
        <f>_xlfn.XLOOKUP(ColombiaClientes[[#This Row],[Client]],VpsClientes[Client],VpsClientes[VP],"",0)</f>
        <v>Juan Granados Castillo</v>
      </c>
      <c r="B273" t="s">
        <v>149</v>
      </c>
      <c r="C273" t="s">
        <v>192</v>
      </c>
      <c r="D273" t="s">
        <v>90</v>
      </c>
      <c r="E273" t="s">
        <v>91</v>
      </c>
      <c r="F273" s="1">
        <v>254</v>
      </c>
    </row>
    <row r="274" spans="1:6" x14ac:dyDescent="0.3">
      <c r="A274" t="str">
        <f>_xlfn.XLOOKUP(ColombiaClientes[[#This Row],[Client]],VpsClientes[Client],VpsClientes[VP],"",0)</f>
        <v>Martha Guzman Arango</v>
      </c>
      <c r="B274" t="s">
        <v>146</v>
      </c>
      <c r="C274" t="s">
        <v>192</v>
      </c>
      <c r="D274" t="s">
        <v>90</v>
      </c>
      <c r="E274" t="s">
        <v>91</v>
      </c>
      <c r="F274" s="1">
        <v>223</v>
      </c>
    </row>
    <row r="275" spans="1:6" x14ac:dyDescent="0.3">
      <c r="A275" t="str">
        <f>_xlfn.XLOOKUP(ColombiaClientes[[#This Row],[Client]],VpsClientes[Client],VpsClientes[VP],"",0)</f>
        <v>Hector Muraira Garza</v>
      </c>
      <c r="B275" t="s">
        <v>167</v>
      </c>
      <c r="C275" t="s">
        <v>192</v>
      </c>
      <c r="D275" t="s">
        <v>90</v>
      </c>
      <c r="E275" t="s">
        <v>91</v>
      </c>
      <c r="F275" s="1">
        <v>207</v>
      </c>
    </row>
    <row r="276" spans="1:6" x14ac:dyDescent="0.3">
      <c r="A276" t="str">
        <f>_xlfn.XLOOKUP(ColombiaClientes[[#This Row],[Client]],VpsClientes[Client],VpsClientes[VP],"",0)</f>
        <v>Martha Guzman Arango</v>
      </c>
      <c r="B276" t="s">
        <v>153</v>
      </c>
      <c r="C276" t="s">
        <v>192</v>
      </c>
      <c r="D276" t="s">
        <v>90</v>
      </c>
      <c r="E276" t="s">
        <v>91</v>
      </c>
      <c r="F276" s="1">
        <v>202</v>
      </c>
    </row>
    <row r="277" spans="1:6" x14ac:dyDescent="0.3">
      <c r="A277" t="str">
        <f>_xlfn.XLOOKUP(ColombiaClientes[[#This Row],[Client]],VpsClientes[Client],VpsClientes[VP],"",0)</f>
        <v>Martha Guzman Arango</v>
      </c>
      <c r="B277" t="s">
        <v>180</v>
      </c>
      <c r="C277" t="s">
        <v>192</v>
      </c>
      <c r="D277" t="s">
        <v>90</v>
      </c>
      <c r="E277" t="s">
        <v>91</v>
      </c>
      <c r="F277" s="1">
        <v>190</v>
      </c>
    </row>
    <row r="278" spans="1:6" x14ac:dyDescent="0.3">
      <c r="A278" t="str">
        <f>_xlfn.XLOOKUP(ColombiaClientes[[#This Row],[Client]],VpsClientes[Client],VpsClientes[VP],"",0)</f>
        <v>Sergio Gomez Perez</v>
      </c>
      <c r="B278" t="s">
        <v>160</v>
      </c>
      <c r="C278" t="s">
        <v>192</v>
      </c>
      <c r="D278" t="s">
        <v>219</v>
      </c>
      <c r="E278" t="s">
        <v>206</v>
      </c>
      <c r="F278" s="1">
        <v>405</v>
      </c>
    </row>
    <row r="279" spans="1:6" x14ac:dyDescent="0.3">
      <c r="A279" t="str">
        <f>_xlfn.XLOOKUP(ColombiaClientes[[#This Row],[Client]],VpsClientes[Client],VpsClientes[VP],"",0)</f>
        <v>Carlos Beltran Hernandez</v>
      </c>
      <c r="B279" t="s">
        <v>158</v>
      </c>
      <c r="C279" t="s">
        <v>192</v>
      </c>
      <c r="D279" t="s">
        <v>90</v>
      </c>
      <c r="E279" t="s">
        <v>91</v>
      </c>
      <c r="F279" s="1">
        <v>149</v>
      </c>
    </row>
    <row r="280" spans="1:6" x14ac:dyDescent="0.3">
      <c r="A280" t="str">
        <f>_xlfn.XLOOKUP(ColombiaClientes[[#This Row],[Client]],VpsClientes[Client],VpsClientes[VP],"",0)</f>
        <v>Sergio Gomez Perez</v>
      </c>
      <c r="B280" t="s">
        <v>160</v>
      </c>
      <c r="C280" t="s">
        <v>194</v>
      </c>
      <c r="D280" t="s">
        <v>219</v>
      </c>
      <c r="E280" t="s">
        <v>206</v>
      </c>
      <c r="F280" s="1">
        <v>320</v>
      </c>
    </row>
    <row r="281" spans="1:6" x14ac:dyDescent="0.3">
      <c r="A281" t="str">
        <f>_xlfn.XLOOKUP(ColombiaClientes[[#This Row],[Client]],VpsClientes[Client],VpsClientes[VP],"",0)</f>
        <v>Maria Forero Jara</v>
      </c>
      <c r="B281" t="s">
        <v>179</v>
      </c>
      <c r="C281" t="s">
        <v>192</v>
      </c>
      <c r="D281" t="s">
        <v>90</v>
      </c>
      <c r="E281" t="s">
        <v>91</v>
      </c>
      <c r="F281" s="1">
        <v>122</v>
      </c>
    </row>
    <row r="282" spans="1:6" x14ac:dyDescent="0.3">
      <c r="A282" t="str">
        <f>_xlfn.XLOOKUP(ColombiaClientes[[#This Row],[Client]],VpsClientes[Client],VpsClientes[VP],"",0)</f>
        <v>Martha Guzman Arango</v>
      </c>
      <c r="B282" t="s">
        <v>186</v>
      </c>
      <c r="C282" t="s">
        <v>192</v>
      </c>
      <c r="D282" t="s">
        <v>90</v>
      </c>
      <c r="E282" t="s">
        <v>91</v>
      </c>
      <c r="F282" s="1">
        <v>98</v>
      </c>
    </row>
    <row r="283" spans="1:6" x14ac:dyDescent="0.3">
      <c r="A283" t="str">
        <f>_xlfn.XLOOKUP(ColombiaClientes[[#This Row],[Client]],VpsClientes[Client],VpsClientes[VP],"",0)</f>
        <v>Hector Muraira Garza</v>
      </c>
      <c r="B283" t="s">
        <v>164</v>
      </c>
      <c r="C283" t="s">
        <v>192</v>
      </c>
      <c r="D283" t="s">
        <v>90</v>
      </c>
      <c r="E283" t="s">
        <v>91</v>
      </c>
      <c r="F283" s="1">
        <v>95</v>
      </c>
    </row>
    <row r="284" spans="1:6" x14ac:dyDescent="0.3">
      <c r="A284" t="str">
        <f>_xlfn.XLOOKUP(ColombiaClientes[[#This Row],[Client]],VpsClientes[Client],VpsClientes[VP],"",0)</f>
        <v>Martha Guzman Arango</v>
      </c>
      <c r="B284" t="s">
        <v>174</v>
      </c>
      <c r="C284" t="s">
        <v>192</v>
      </c>
      <c r="D284" t="s">
        <v>90</v>
      </c>
      <c r="E284" t="s">
        <v>91</v>
      </c>
      <c r="F284" s="1">
        <v>86</v>
      </c>
    </row>
    <row r="285" spans="1:6" x14ac:dyDescent="0.3">
      <c r="A285" t="str">
        <f>_xlfn.XLOOKUP(ColombiaClientes[[#This Row],[Client]],VpsClientes[Client],VpsClientes[VP],"",0)</f>
        <v>Martha Guzman Arango</v>
      </c>
      <c r="B285" t="s">
        <v>183</v>
      </c>
      <c r="C285" t="s">
        <v>192</v>
      </c>
      <c r="D285" t="s">
        <v>90</v>
      </c>
      <c r="E285" t="s">
        <v>91</v>
      </c>
      <c r="F285" s="1">
        <v>85</v>
      </c>
    </row>
    <row r="286" spans="1:6" x14ac:dyDescent="0.3">
      <c r="A286" t="str">
        <f>_xlfn.XLOOKUP(ColombiaClientes[[#This Row],[Client]],VpsClientes[Client],VpsClientes[VP],"",0)</f>
        <v>Maria Forero Jara</v>
      </c>
      <c r="B286" t="s">
        <v>182</v>
      </c>
      <c r="C286" t="s">
        <v>192</v>
      </c>
      <c r="D286" t="s">
        <v>90</v>
      </c>
      <c r="E286" t="s">
        <v>91</v>
      </c>
      <c r="F286" s="1">
        <v>82</v>
      </c>
    </row>
    <row r="287" spans="1:6" x14ac:dyDescent="0.3">
      <c r="A287" t="str">
        <f>_xlfn.XLOOKUP(ColombiaClientes[[#This Row],[Client]],VpsClientes[Client],VpsClientes[VP],"",0)</f>
        <v>Moises Saavedra Garcia</v>
      </c>
      <c r="B287" t="s">
        <v>175</v>
      </c>
      <c r="C287" t="s">
        <v>192</v>
      </c>
      <c r="D287" t="s">
        <v>90</v>
      </c>
      <c r="E287" t="s">
        <v>91</v>
      </c>
      <c r="F287" s="1">
        <v>81</v>
      </c>
    </row>
    <row r="288" spans="1:6" x14ac:dyDescent="0.3">
      <c r="A288" t="str">
        <f>_xlfn.XLOOKUP(ColombiaClientes[[#This Row],[Client]],VpsClientes[Client],VpsClientes[VP],"",0)</f>
        <v>Martha Guzman Arango</v>
      </c>
      <c r="B288" t="s">
        <v>169</v>
      </c>
      <c r="C288" t="s">
        <v>192</v>
      </c>
      <c r="D288" t="s">
        <v>90</v>
      </c>
      <c r="E288" t="s">
        <v>91</v>
      </c>
      <c r="F288" s="1">
        <v>75</v>
      </c>
    </row>
    <row r="289" spans="1:6" x14ac:dyDescent="0.3">
      <c r="A289" t="str">
        <f>_xlfn.XLOOKUP(ColombiaClientes[[#This Row],[Client]],VpsClientes[Client],VpsClientes[VP],"",0)</f>
        <v>Sergio Gomez Perez</v>
      </c>
      <c r="B289" t="s">
        <v>160</v>
      </c>
      <c r="C289" t="s">
        <v>202</v>
      </c>
      <c r="D289" t="s">
        <v>219</v>
      </c>
      <c r="E289" t="s">
        <v>206</v>
      </c>
      <c r="F289" s="1">
        <v>7</v>
      </c>
    </row>
    <row r="290" spans="1:6" x14ac:dyDescent="0.3">
      <c r="A290" t="str">
        <f>_xlfn.XLOOKUP(ColombiaClientes[[#This Row],[Client]],VpsClientes[Client],VpsClientes[VP],"",0)</f>
        <v>Moises Saavedra Garcia</v>
      </c>
      <c r="B290" t="s">
        <v>184</v>
      </c>
      <c r="C290" t="s">
        <v>92</v>
      </c>
      <c r="D290" t="s">
        <v>90</v>
      </c>
      <c r="E290" t="s">
        <v>91</v>
      </c>
      <c r="F290" s="1">
        <v>55</v>
      </c>
    </row>
    <row r="291" spans="1:6" x14ac:dyDescent="0.3">
      <c r="A291" t="str">
        <f>_xlfn.XLOOKUP(ColombiaClientes[[#This Row],[Client]],VpsClientes[Client],VpsClientes[VP],"",0)</f>
        <v>Moises Saavedra Garcia</v>
      </c>
      <c r="B291" t="s">
        <v>187</v>
      </c>
      <c r="C291" t="s">
        <v>192</v>
      </c>
      <c r="D291" t="s">
        <v>90</v>
      </c>
      <c r="E291" t="s">
        <v>91</v>
      </c>
      <c r="F291" s="1">
        <v>38</v>
      </c>
    </row>
    <row r="292" spans="1:6" x14ac:dyDescent="0.3">
      <c r="A292" t="str">
        <f>_xlfn.XLOOKUP(ColombiaClientes[[#This Row],[Client]],VpsClientes[Client],VpsClientes[VP],"",0)</f>
        <v>Martha Guzman Arango</v>
      </c>
      <c r="B292" t="s">
        <v>188</v>
      </c>
      <c r="C292" t="s">
        <v>192</v>
      </c>
      <c r="D292" t="s">
        <v>90</v>
      </c>
      <c r="E292" t="s">
        <v>91</v>
      </c>
      <c r="F292" s="1">
        <v>37</v>
      </c>
    </row>
    <row r="293" spans="1:6" x14ac:dyDescent="0.3">
      <c r="A293" t="str">
        <f>_xlfn.XLOOKUP(ColombiaClientes[[#This Row],[Client]],VpsClientes[Client],VpsClientes[VP],"",0)</f>
        <v>Jhonatan Izquierdo Rico</v>
      </c>
      <c r="B293" t="s">
        <v>159</v>
      </c>
      <c r="C293" t="s">
        <v>192</v>
      </c>
      <c r="D293" t="s">
        <v>90</v>
      </c>
      <c r="E293" t="s">
        <v>91</v>
      </c>
      <c r="F293" s="1">
        <v>16</v>
      </c>
    </row>
    <row r="294" spans="1:6" x14ac:dyDescent="0.3">
      <c r="A294" t="str">
        <f>_xlfn.XLOOKUP(ColombiaClientes[[#This Row],[Client]],VpsClientes[Client],VpsClientes[VP],"",0)</f>
        <v>Martha Guzman Arango</v>
      </c>
      <c r="B294" t="s">
        <v>189</v>
      </c>
      <c r="C294" t="s">
        <v>192</v>
      </c>
      <c r="D294" t="s">
        <v>90</v>
      </c>
      <c r="E294" t="s">
        <v>91</v>
      </c>
      <c r="F294" s="1">
        <v>3</v>
      </c>
    </row>
    <row r="295" spans="1:6" x14ac:dyDescent="0.3">
      <c r="A295" t="str">
        <f>_xlfn.XLOOKUP(ColombiaClientes[[#This Row],[Client]],VpsClientes[Client],VpsClientes[VP],"",0)</f>
        <v>Carlos Beltran Hernandez</v>
      </c>
      <c r="B295" t="s">
        <v>93</v>
      </c>
      <c r="C295" t="s">
        <v>194</v>
      </c>
      <c r="D295" t="s">
        <v>90</v>
      </c>
      <c r="E295" t="s">
        <v>91</v>
      </c>
      <c r="F295" s="1">
        <v>25992</v>
      </c>
    </row>
    <row r="296" spans="1:6" x14ac:dyDescent="0.3">
      <c r="A296" t="str">
        <f>_xlfn.XLOOKUP(ColombiaClientes[[#This Row],[Client]],VpsClientes[Client],VpsClientes[VP],"",0)</f>
        <v>Ludy Torres Benitez</v>
      </c>
      <c r="B296" t="s">
        <v>95</v>
      </c>
      <c r="C296" t="s">
        <v>194</v>
      </c>
      <c r="D296" t="s">
        <v>90</v>
      </c>
      <c r="E296" t="s">
        <v>91</v>
      </c>
      <c r="F296" s="1">
        <v>20864</v>
      </c>
    </row>
    <row r="297" spans="1:6" x14ac:dyDescent="0.3">
      <c r="A297" t="str">
        <f>_xlfn.XLOOKUP(ColombiaClientes[[#This Row],[Client]],VpsClientes[Client],VpsClientes[VP],"",0)</f>
        <v>Carlos Beltran Hernandez</v>
      </c>
      <c r="B297" t="s">
        <v>94</v>
      </c>
      <c r="C297" t="s">
        <v>194</v>
      </c>
      <c r="D297" t="s">
        <v>90</v>
      </c>
      <c r="E297" t="s">
        <v>91</v>
      </c>
      <c r="F297" s="1">
        <v>18667</v>
      </c>
    </row>
    <row r="298" spans="1:6" x14ac:dyDescent="0.3">
      <c r="A298" t="str">
        <f>_xlfn.XLOOKUP(ColombiaClientes[[#This Row],[Client]],VpsClientes[Client],VpsClientes[VP],"",0)</f>
        <v>Martha Guzman Arango</v>
      </c>
      <c r="B298" t="s">
        <v>96</v>
      </c>
      <c r="C298" t="s">
        <v>194</v>
      </c>
      <c r="D298" t="s">
        <v>90</v>
      </c>
      <c r="E298" t="s">
        <v>91</v>
      </c>
      <c r="F298" s="1">
        <v>18264</v>
      </c>
    </row>
    <row r="299" spans="1:6" x14ac:dyDescent="0.3">
      <c r="A299" t="str">
        <f>_xlfn.XLOOKUP(ColombiaClientes[[#This Row],[Client]],VpsClientes[Client],VpsClientes[VP],"",0)</f>
        <v>Martha Guzman Arango</v>
      </c>
      <c r="B299" t="s">
        <v>98</v>
      </c>
      <c r="C299" t="s">
        <v>194</v>
      </c>
      <c r="D299" t="s">
        <v>90</v>
      </c>
      <c r="E299" t="s">
        <v>91</v>
      </c>
      <c r="F299" s="1">
        <v>10464</v>
      </c>
    </row>
    <row r="300" spans="1:6" x14ac:dyDescent="0.3">
      <c r="A300" t="str">
        <f>_xlfn.XLOOKUP(ColombiaClientes[[#This Row],[Client]],VpsClientes[Client],VpsClientes[VP],"",0)</f>
        <v>Moises Saavedra Garcia</v>
      </c>
      <c r="B300" t="s">
        <v>99</v>
      </c>
      <c r="C300" t="s">
        <v>194</v>
      </c>
      <c r="D300" t="s">
        <v>90</v>
      </c>
      <c r="E300" t="s">
        <v>91</v>
      </c>
      <c r="F300" s="1">
        <v>10273</v>
      </c>
    </row>
    <row r="301" spans="1:6" x14ac:dyDescent="0.3">
      <c r="A301" t="str">
        <f>_xlfn.XLOOKUP(ColombiaClientes[[#This Row],[Client]],VpsClientes[Client],VpsClientes[VP],"",0)</f>
        <v>Maria Forero Jara</v>
      </c>
      <c r="B301" t="s">
        <v>101</v>
      </c>
      <c r="C301" t="s">
        <v>194</v>
      </c>
      <c r="D301" t="s">
        <v>90</v>
      </c>
      <c r="E301" t="s">
        <v>91</v>
      </c>
      <c r="F301" s="1">
        <v>8508</v>
      </c>
    </row>
    <row r="302" spans="1:6" x14ac:dyDescent="0.3">
      <c r="A302" t="str">
        <f>_xlfn.XLOOKUP(ColombiaClientes[[#This Row],[Client]],VpsClientes[Client],VpsClientes[VP],"",0)</f>
        <v>Martha Guzman Arango</v>
      </c>
      <c r="B302" t="s">
        <v>103</v>
      </c>
      <c r="C302" t="s">
        <v>194</v>
      </c>
      <c r="D302" t="s">
        <v>90</v>
      </c>
      <c r="E302" t="s">
        <v>91</v>
      </c>
      <c r="F302" s="1">
        <v>7167</v>
      </c>
    </row>
    <row r="303" spans="1:6" x14ac:dyDescent="0.3">
      <c r="A303" t="str">
        <f>_xlfn.XLOOKUP(ColombiaClientes[[#This Row],[Client]],VpsClientes[Client],VpsClientes[VP],"",0)</f>
        <v>Maria Forero Jara</v>
      </c>
      <c r="B303" t="s">
        <v>106</v>
      </c>
      <c r="C303" t="s">
        <v>194</v>
      </c>
      <c r="D303" t="s">
        <v>90</v>
      </c>
      <c r="E303" t="s">
        <v>91</v>
      </c>
      <c r="F303" s="1">
        <v>6862</v>
      </c>
    </row>
    <row r="304" spans="1:6" x14ac:dyDescent="0.3">
      <c r="A304" t="str">
        <f>_xlfn.XLOOKUP(ColombiaClientes[[#This Row],[Client]],VpsClientes[Client],VpsClientes[VP],"",0)</f>
        <v>Maria Forero Jara</v>
      </c>
      <c r="B304" t="s">
        <v>108</v>
      </c>
      <c r="C304" t="s">
        <v>194</v>
      </c>
      <c r="D304" t="s">
        <v>90</v>
      </c>
      <c r="E304" t="s">
        <v>91</v>
      </c>
      <c r="F304" s="1">
        <v>6589</v>
      </c>
    </row>
    <row r="305" spans="1:6" x14ac:dyDescent="0.3">
      <c r="A305" t="str">
        <f>_xlfn.XLOOKUP(ColombiaClientes[[#This Row],[Client]],VpsClientes[Client],VpsClientes[VP],"",0)</f>
        <v>Martha Guzman Arango</v>
      </c>
      <c r="B305" t="s">
        <v>100</v>
      </c>
      <c r="C305" t="s">
        <v>194</v>
      </c>
      <c r="D305" t="s">
        <v>90</v>
      </c>
      <c r="E305" t="s">
        <v>91</v>
      </c>
      <c r="F305" s="1">
        <v>6321</v>
      </c>
    </row>
    <row r="306" spans="1:6" x14ac:dyDescent="0.3">
      <c r="A306" t="str">
        <f>_xlfn.XLOOKUP(ColombiaClientes[[#This Row],[Client]],VpsClientes[Client],VpsClientes[VP],"",0)</f>
        <v>Carlos Castillo Figueroa</v>
      </c>
      <c r="B306" t="s">
        <v>105</v>
      </c>
      <c r="C306" t="s">
        <v>194</v>
      </c>
      <c r="D306" t="s">
        <v>90</v>
      </c>
      <c r="E306" t="s">
        <v>91</v>
      </c>
      <c r="F306" s="1">
        <v>5920</v>
      </c>
    </row>
    <row r="307" spans="1:6" x14ac:dyDescent="0.3">
      <c r="A307" t="str">
        <f>_xlfn.XLOOKUP(ColombiaClientes[[#This Row],[Client]],VpsClientes[Client],VpsClientes[VP],"",0)</f>
        <v>Jhonatan Izquierdo Rico</v>
      </c>
      <c r="B307" t="s">
        <v>104</v>
      </c>
      <c r="C307" t="s">
        <v>194</v>
      </c>
      <c r="D307" t="s">
        <v>90</v>
      </c>
      <c r="E307" t="s">
        <v>91</v>
      </c>
      <c r="F307" s="1">
        <v>5840</v>
      </c>
    </row>
    <row r="308" spans="1:6" x14ac:dyDescent="0.3">
      <c r="A308" t="str">
        <f>_xlfn.XLOOKUP(ColombiaClientes[[#This Row],[Client]],VpsClientes[Client],VpsClientes[VP],"",0)</f>
        <v>Carlos Beltran Hernandez</v>
      </c>
      <c r="B308" t="s">
        <v>102</v>
      </c>
      <c r="C308" t="s">
        <v>194</v>
      </c>
      <c r="D308" t="s">
        <v>90</v>
      </c>
      <c r="E308" t="s">
        <v>91</v>
      </c>
      <c r="F308" s="1">
        <v>5188</v>
      </c>
    </row>
    <row r="309" spans="1:6" x14ac:dyDescent="0.3">
      <c r="A309" t="str">
        <f>_xlfn.XLOOKUP(ColombiaClientes[[#This Row],[Client]],VpsClientes[Client],VpsClientes[VP],"",0)</f>
        <v>Jhonatan Izquierdo Rico</v>
      </c>
      <c r="B309" t="s">
        <v>107</v>
      </c>
      <c r="C309" t="s">
        <v>194</v>
      </c>
      <c r="D309" t="s">
        <v>90</v>
      </c>
      <c r="E309" t="s">
        <v>91</v>
      </c>
      <c r="F309" s="1">
        <v>4757</v>
      </c>
    </row>
    <row r="310" spans="1:6" x14ac:dyDescent="0.3">
      <c r="A310" t="str">
        <f>_xlfn.XLOOKUP(ColombiaClientes[[#This Row],[Client]],VpsClientes[Client],VpsClientes[VP],"",0)</f>
        <v>Maria Forero Jara</v>
      </c>
      <c r="B310" t="s">
        <v>123</v>
      </c>
      <c r="C310" t="s">
        <v>194</v>
      </c>
      <c r="D310" t="s">
        <v>90</v>
      </c>
      <c r="E310" t="s">
        <v>91</v>
      </c>
      <c r="F310" s="1">
        <v>4724</v>
      </c>
    </row>
    <row r="311" spans="1:6" x14ac:dyDescent="0.3">
      <c r="A311" t="str">
        <f>_xlfn.XLOOKUP(ColombiaClientes[[#This Row],[Client]],VpsClientes[Client],VpsClientes[VP],"",0)</f>
        <v>Martha Guzman Arango</v>
      </c>
      <c r="B311" t="s">
        <v>97</v>
      </c>
      <c r="C311" t="s">
        <v>194</v>
      </c>
      <c r="D311" t="s">
        <v>90</v>
      </c>
      <c r="E311" t="s">
        <v>91</v>
      </c>
      <c r="F311" s="1">
        <v>4701</v>
      </c>
    </row>
    <row r="312" spans="1:6" x14ac:dyDescent="0.3">
      <c r="A312" t="str">
        <f>_xlfn.XLOOKUP(ColombiaClientes[[#This Row],[Client]],VpsClientes[Client],VpsClientes[VP],"",0)</f>
        <v>Martha Guzman Arango</v>
      </c>
      <c r="B312" t="s">
        <v>114</v>
      </c>
      <c r="C312" t="s">
        <v>194</v>
      </c>
      <c r="D312" t="s">
        <v>90</v>
      </c>
      <c r="E312" t="s">
        <v>91</v>
      </c>
      <c r="F312" s="1">
        <v>4411</v>
      </c>
    </row>
    <row r="313" spans="1:6" x14ac:dyDescent="0.3">
      <c r="A313" t="str">
        <f>_xlfn.XLOOKUP(ColombiaClientes[[#This Row],[Client]],VpsClientes[Client],VpsClientes[VP],"",0)</f>
        <v>Martha Guzman Arango</v>
      </c>
      <c r="B313" t="s">
        <v>109</v>
      </c>
      <c r="C313" t="s">
        <v>194</v>
      </c>
      <c r="D313" t="s">
        <v>90</v>
      </c>
      <c r="E313" t="s">
        <v>91</v>
      </c>
      <c r="F313" s="1">
        <v>4196</v>
      </c>
    </row>
    <row r="314" spans="1:6" x14ac:dyDescent="0.3">
      <c r="A314" t="str">
        <f>_xlfn.XLOOKUP(ColombiaClientes[[#This Row],[Client]],VpsClientes[Client],VpsClientes[VP],"",0)</f>
        <v>Martha Guzman Arango</v>
      </c>
      <c r="B314" t="s">
        <v>118</v>
      </c>
      <c r="C314" t="s">
        <v>194</v>
      </c>
      <c r="D314" t="s">
        <v>90</v>
      </c>
      <c r="E314" t="s">
        <v>91</v>
      </c>
      <c r="F314" s="1">
        <v>3598</v>
      </c>
    </row>
    <row r="315" spans="1:6" x14ac:dyDescent="0.3">
      <c r="A315" t="str">
        <f>_xlfn.XLOOKUP(ColombiaClientes[[#This Row],[Client]],VpsClientes[Client],VpsClientes[VP],"",0)</f>
        <v>Hector Muraira Garza</v>
      </c>
      <c r="B315" t="s">
        <v>137</v>
      </c>
      <c r="C315" t="s">
        <v>194</v>
      </c>
      <c r="D315" t="s">
        <v>90</v>
      </c>
      <c r="E315" t="s">
        <v>91</v>
      </c>
      <c r="F315" s="1">
        <v>3379</v>
      </c>
    </row>
    <row r="316" spans="1:6" x14ac:dyDescent="0.3">
      <c r="A316" t="str">
        <f>_xlfn.XLOOKUP(ColombiaClientes[[#This Row],[Client]],VpsClientes[Client],VpsClientes[VP],"",0)</f>
        <v>Ernesto Rico Zuluaga</v>
      </c>
      <c r="B316" t="s">
        <v>116</v>
      </c>
      <c r="C316" t="s">
        <v>194</v>
      </c>
      <c r="D316" t="s">
        <v>90</v>
      </c>
      <c r="E316" t="s">
        <v>91</v>
      </c>
      <c r="F316" s="1">
        <v>3224</v>
      </c>
    </row>
    <row r="317" spans="1:6" x14ac:dyDescent="0.3">
      <c r="A317" t="str">
        <f>_xlfn.XLOOKUP(ColombiaClientes[[#This Row],[Client]],VpsClientes[Client],VpsClientes[VP],"",0)</f>
        <v>Jhonatan Izquierdo Rico</v>
      </c>
      <c r="B317" t="s">
        <v>128</v>
      </c>
      <c r="C317" t="s">
        <v>194</v>
      </c>
      <c r="D317" t="s">
        <v>90</v>
      </c>
      <c r="E317" t="s">
        <v>91</v>
      </c>
      <c r="F317" s="1">
        <v>2890</v>
      </c>
    </row>
    <row r="318" spans="1:6" x14ac:dyDescent="0.3">
      <c r="A318" t="str">
        <f>_xlfn.XLOOKUP(ColombiaClientes[[#This Row],[Client]],VpsClientes[Client],VpsClientes[VP],"",0)</f>
        <v>Moises Saavedra Garcia</v>
      </c>
      <c r="B318" t="s">
        <v>110</v>
      </c>
      <c r="C318" t="s">
        <v>194</v>
      </c>
      <c r="D318" t="s">
        <v>90</v>
      </c>
      <c r="E318" t="s">
        <v>91</v>
      </c>
      <c r="F318" s="1">
        <v>2767</v>
      </c>
    </row>
    <row r="319" spans="1:6" x14ac:dyDescent="0.3">
      <c r="A319" t="str">
        <f>_xlfn.XLOOKUP(ColombiaClientes[[#This Row],[Client]],VpsClientes[Client],VpsClientes[VP],"",0)</f>
        <v>Sandra Romero Zuluaga</v>
      </c>
      <c r="B319" t="s">
        <v>113</v>
      </c>
      <c r="C319" t="s">
        <v>194</v>
      </c>
      <c r="D319" t="s">
        <v>90</v>
      </c>
      <c r="E319" t="s">
        <v>91</v>
      </c>
      <c r="F319" s="1">
        <v>2757</v>
      </c>
    </row>
    <row r="320" spans="1:6" x14ac:dyDescent="0.3">
      <c r="A320" t="str">
        <f>_xlfn.XLOOKUP(ColombiaClientes[[#This Row],[Client]],VpsClientes[Client],VpsClientes[VP],"",0)</f>
        <v>Hector Muraira Garza</v>
      </c>
      <c r="B320" t="s">
        <v>130</v>
      </c>
      <c r="C320" t="s">
        <v>194</v>
      </c>
      <c r="D320" t="s">
        <v>90</v>
      </c>
      <c r="E320" t="s">
        <v>91</v>
      </c>
      <c r="F320" s="1">
        <v>2580</v>
      </c>
    </row>
    <row r="321" spans="1:6" x14ac:dyDescent="0.3">
      <c r="A321" t="str">
        <f>_xlfn.XLOOKUP(ColombiaClientes[[#This Row],[Client]],VpsClientes[Client],VpsClientes[VP],"",0)</f>
        <v>Maria Forero Jara</v>
      </c>
      <c r="B321" t="s">
        <v>125</v>
      </c>
      <c r="C321" t="s">
        <v>194</v>
      </c>
      <c r="D321" t="s">
        <v>90</v>
      </c>
      <c r="E321" t="s">
        <v>91</v>
      </c>
      <c r="F321" s="1">
        <v>2576</v>
      </c>
    </row>
    <row r="322" spans="1:6" x14ac:dyDescent="0.3">
      <c r="A322" t="str">
        <f>_xlfn.XLOOKUP(ColombiaClientes[[#This Row],[Client]],VpsClientes[Client],VpsClientes[VP],"",0)</f>
        <v>Moises Saavedra Garcia</v>
      </c>
      <c r="B322" t="s">
        <v>115</v>
      </c>
      <c r="C322" t="s">
        <v>194</v>
      </c>
      <c r="D322" t="s">
        <v>90</v>
      </c>
      <c r="E322" t="s">
        <v>91</v>
      </c>
      <c r="F322" s="1">
        <v>2568</v>
      </c>
    </row>
    <row r="323" spans="1:6" x14ac:dyDescent="0.3">
      <c r="A323" t="str">
        <f>_xlfn.XLOOKUP(ColombiaClientes[[#This Row],[Client]],VpsClientes[Client],VpsClientes[VP],"",0)</f>
        <v>Juan Granados Castillo</v>
      </c>
      <c r="B323" t="s">
        <v>142</v>
      </c>
      <c r="C323" t="s">
        <v>194</v>
      </c>
      <c r="D323" t="s">
        <v>90</v>
      </c>
      <c r="E323" t="s">
        <v>91</v>
      </c>
      <c r="F323" s="1">
        <v>2481</v>
      </c>
    </row>
    <row r="324" spans="1:6" x14ac:dyDescent="0.3">
      <c r="A324" t="str">
        <f>_xlfn.XLOOKUP(ColombiaClientes[[#This Row],[Client]],VpsClientes[Client],VpsClientes[VP],"",0)</f>
        <v>Jhonatan Izquierdo Rico</v>
      </c>
      <c r="B324" t="s">
        <v>112</v>
      </c>
      <c r="C324" t="s">
        <v>194</v>
      </c>
      <c r="D324" t="s">
        <v>90</v>
      </c>
      <c r="E324" t="s">
        <v>91</v>
      </c>
      <c r="F324" s="1">
        <v>2431</v>
      </c>
    </row>
    <row r="325" spans="1:6" x14ac:dyDescent="0.3">
      <c r="A325" t="str">
        <f>_xlfn.XLOOKUP(ColombiaClientes[[#This Row],[Client]],VpsClientes[Client],VpsClientes[VP],"",0)</f>
        <v>Martha Guzman Arango</v>
      </c>
      <c r="B325" t="s">
        <v>122</v>
      </c>
      <c r="C325" t="s">
        <v>194</v>
      </c>
      <c r="D325" t="s">
        <v>90</v>
      </c>
      <c r="E325" t="s">
        <v>91</v>
      </c>
      <c r="F325" s="1">
        <v>2383</v>
      </c>
    </row>
    <row r="326" spans="1:6" x14ac:dyDescent="0.3">
      <c r="A326" t="str">
        <f>_xlfn.XLOOKUP(ColombiaClientes[[#This Row],[Client]],VpsClientes[Client],VpsClientes[VP],"",0)</f>
        <v>Carlos Beltran Hernandez</v>
      </c>
      <c r="B326" t="s">
        <v>119</v>
      </c>
      <c r="C326" t="s">
        <v>194</v>
      </c>
      <c r="D326" t="s">
        <v>90</v>
      </c>
      <c r="E326" t="s">
        <v>91</v>
      </c>
      <c r="F326" s="1">
        <v>2356</v>
      </c>
    </row>
    <row r="327" spans="1:6" x14ac:dyDescent="0.3">
      <c r="A327" t="str">
        <f>_xlfn.XLOOKUP(ColombiaClientes[[#This Row],[Client]],VpsClientes[Client],VpsClientes[VP],"",0)</f>
        <v>Juan Granados Castillo</v>
      </c>
      <c r="B327" t="s">
        <v>136</v>
      </c>
      <c r="C327" t="s">
        <v>194</v>
      </c>
      <c r="D327" t="s">
        <v>90</v>
      </c>
      <c r="E327" t="s">
        <v>91</v>
      </c>
      <c r="F327" s="1">
        <v>2038</v>
      </c>
    </row>
    <row r="328" spans="1:6" x14ac:dyDescent="0.3">
      <c r="A328" t="str">
        <f>_xlfn.XLOOKUP(ColombiaClientes[[#This Row],[Client]],VpsClientes[Client],VpsClientes[VP],"",0)</f>
        <v>Maria Forero Jara</v>
      </c>
      <c r="B328" t="s">
        <v>111</v>
      </c>
      <c r="C328" t="s">
        <v>194</v>
      </c>
      <c r="D328" t="s">
        <v>90</v>
      </c>
      <c r="E328" t="s">
        <v>91</v>
      </c>
      <c r="F328" s="1">
        <v>1942</v>
      </c>
    </row>
    <row r="329" spans="1:6" x14ac:dyDescent="0.3">
      <c r="A329" t="str">
        <f>_xlfn.XLOOKUP(ColombiaClientes[[#This Row],[Client]],VpsClientes[Client],VpsClientes[VP],"",0)</f>
        <v>Martha Guzman Arango</v>
      </c>
      <c r="B329" t="s">
        <v>124</v>
      </c>
      <c r="C329" t="s">
        <v>194</v>
      </c>
      <c r="D329" t="s">
        <v>90</v>
      </c>
      <c r="E329" t="s">
        <v>91</v>
      </c>
      <c r="F329" s="1">
        <v>1901</v>
      </c>
    </row>
    <row r="330" spans="1:6" x14ac:dyDescent="0.3">
      <c r="A330" t="str">
        <f>_xlfn.XLOOKUP(ColombiaClientes[[#This Row],[Client]],VpsClientes[Client],VpsClientes[VP],"",0)</f>
        <v>Martha Guzman Arango</v>
      </c>
      <c r="B330" t="s">
        <v>166</v>
      </c>
      <c r="C330" t="s">
        <v>194</v>
      </c>
      <c r="D330" t="s">
        <v>90</v>
      </c>
      <c r="E330" t="s">
        <v>91</v>
      </c>
      <c r="F330" s="1">
        <v>1782</v>
      </c>
    </row>
    <row r="331" spans="1:6" x14ac:dyDescent="0.3">
      <c r="A331" t="str">
        <f>_xlfn.XLOOKUP(ColombiaClientes[[#This Row],[Client]],VpsClientes[Client],VpsClientes[VP],"",0)</f>
        <v>Ernesto Rico Zuluaga</v>
      </c>
      <c r="B331" t="s">
        <v>121</v>
      </c>
      <c r="C331" t="s">
        <v>194</v>
      </c>
      <c r="D331" t="s">
        <v>90</v>
      </c>
      <c r="E331" t="s">
        <v>91</v>
      </c>
      <c r="F331" s="1">
        <v>1758</v>
      </c>
    </row>
    <row r="332" spans="1:6" x14ac:dyDescent="0.3">
      <c r="A332" t="str">
        <f>_xlfn.XLOOKUP(ColombiaClientes[[#This Row],[Client]],VpsClientes[Client],VpsClientes[VP],"",0)</f>
        <v>Moises Saavedra Garcia</v>
      </c>
      <c r="B332" t="s">
        <v>172</v>
      </c>
      <c r="C332" t="s">
        <v>194</v>
      </c>
      <c r="D332" t="s">
        <v>90</v>
      </c>
      <c r="E332" t="s">
        <v>91</v>
      </c>
      <c r="F332" s="1">
        <v>1678</v>
      </c>
    </row>
    <row r="333" spans="1:6" x14ac:dyDescent="0.3">
      <c r="A333" t="str">
        <f>_xlfn.XLOOKUP(ColombiaClientes[[#This Row],[Client]],VpsClientes[Client],VpsClientes[VP],"",0)</f>
        <v>Juan Granados Castillo</v>
      </c>
      <c r="B333" t="s">
        <v>134</v>
      </c>
      <c r="C333" t="s">
        <v>194</v>
      </c>
      <c r="D333" t="s">
        <v>90</v>
      </c>
      <c r="E333" t="s">
        <v>91</v>
      </c>
      <c r="F333" s="1">
        <v>1569</v>
      </c>
    </row>
    <row r="334" spans="1:6" x14ac:dyDescent="0.3">
      <c r="A334" t="str">
        <f>_xlfn.XLOOKUP(ColombiaClientes[[#This Row],[Client]],VpsClientes[Client],VpsClientes[VP],"",0)</f>
        <v>Martha Guzman Arango</v>
      </c>
      <c r="B334" t="s">
        <v>143</v>
      </c>
      <c r="C334" t="s">
        <v>194</v>
      </c>
      <c r="D334" t="s">
        <v>90</v>
      </c>
      <c r="E334" t="s">
        <v>91</v>
      </c>
      <c r="F334" s="1">
        <v>1371</v>
      </c>
    </row>
    <row r="335" spans="1:6" x14ac:dyDescent="0.3">
      <c r="A335" t="str">
        <f>_xlfn.XLOOKUP(ColombiaClientes[[#This Row],[Client]],VpsClientes[Client],VpsClientes[VP],"",0)</f>
        <v>Martha Guzman Arango</v>
      </c>
      <c r="B335" t="s">
        <v>135</v>
      </c>
      <c r="C335" t="s">
        <v>194</v>
      </c>
      <c r="D335" t="s">
        <v>90</v>
      </c>
      <c r="E335" t="s">
        <v>91</v>
      </c>
      <c r="F335" s="1">
        <v>1229</v>
      </c>
    </row>
    <row r="336" spans="1:6" x14ac:dyDescent="0.3">
      <c r="A336" t="str">
        <f>_xlfn.XLOOKUP(ColombiaClientes[[#This Row],[Client]],VpsClientes[Client],VpsClientes[VP],"",0)</f>
        <v>Moises Saavedra Garcia</v>
      </c>
      <c r="B336" t="s">
        <v>120</v>
      </c>
      <c r="C336" t="s">
        <v>194</v>
      </c>
      <c r="D336" t="s">
        <v>90</v>
      </c>
      <c r="E336" t="s">
        <v>91</v>
      </c>
      <c r="F336" s="1">
        <v>1204</v>
      </c>
    </row>
    <row r="337" spans="1:6" x14ac:dyDescent="0.3">
      <c r="A337" t="str">
        <f>_xlfn.XLOOKUP(ColombiaClientes[[#This Row],[Client]],VpsClientes[Client],VpsClientes[VP],"",0)</f>
        <v>Jhonatan Izquierdo Rico</v>
      </c>
      <c r="B337" t="s">
        <v>126</v>
      </c>
      <c r="C337" t="s">
        <v>194</v>
      </c>
      <c r="D337" t="s">
        <v>90</v>
      </c>
      <c r="E337" t="s">
        <v>91</v>
      </c>
      <c r="F337" s="1">
        <v>1178</v>
      </c>
    </row>
    <row r="338" spans="1:6" x14ac:dyDescent="0.3">
      <c r="A338" t="str">
        <f>_xlfn.XLOOKUP(ColombiaClientes[[#This Row],[Client]],VpsClientes[Client],VpsClientes[VP],"",0)</f>
        <v>Carlos Beltran Hernandez</v>
      </c>
      <c r="B338" t="s">
        <v>151</v>
      </c>
      <c r="C338" t="s">
        <v>194</v>
      </c>
      <c r="D338" t="s">
        <v>90</v>
      </c>
      <c r="E338" t="s">
        <v>91</v>
      </c>
      <c r="F338" s="1">
        <v>994</v>
      </c>
    </row>
    <row r="339" spans="1:6" x14ac:dyDescent="0.3">
      <c r="A339" t="str">
        <f>_xlfn.XLOOKUP(ColombiaClientes[[#This Row],[Client]],VpsClientes[Client],VpsClientes[VP],"",0)</f>
        <v>Jhonatan Izquierdo Rico</v>
      </c>
      <c r="B339" t="s">
        <v>138</v>
      </c>
      <c r="C339" t="s">
        <v>194</v>
      </c>
      <c r="D339" t="s">
        <v>90</v>
      </c>
      <c r="E339" t="s">
        <v>91</v>
      </c>
      <c r="F339" s="1">
        <v>919</v>
      </c>
    </row>
    <row r="340" spans="1:6" x14ac:dyDescent="0.3">
      <c r="A340" t="str">
        <f>_xlfn.XLOOKUP(ColombiaClientes[[#This Row],[Client]],VpsClientes[Client],VpsClientes[VP],"",0)</f>
        <v>Maria Forero Jara</v>
      </c>
      <c r="B340" t="s">
        <v>144</v>
      </c>
      <c r="C340" t="s">
        <v>194</v>
      </c>
      <c r="D340" t="s">
        <v>90</v>
      </c>
      <c r="E340" t="s">
        <v>91</v>
      </c>
      <c r="F340" s="1">
        <v>830</v>
      </c>
    </row>
    <row r="341" spans="1:6" x14ac:dyDescent="0.3">
      <c r="A341" t="str">
        <f>_xlfn.XLOOKUP(ColombiaClientes[[#This Row],[Client]],VpsClientes[Client],VpsClientes[VP],"",0)</f>
        <v>Martha Guzman Arango</v>
      </c>
      <c r="B341" t="s">
        <v>168</v>
      </c>
      <c r="C341" t="s">
        <v>194</v>
      </c>
      <c r="D341" t="s">
        <v>90</v>
      </c>
      <c r="E341" t="s">
        <v>91</v>
      </c>
      <c r="F341" s="1">
        <v>779</v>
      </c>
    </row>
    <row r="342" spans="1:6" x14ac:dyDescent="0.3">
      <c r="A342" t="str">
        <f>_xlfn.XLOOKUP(ColombiaClientes[[#This Row],[Client]],VpsClientes[Client],VpsClientes[VP],"",0)</f>
        <v>Jhonatan Izquierdo Rico</v>
      </c>
      <c r="B342" t="s">
        <v>196</v>
      </c>
      <c r="C342" t="s">
        <v>194</v>
      </c>
      <c r="D342" t="s">
        <v>90</v>
      </c>
      <c r="E342" t="s">
        <v>91</v>
      </c>
      <c r="F342" s="1">
        <v>649</v>
      </c>
    </row>
    <row r="343" spans="1:6" x14ac:dyDescent="0.3">
      <c r="A343" t="str">
        <f>_xlfn.XLOOKUP(ColombiaClientes[[#This Row],[Client]],VpsClientes[Client],VpsClientes[VP],"",0)</f>
        <v>Maria Forero Jara</v>
      </c>
      <c r="B343" t="s">
        <v>139</v>
      </c>
      <c r="C343" t="s">
        <v>194</v>
      </c>
      <c r="D343" t="s">
        <v>90</v>
      </c>
      <c r="E343" t="s">
        <v>91</v>
      </c>
      <c r="F343" s="1">
        <v>647</v>
      </c>
    </row>
    <row r="344" spans="1:6" x14ac:dyDescent="0.3">
      <c r="A344" t="str">
        <f>_xlfn.XLOOKUP(ColombiaClientes[[#This Row],[Client]],VpsClientes[Client],VpsClientes[VP],"",0)</f>
        <v>Martha Guzman Arango</v>
      </c>
      <c r="B344" t="s">
        <v>152</v>
      </c>
      <c r="C344" t="s">
        <v>194</v>
      </c>
      <c r="D344" t="s">
        <v>90</v>
      </c>
      <c r="E344" t="s">
        <v>91</v>
      </c>
      <c r="F344" s="1">
        <v>615</v>
      </c>
    </row>
    <row r="345" spans="1:6" x14ac:dyDescent="0.3">
      <c r="A345" t="str">
        <f>_xlfn.XLOOKUP(ColombiaClientes[[#This Row],[Client]],VpsClientes[Client],VpsClientes[VP],"",0)</f>
        <v>Jhonatan Izquierdo Rico</v>
      </c>
      <c r="B345" t="s">
        <v>117</v>
      </c>
      <c r="C345" t="s">
        <v>194</v>
      </c>
      <c r="D345" t="s">
        <v>90</v>
      </c>
      <c r="E345" t="s">
        <v>91</v>
      </c>
      <c r="F345" s="1">
        <v>598</v>
      </c>
    </row>
    <row r="346" spans="1:6" x14ac:dyDescent="0.3">
      <c r="A346" t="str">
        <f>_xlfn.XLOOKUP(ColombiaClientes[[#This Row],[Client]],VpsClientes[Client],VpsClientes[VP],"",0)</f>
        <v>Hector Muraira Garza</v>
      </c>
      <c r="B346" t="s">
        <v>154</v>
      </c>
      <c r="C346" t="s">
        <v>194</v>
      </c>
      <c r="D346" t="s">
        <v>90</v>
      </c>
      <c r="E346" t="s">
        <v>91</v>
      </c>
      <c r="F346" s="1">
        <v>588</v>
      </c>
    </row>
    <row r="347" spans="1:6" x14ac:dyDescent="0.3">
      <c r="A347" t="str">
        <f>_xlfn.XLOOKUP(ColombiaClientes[[#This Row],[Client]],VpsClientes[Client],VpsClientes[VP],"",0)</f>
        <v>Moises Saavedra Garcia</v>
      </c>
      <c r="B347" t="s">
        <v>150</v>
      </c>
      <c r="C347" t="s">
        <v>194</v>
      </c>
      <c r="D347" t="s">
        <v>90</v>
      </c>
      <c r="E347" t="s">
        <v>91</v>
      </c>
      <c r="F347" s="1">
        <v>586</v>
      </c>
    </row>
    <row r="348" spans="1:6" x14ac:dyDescent="0.3">
      <c r="A348" t="str">
        <f>_xlfn.XLOOKUP(ColombiaClientes[[#This Row],[Client]],VpsClientes[Client],VpsClientes[VP],"",0)</f>
        <v>Hector Muraira Garza</v>
      </c>
      <c r="B348" t="s">
        <v>140</v>
      </c>
      <c r="C348" t="s">
        <v>194</v>
      </c>
      <c r="D348" t="s">
        <v>90</v>
      </c>
      <c r="E348" t="s">
        <v>91</v>
      </c>
      <c r="F348" s="1">
        <v>584</v>
      </c>
    </row>
    <row r="349" spans="1:6" x14ac:dyDescent="0.3">
      <c r="A349" t="str">
        <f>_xlfn.XLOOKUP(ColombiaClientes[[#This Row],[Client]],VpsClientes[Client],VpsClientes[VP],"",0)</f>
        <v>Martha Guzman Arango</v>
      </c>
      <c r="B349" t="s">
        <v>165</v>
      </c>
      <c r="C349" t="s">
        <v>194</v>
      </c>
      <c r="D349" t="s">
        <v>90</v>
      </c>
      <c r="E349" t="s">
        <v>91</v>
      </c>
      <c r="F349" s="1">
        <v>578</v>
      </c>
    </row>
    <row r="350" spans="1:6" x14ac:dyDescent="0.3">
      <c r="A350" t="str">
        <f>_xlfn.XLOOKUP(ColombiaClientes[[#This Row],[Client]],VpsClientes[Client],VpsClientes[VP],"",0)</f>
        <v>Martha Guzman Arango</v>
      </c>
      <c r="B350" t="s">
        <v>162</v>
      </c>
      <c r="C350" t="s">
        <v>194</v>
      </c>
      <c r="D350" t="s">
        <v>90</v>
      </c>
      <c r="E350" t="s">
        <v>91</v>
      </c>
      <c r="F350" s="1">
        <v>568</v>
      </c>
    </row>
    <row r="351" spans="1:6" x14ac:dyDescent="0.3">
      <c r="A351" t="str">
        <f>_xlfn.XLOOKUP(ColombiaClientes[[#This Row],[Client]],VpsClientes[Client],VpsClientes[VP],"",0)</f>
        <v>Martha Guzman Arango</v>
      </c>
      <c r="B351" t="s">
        <v>145</v>
      </c>
      <c r="C351" t="s">
        <v>194</v>
      </c>
      <c r="D351" t="s">
        <v>90</v>
      </c>
      <c r="E351" t="s">
        <v>91</v>
      </c>
      <c r="F351" s="1">
        <v>521</v>
      </c>
    </row>
    <row r="352" spans="1:6" x14ac:dyDescent="0.3">
      <c r="A352" t="str">
        <f>_xlfn.XLOOKUP(ColombiaClientes[[#This Row],[Client]],VpsClientes[Client],VpsClientes[VP],"",0)</f>
        <v>Martha Guzman Arango</v>
      </c>
      <c r="B352" t="s">
        <v>153</v>
      </c>
      <c r="C352" t="s">
        <v>194</v>
      </c>
      <c r="D352" t="s">
        <v>90</v>
      </c>
      <c r="E352" t="s">
        <v>91</v>
      </c>
      <c r="F352" s="1">
        <v>486</v>
      </c>
    </row>
    <row r="353" spans="1:6" x14ac:dyDescent="0.3">
      <c r="A353" t="str">
        <f>_xlfn.XLOOKUP(ColombiaClientes[[#This Row],[Client]],VpsClientes[Client],VpsClientes[VP],"",0)</f>
        <v>Moises Saavedra Garcia</v>
      </c>
      <c r="B353" t="s">
        <v>184</v>
      </c>
      <c r="C353" t="s">
        <v>191</v>
      </c>
      <c r="D353" t="s">
        <v>90</v>
      </c>
      <c r="E353" t="s">
        <v>91</v>
      </c>
      <c r="F353" s="1">
        <v>7</v>
      </c>
    </row>
    <row r="354" spans="1:6" x14ac:dyDescent="0.3">
      <c r="A354" t="str">
        <f>_xlfn.XLOOKUP(ColombiaClientes[[#This Row],[Client]],VpsClientes[Client],VpsClientes[VP],"",0)</f>
        <v>Hector Muraira Garza</v>
      </c>
      <c r="B354" t="s">
        <v>132</v>
      </c>
      <c r="C354" t="s">
        <v>194</v>
      </c>
      <c r="D354" t="s">
        <v>90</v>
      </c>
      <c r="E354" t="s">
        <v>91</v>
      </c>
      <c r="F354" s="1">
        <v>460</v>
      </c>
    </row>
    <row r="355" spans="1:6" x14ac:dyDescent="0.3">
      <c r="A355" t="str">
        <f>_xlfn.XLOOKUP(ColombiaClientes[[#This Row],[Client]],VpsClientes[Client],VpsClientes[VP],"",0)</f>
        <v>Juan Granados Castillo</v>
      </c>
      <c r="B355" t="s">
        <v>149</v>
      </c>
      <c r="C355" t="s">
        <v>194</v>
      </c>
      <c r="D355" t="s">
        <v>90</v>
      </c>
      <c r="E355" t="s">
        <v>91</v>
      </c>
      <c r="F355" s="1">
        <v>443</v>
      </c>
    </row>
    <row r="356" spans="1:6" x14ac:dyDescent="0.3">
      <c r="A356" t="str">
        <f>_xlfn.XLOOKUP(ColombiaClientes[[#This Row],[Client]],VpsClientes[Client],VpsClientes[VP],"",0)</f>
        <v>Martha Guzman Arango</v>
      </c>
      <c r="B356" t="s">
        <v>146</v>
      </c>
      <c r="C356" t="s">
        <v>194</v>
      </c>
      <c r="D356" t="s">
        <v>90</v>
      </c>
      <c r="E356" t="s">
        <v>91</v>
      </c>
      <c r="F356" s="1">
        <v>432</v>
      </c>
    </row>
    <row r="357" spans="1:6" x14ac:dyDescent="0.3">
      <c r="A357" t="str">
        <f>_xlfn.XLOOKUP(ColombiaClientes[[#This Row],[Client]],VpsClientes[Client],VpsClientes[VP],"",0)</f>
        <v>Martha Guzman Arango</v>
      </c>
      <c r="B357" t="s">
        <v>156</v>
      </c>
      <c r="C357" t="s">
        <v>194</v>
      </c>
      <c r="D357" t="s">
        <v>90</v>
      </c>
      <c r="E357" t="s">
        <v>91</v>
      </c>
      <c r="F357" s="1">
        <v>421</v>
      </c>
    </row>
    <row r="358" spans="1:6" x14ac:dyDescent="0.3">
      <c r="A358" t="str">
        <f>_xlfn.XLOOKUP(ColombiaClientes[[#This Row],[Client]],VpsClientes[Client],VpsClientes[VP],"",0)</f>
        <v>Martha Guzman Arango</v>
      </c>
      <c r="B358" t="s">
        <v>174</v>
      </c>
      <c r="C358" t="s">
        <v>194</v>
      </c>
      <c r="D358" t="s">
        <v>90</v>
      </c>
      <c r="E358" t="s">
        <v>91</v>
      </c>
      <c r="F358" s="1">
        <v>372</v>
      </c>
    </row>
    <row r="359" spans="1:6" x14ac:dyDescent="0.3">
      <c r="A359" t="str">
        <f>_xlfn.XLOOKUP(ColombiaClientes[[#This Row],[Client]],VpsClientes[Client],VpsClientes[VP],"",0)</f>
        <v>Martha Guzman Arango</v>
      </c>
      <c r="B359" t="s">
        <v>185</v>
      </c>
      <c r="C359" t="s">
        <v>194</v>
      </c>
      <c r="D359" t="s">
        <v>90</v>
      </c>
      <c r="E359" t="s">
        <v>91</v>
      </c>
      <c r="F359" s="1">
        <v>352</v>
      </c>
    </row>
    <row r="360" spans="1:6" x14ac:dyDescent="0.3">
      <c r="A360" t="str">
        <f>_xlfn.XLOOKUP(ColombiaClientes[[#This Row],[Client]],VpsClientes[Client],VpsClientes[VP],"",0)</f>
        <v>Maria Forero Jara</v>
      </c>
      <c r="B360" t="s">
        <v>163</v>
      </c>
      <c r="C360" t="s">
        <v>194</v>
      </c>
      <c r="D360" t="s">
        <v>90</v>
      </c>
      <c r="E360" t="s">
        <v>91</v>
      </c>
      <c r="F360" s="1">
        <v>345</v>
      </c>
    </row>
    <row r="361" spans="1:6" x14ac:dyDescent="0.3">
      <c r="A361" t="str">
        <f>_xlfn.XLOOKUP(ColombiaClientes[[#This Row],[Client]],VpsClientes[Client],VpsClientes[VP],"",0)</f>
        <v>Jhonatan Izquierdo Rico</v>
      </c>
      <c r="B361" t="s">
        <v>197</v>
      </c>
      <c r="C361" t="s">
        <v>194</v>
      </c>
      <c r="D361" t="s">
        <v>90</v>
      </c>
      <c r="E361" t="s">
        <v>91</v>
      </c>
      <c r="F361" s="1">
        <v>325</v>
      </c>
    </row>
    <row r="362" spans="1:6" x14ac:dyDescent="0.3">
      <c r="A362" t="str">
        <f>_xlfn.XLOOKUP(ColombiaClientes[[#This Row],[Client]],VpsClientes[Client],VpsClientes[VP],"",0)</f>
        <v>Jhonatan Izquierdo Rico</v>
      </c>
      <c r="B362" t="s">
        <v>129</v>
      </c>
      <c r="C362" t="s">
        <v>194</v>
      </c>
      <c r="D362" t="s">
        <v>90</v>
      </c>
      <c r="E362" t="s">
        <v>91</v>
      </c>
      <c r="F362" s="1">
        <v>281</v>
      </c>
    </row>
    <row r="363" spans="1:6" x14ac:dyDescent="0.3">
      <c r="A363" t="str">
        <f>_xlfn.XLOOKUP(ColombiaClientes[[#This Row],[Client]],VpsClientes[Client],VpsClientes[VP],"",0)</f>
        <v>Carlos Beltran Hernandez</v>
      </c>
      <c r="B363" t="s">
        <v>173</v>
      </c>
      <c r="C363" t="s">
        <v>194</v>
      </c>
      <c r="D363" t="s">
        <v>90</v>
      </c>
      <c r="E363" t="s">
        <v>91</v>
      </c>
      <c r="F363" s="1">
        <v>267</v>
      </c>
    </row>
    <row r="364" spans="1:6" x14ac:dyDescent="0.3">
      <c r="A364" t="str">
        <f>_xlfn.XLOOKUP(ColombiaClientes[[#This Row],[Client]],VpsClientes[Client],VpsClientes[VP],"",0)</f>
        <v>Martha Guzman Arango</v>
      </c>
      <c r="B364" t="s">
        <v>148</v>
      </c>
      <c r="C364" t="s">
        <v>194</v>
      </c>
      <c r="D364" t="s">
        <v>90</v>
      </c>
      <c r="E364" t="s">
        <v>91</v>
      </c>
      <c r="F364" s="1">
        <v>256</v>
      </c>
    </row>
    <row r="365" spans="1:6" x14ac:dyDescent="0.3">
      <c r="A365" t="str">
        <f>_xlfn.XLOOKUP(ColombiaClientes[[#This Row],[Client]],VpsClientes[Client],VpsClientes[VP],"",0)</f>
        <v>Jhonatan Izquierdo Rico</v>
      </c>
      <c r="B365" t="s">
        <v>157</v>
      </c>
      <c r="C365" t="s">
        <v>194</v>
      </c>
      <c r="D365" t="s">
        <v>90</v>
      </c>
      <c r="E365" t="s">
        <v>91</v>
      </c>
      <c r="F365" s="1">
        <v>240</v>
      </c>
    </row>
    <row r="366" spans="1:6" x14ac:dyDescent="0.3">
      <c r="A366" t="str">
        <f>_xlfn.XLOOKUP(ColombiaClientes[[#This Row],[Client]],VpsClientes[Client],VpsClientes[VP],"",0)</f>
        <v>Martha Guzman Arango</v>
      </c>
      <c r="B366" t="s">
        <v>131</v>
      </c>
      <c r="C366" t="s">
        <v>194</v>
      </c>
      <c r="D366" t="s">
        <v>90</v>
      </c>
      <c r="E366" t="s">
        <v>91</v>
      </c>
      <c r="F366" s="1">
        <v>236</v>
      </c>
    </row>
    <row r="367" spans="1:6" x14ac:dyDescent="0.3">
      <c r="A367" t="str">
        <f>_xlfn.XLOOKUP(ColombiaClientes[[#This Row],[Client]],VpsClientes[Client],VpsClientes[VP],"",0)</f>
        <v>Carlos Beltran Hernandez</v>
      </c>
      <c r="B367" t="s">
        <v>158</v>
      </c>
      <c r="C367" t="s">
        <v>194</v>
      </c>
      <c r="D367" t="s">
        <v>90</v>
      </c>
      <c r="E367" t="s">
        <v>91</v>
      </c>
      <c r="F367" s="1">
        <v>233</v>
      </c>
    </row>
    <row r="368" spans="1:6" x14ac:dyDescent="0.3">
      <c r="A368" t="str">
        <f>_xlfn.XLOOKUP(ColombiaClientes[[#This Row],[Client]],VpsClientes[Client],VpsClientes[VP],"",0)</f>
        <v>Martha Guzman Arango</v>
      </c>
      <c r="B368" t="s">
        <v>170</v>
      </c>
      <c r="C368" t="s">
        <v>194</v>
      </c>
      <c r="D368" t="s">
        <v>90</v>
      </c>
      <c r="E368" t="s">
        <v>91</v>
      </c>
      <c r="F368" s="1">
        <v>223</v>
      </c>
    </row>
    <row r="369" spans="1:6" x14ac:dyDescent="0.3">
      <c r="A369" t="str">
        <f>_xlfn.XLOOKUP(ColombiaClientes[[#This Row],[Client]],VpsClientes[Client],VpsClientes[VP],"",0)</f>
        <v>Moises Saavedra Garcia</v>
      </c>
      <c r="B369" t="s">
        <v>175</v>
      </c>
      <c r="C369" t="s">
        <v>194</v>
      </c>
      <c r="D369" t="s">
        <v>90</v>
      </c>
      <c r="E369" t="s">
        <v>91</v>
      </c>
      <c r="F369" s="1">
        <v>218</v>
      </c>
    </row>
    <row r="370" spans="1:6" x14ac:dyDescent="0.3">
      <c r="A370" t="str">
        <f>_xlfn.XLOOKUP(ColombiaClientes[[#This Row],[Client]],VpsClientes[Client],VpsClientes[VP],"",0)</f>
        <v>Moises Saavedra Garcia</v>
      </c>
      <c r="B370" t="s">
        <v>184</v>
      </c>
      <c r="C370" t="s">
        <v>92</v>
      </c>
      <c r="D370" t="s">
        <v>90</v>
      </c>
      <c r="E370" t="s">
        <v>206</v>
      </c>
      <c r="F370" s="1">
        <v>167</v>
      </c>
    </row>
    <row r="371" spans="1:6" x14ac:dyDescent="0.3">
      <c r="A371" t="str">
        <f>_xlfn.XLOOKUP(ColombiaClientes[[#This Row],[Client]],VpsClientes[Client],VpsClientes[VP],"",0)</f>
        <v>Martha Guzman Arango</v>
      </c>
      <c r="B371" t="s">
        <v>171</v>
      </c>
      <c r="C371" t="s">
        <v>194</v>
      </c>
      <c r="D371" t="s">
        <v>90</v>
      </c>
      <c r="E371" t="s">
        <v>91</v>
      </c>
      <c r="F371" s="1">
        <v>208</v>
      </c>
    </row>
    <row r="372" spans="1:6" x14ac:dyDescent="0.3">
      <c r="A372" t="str">
        <f>_xlfn.XLOOKUP(ColombiaClientes[[#This Row],[Client]],VpsClientes[Client],VpsClientes[VP],"",0)</f>
        <v>Maria Forero Jara</v>
      </c>
      <c r="B372" t="s">
        <v>161</v>
      </c>
      <c r="C372" t="s">
        <v>194</v>
      </c>
      <c r="D372" t="s">
        <v>90</v>
      </c>
      <c r="E372" t="s">
        <v>91</v>
      </c>
      <c r="F372" s="1">
        <v>190</v>
      </c>
    </row>
    <row r="373" spans="1:6" x14ac:dyDescent="0.3">
      <c r="A373" t="str">
        <f>_xlfn.XLOOKUP(ColombiaClientes[[#This Row],[Client]],VpsClientes[Client],VpsClientes[VP],"",0)</f>
        <v>Maria Forero Jara</v>
      </c>
      <c r="B373" t="s">
        <v>198</v>
      </c>
      <c r="C373" t="s">
        <v>194</v>
      </c>
      <c r="D373" t="s">
        <v>90</v>
      </c>
      <c r="E373" t="s">
        <v>91</v>
      </c>
      <c r="F373" s="1">
        <v>184</v>
      </c>
    </row>
    <row r="374" spans="1:6" x14ac:dyDescent="0.3">
      <c r="A374" t="str">
        <f>_xlfn.XLOOKUP(ColombiaClientes[[#This Row],[Client]],VpsClientes[Client],VpsClientes[VP],"",0)</f>
        <v>Moises Saavedra Garcia</v>
      </c>
      <c r="B374" t="s">
        <v>184</v>
      </c>
      <c r="C374" t="s">
        <v>191</v>
      </c>
      <c r="D374" t="s">
        <v>90</v>
      </c>
      <c r="E374" t="s">
        <v>206</v>
      </c>
      <c r="F374" s="1">
        <v>37</v>
      </c>
    </row>
    <row r="375" spans="1:6" x14ac:dyDescent="0.3">
      <c r="A375" t="str">
        <f>_xlfn.XLOOKUP(ColombiaClientes[[#This Row],[Client]],VpsClientes[Client],VpsClientes[VP],"",0)</f>
        <v>Martha Guzman Arango</v>
      </c>
      <c r="B375" t="s">
        <v>199</v>
      </c>
      <c r="C375" t="s">
        <v>194</v>
      </c>
      <c r="D375" t="s">
        <v>90</v>
      </c>
      <c r="E375" t="s">
        <v>91</v>
      </c>
      <c r="F375" s="1">
        <v>175</v>
      </c>
    </row>
    <row r="376" spans="1:6" x14ac:dyDescent="0.3">
      <c r="A376" t="str">
        <f>_xlfn.XLOOKUP(ColombiaClientes[[#This Row],[Client]],VpsClientes[Client],VpsClientes[VP],"",0)</f>
        <v>Moises Saavedra Garcia</v>
      </c>
      <c r="B376" t="s">
        <v>187</v>
      </c>
      <c r="C376" t="s">
        <v>194</v>
      </c>
      <c r="D376" t="s">
        <v>90</v>
      </c>
      <c r="E376" t="s">
        <v>91</v>
      </c>
      <c r="F376" s="1">
        <v>144</v>
      </c>
    </row>
    <row r="377" spans="1:6" x14ac:dyDescent="0.3">
      <c r="A377" t="str">
        <f>_xlfn.XLOOKUP(ColombiaClientes[[#This Row],[Client]],VpsClientes[Client],VpsClientes[VP],"",0)</f>
        <v>Maria Forero Jara</v>
      </c>
      <c r="B377" t="s">
        <v>179</v>
      </c>
      <c r="C377" t="s">
        <v>194</v>
      </c>
      <c r="D377" t="s">
        <v>90</v>
      </c>
      <c r="E377" t="s">
        <v>91</v>
      </c>
      <c r="F377" s="1">
        <v>142</v>
      </c>
    </row>
    <row r="378" spans="1:6" x14ac:dyDescent="0.3">
      <c r="A378" t="str">
        <f>_xlfn.XLOOKUP(ColombiaClientes[[#This Row],[Client]],VpsClientes[Client],VpsClientes[VP],"",0)</f>
        <v>Martha Guzman Arango</v>
      </c>
      <c r="B378" t="s">
        <v>155</v>
      </c>
      <c r="C378" t="s">
        <v>194</v>
      </c>
      <c r="D378" t="s">
        <v>90</v>
      </c>
      <c r="E378" t="s">
        <v>91</v>
      </c>
      <c r="F378" s="1">
        <v>119</v>
      </c>
    </row>
    <row r="379" spans="1:6" x14ac:dyDescent="0.3">
      <c r="A379" t="str">
        <f>_xlfn.XLOOKUP(ColombiaClientes[[#This Row],[Client]],VpsClientes[Client],VpsClientes[VP],"",0)</f>
        <v>Moises Saavedra Garcia</v>
      </c>
      <c r="B379" t="s">
        <v>184</v>
      </c>
      <c r="C379" t="s">
        <v>92</v>
      </c>
      <c r="D379" t="s">
        <v>219</v>
      </c>
      <c r="E379" t="s">
        <v>91</v>
      </c>
      <c r="F379" s="1">
        <v>34</v>
      </c>
    </row>
    <row r="380" spans="1:6" x14ac:dyDescent="0.3">
      <c r="A380" t="str">
        <f>_xlfn.XLOOKUP(ColombiaClientes[[#This Row],[Client]],VpsClientes[Client],VpsClientes[VP],"",0)</f>
        <v>Martha Guzman Arango</v>
      </c>
      <c r="B380" t="s">
        <v>176</v>
      </c>
      <c r="C380" t="s">
        <v>194</v>
      </c>
      <c r="D380" t="s">
        <v>90</v>
      </c>
      <c r="E380" t="s">
        <v>91</v>
      </c>
      <c r="F380" s="1">
        <v>105</v>
      </c>
    </row>
    <row r="381" spans="1:6" x14ac:dyDescent="0.3">
      <c r="A381" t="str">
        <f>_xlfn.XLOOKUP(ColombiaClientes[[#This Row],[Client]],VpsClientes[Client],VpsClientes[VP],"",0)</f>
        <v>Jhonatan Izquierdo Rico</v>
      </c>
      <c r="B381" t="s">
        <v>159</v>
      </c>
      <c r="C381" t="s">
        <v>194</v>
      </c>
      <c r="D381" t="s">
        <v>90</v>
      </c>
      <c r="E381" t="s">
        <v>91</v>
      </c>
      <c r="F381" s="1">
        <v>104</v>
      </c>
    </row>
    <row r="382" spans="1:6" x14ac:dyDescent="0.3">
      <c r="A382" t="str">
        <f>_xlfn.XLOOKUP(ColombiaClientes[[#This Row],[Client]],VpsClientes[Client],VpsClientes[VP],"",0)</f>
        <v>Martha Guzman Arango</v>
      </c>
      <c r="B382" t="s">
        <v>183</v>
      </c>
      <c r="C382" t="s">
        <v>194</v>
      </c>
      <c r="D382" t="s">
        <v>90</v>
      </c>
      <c r="E382" t="s">
        <v>91</v>
      </c>
      <c r="F382" s="1">
        <v>88</v>
      </c>
    </row>
    <row r="383" spans="1:6" x14ac:dyDescent="0.3">
      <c r="A383" t="str">
        <f>_xlfn.XLOOKUP(ColombiaClientes[[#This Row],[Client]],VpsClientes[Client],VpsClientes[VP],"",0)</f>
        <v>Maria Forero Jara</v>
      </c>
      <c r="B383" t="s">
        <v>182</v>
      </c>
      <c r="C383" t="s">
        <v>194</v>
      </c>
      <c r="D383" t="s">
        <v>90</v>
      </c>
      <c r="E383" t="s">
        <v>91</v>
      </c>
      <c r="F383" s="1">
        <v>80</v>
      </c>
    </row>
    <row r="384" spans="1:6" x14ac:dyDescent="0.3">
      <c r="A384" t="str">
        <f>_xlfn.XLOOKUP(ColombiaClientes[[#This Row],[Client]],VpsClientes[Client],VpsClientes[VP],"",0)</f>
        <v>Martha Guzman Arango</v>
      </c>
      <c r="B384" t="s">
        <v>186</v>
      </c>
      <c r="C384" t="s">
        <v>194</v>
      </c>
      <c r="D384" t="s">
        <v>90</v>
      </c>
      <c r="E384" t="s">
        <v>91</v>
      </c>
      <c r="F384" s="1">
        <v>80</v>
      </c>
    </row>
    <row r="385" spans="1:6" x14ac:dyDescent="0.3">
      <c r="A385" t="str">
        <f>_xlfn.XLOOKUP(ColombiaClientes[[#This Row],[Client]],VpsClientes[Client],VpsClientes[VP],"",0)</f>
        <v>Moises Saavedra Garcia</v>
      </c>
      <c r="B385" t="s">
        <v>190</v>
      </c>
      <c r="C385" t="s">
        <v>194</v>
      </c>
      <c r="D385" t="s">
        <v>90</v>
      </c>
      <c r="E385" t="s">
        <v>91</v>
      </c>
      <c r="F385" s="1">
        <v>62</v>
      </c>
    </row>
    <row r="386" spans="1:6" x14ac:dyDescent="0.3">
      <c r="A386" t="str">
        <f>_xlfn.XLOOKUP(ColombiaClientes[[#This Row],[Client]],VpsClientes[Client],VpsClientes[VP],"",0)</f>
        <v>Martha Guzman Arango</v>
      </c>
      <c r="B386" t="s">
        <v>169</v>
      </c>
      <c r="C386" t="s">
        <v>194</v>
      </c>
      <c r="D386" t="s">
        <v>90</v>
      </c>
      <c r="E386" t="s">
        <v>91</v>
      </c>
      <c r="F386" s="1">
        <v>42</v>
      </c>
    </row>
    <row r="387" spans="1:6" x14ac:dyDescent="0.3">
      <c r="A387" t="str">
        <f>_xlfn.XLOOKUP(ColombiaClientes[[#This Row],[Client]],VpsClientes[Client],VpsClientes[VP],"",0)</f>
        <v>Hector Muraira Garza</v>
      </c>
      <c r="B387" t="s">
        <v>164</v>
      </c>
      <c r="C387" t="s">
        <v>194</v>
      </c>
      <c r="D387" t="s">
        <v>90</v>
      </c>
      <c r="E387" t="s">
        <v>91</v>
      </c>
      <c r="F387" s="1">
        <v>42</v>
      </c>
    </row>
    <row r="388" spans="1:6" x14ac:dyDescent="0.3">
      <c r="A388" t="str">
        <f>_xlfn.XLOOKUP(ColombiaClientes[[#This Row],[Client]],VpsClientes[Client],VpsClientes[VP],"",0)</f>
        <v>Hector Muraira Garza</v>
      </c>
      <c r="B388" t="s">
        <v>167</v>
      </c>
      <c r="C388" t="s">
        <v>194</v>
      </c>
      <c r="D388" t="s">
        <v>90</v>
      </c>
      <c r="E388" t="s">
        <v>91</v>
      </c>
      <c r="F388" s="1">
        <v>40</v>
      </c>
    </row>
    <row r="389" spans="1:6" x14ac:dyDescent="0.3">
      <c r="A389" t="str">
        <f>_xlfn.XLOOKUP(ColombiaClientes[[#This Row],[Client]],VpsClientes[Client],VpsClientes[VP],"",0)</f>
        <v>Jhonatan Izquierdo Rico</v>
      </c>
      <c r="B389" t="s">
        <v>200</v>
      </c>
      <c r="C389" t="s">
        <v>194</v>
      </c>
      <c r="D389" t="s">
        <v>90</v>
      </c>
      <c r="E389" t="s">
        <v>91</v>
      </c>
      <c r="F389" s="1">
        <v>30</v>
      </c>
    </row>
    <row r="390" spans="1:6" x14ac:dyDescent="0.3">
      <c r="A390" t="str">
        <f>_xlfn.XLOOKUP(ColombiaClientes[[#This Row],[Client]],VpsClientes[Client],VpsClientes[VP],"",0)</f>
        <v>Martha Guzman Arango</v>
      </c>
      <c r="B390" t="s">
        <v>188</v>
      </c>
      <c r="C390" t="s">
        <v>194</v>
      </c>
      <c r="D390" t="s">
        <v>90</v>
      </c>
      <c r="E390" t="s">
        <v>91</v>
      </c>
      <c r="F390" s="1">
        <v>19</v>
      </c>
    </row>
    <row r="391" spans="1:6" x14ac:dyDescent="0.3">
      <c r="A391" t="str">
        <f>_xlfn.XLOOKUP(ColombiaClientes[[#This Row],[Client]],VpsClientes[Client],VpsClientes[VP],"",0)</f>
        <v>Martha Guzman Arango</v>
      </c>
      <c r="B391" t="s">
        <v>180</v>
      </c>
      <c r="C391" t="s">
        <v>194</v>
      </c>
      <c r="D391" t="s">
        <v>90</v>
      </c>
      <c r="E391" t="s">
        <v>91</v>
      </c>
      <c r="F391" s="1">
        <v>16</v>
      </c>
    </row>
    <row r="392" spans="1:6" x14ac:dyDescent="0.3">
      <c r="A392" t="str">
        <f>_xlfn.XLOOKUP(ColombiaClientes[[#This Row],[Client]],VpsClientes[Client],VpsClientes[VP],"",0)</f>
        <v>Martha Guzman Arango</v>
      </c>
      <c r="B392" t="s">
        <v>189</v>
      </c>
      <c r="C392" t="s">
        <v>194</v>
      </c>
      <c r="D392" t="s">
        <v>90</v>
      </c>
      <c r="E392" t="s">
        <v>91</v>
      </c>
      <c r="F392" s="1">
        <v>10</v>
      </c>
    </row>
    <row r="393" spans="1:6" x14ac:dyDescent="0.3">
      <c r="A393" t="str">
        <f>_xlfn.XLOOKUP(ColombiaClientes[[#This Row],[Client]],VpsClientes[Client],VpsClientes[VP],"",0)</f>
        <v/>
      </c>
      <c r="B393" t="s">
        <v>181</v>
      </c>
      <c r="C393" t="s">
        <v>92</v>
      </c>
      <c r="D393" t="s">
        <v>90</v>
      </c>
      <c r="E393" t="s">
        <v>91</v>
      </c>
      <c r="F393" s="1">
        <v>82</v>
      </c>
    </row>
    <row r="394" spans="1:6" x14ac:dyDescent="0.3">
      <c r="A394" t="str">
        <f>_xlfn.XLOOKUP(ColombiaClientes[[#This Row],[Client]],VpsClientes[Client],VpsClientes[VP],"",0)</f>
        <v>Carlos Beltran Hernandez</v>
      </c>
      <c r="B394" t="s">
        <v>93</v>
      </c>
      <c r="C394" t="s">
        <v>202</v>
      </c>
      <c r="D394" t="s">
        <v>90</v>
      </c>
      <c r="E394" t="s">
        <v>91</v>
      </c>
      <c r="F394" s="1">
        <v>70670</v>
      </c>
    </row>
    <row r="395" spans="1:6" x14ac:dyDescent="0.3">
      <c r="A395" t="str">
        <f>_xlfn.XLOOKUP(ColombiaClientes[[#This Row],[Client]],VpsClientes[Client],VpsClientes[VP],"",0)</f>
        <v>Carlos Beltran Hernandez</v>
      </c>
      <c r="B395" t="s">
        <v>94</v>
      </c>
      <c r="C395" t="s">
        <v>202</v>
      </c>
      <c r="D395" t="s">
        <v>90</v>
      </c>
      <c r="E395" t="s">
        <v>91</v>
      </c>
      <c r="F395" s="1">
        <v>21295</v>
      </c>
    </row>
    <row r="396" spans="1:6" x14ac:dyDescent="0.3">
      <c r="A396" t="str">
        <f>_xlfn.XLOOKUP(ColombiaClientes[[#This Row],[Client]],VpsClientes[Client],VpsClientes[VP],"",0)</f>
        <v>Ludy Torres Benitez</v>
      </c>
      <c r="B396" t="s">
        <v>95</v>
      </c>
      <c r="C396" t="s">
        <v>202</v>
      </c>
      <c r="D396" t="s">
        <v>90</v>
      </c>
      <c r="E396" t="s">
        <v>91</v>
      </c>
      <c r="F396" s="1">
        <v>20872</v>
      </c>
    </row>
    <row r="397" spans="1:6" x14ac:dyDescent="0.3">
      <c r="A397" t="str">
        <f>_xlfn.XLOOKUP(ColombiaClientes[[#This Row],[Client]],VpsClientes[Client],VpsClientes[VP],"",0)</f>
        <v>Martha Guzman Arango</v>
      </c>
      <c r="B397" t="s">
        <v>96</v>
      </c>
      <c r="C397" t="s">
        <v>202</v>
      </c>
      <c r="D397" t="s">
        <v>90</v>
      </c>
      <c r="E397" t="s">
        <v>91</v>
      </c>
      <c r="F397" s="1">
        <v>15390</v>
      </c>
    </row>
    <row r="398" spans="1:6" x14ac:dyDescent="0.3">
      <c r="A398" t="str">
        <f>_xlfn.XLOOKUP(ColombiaClientes[[#This Row],[Client]],VpsClientes[Client],VpsClientes[VP],"",0)</f>
        <v>Martha Guzman Arango</v>
      </c>
      <c r="B398" t="s">
        <v>103</v>
      </c>
      <c r="C398" t="s">
        <v>202</v>
      </c>
      <c r="D398" t="s">
        <v>90</v>
      </c>
      <c r="E398" t="s">
        <v>91</v>
      </c>
      <c r="F398" s="1">
        <v>8864</v>
      </c>
    </row>
    <row r="399" spans="1:6" x14ac:dyDescent="0.3">
      <c r="A399" t="str">
        <f>_xlfn.XLOOKUP(ColombiaClientes[[#This Row],[Client]],VpsClientes[Client],VpsClientes[VP],"",0)</f>
        <v>Maria Forero Jara</v>
      </c>
      <c r="B399" t="s">
        <v>108</v>
      </c>
      <c r="C399" t="s">
        <v>202</v>
      </c>
      <c r="D399" t="s">
        <v>90</v>
      </c>
      <c r="E399" t="s">
        <v>91</v>
      </c>
      <c r="F399" s="1">
        <v>8049</v>
      </c>
    </row>
    <row r="400" spans="1:6" x14ac:dyDescent="0.3">
      <c r="A400" t="str">
        <f>_xlfn.XLOOKUP(ColombiaClientes[[#This Row],[Client]],VpsClientes[Client],VpsClientes[VP],"",0)</f>
        <v>Martha Guzman Arango</v>
      </c>
      <c r="B400" t="s">
        <v>98</v>
      </c>
      <c r="C400" t="s">
        <v>202</v>
      </c>
      <c r="D400" t="s">
        <v>90</v>
      </c>
      <c r="E400" t="s">
        <v>91</v>
      </c>
      <c r="F400" s="1">
        <v>7869</v>
      </c>
    </row>
    <row r="401" spans="1:6" x14ac:dyDescent="0.3">
      <c r="A401" t="str">
        <f>_xlfn.XLOOKUP(ColombiaClientes[[#This Row],[Client]],VpsClientes[Client],VpsClientes[VP],"",0)</f>
        <v>Moises Saavedra Garcia</v>
      </c>
      <c r="B401" t="s">
        <v>99</v>
      </c>
      <c r="C401" t="s">
        <v>202</v>
      </c>
      <c r="D401" t="s">
        <v>90</v>
      </c>
      <c r="E401" t="s">
        <v>91</v>
      </c>
      <c r="F401" s="1">
        <v>6993</v>
      </c>
    </row>
    <row r="402" spans="1:6" x14ac:dyDescent="0.3">
      <c r="A402" t="str">
        <f>_xlfn.XLOOKUP(ColombiaClientes[[#This Row],[Client]],VpsClientes[Client],VpsClientes[VP],"",0)</f>
        <v>Carlos Castillo Figueroa</v>
      </c>
      <c r="B402" t="s">
        <v>105</v>
      </c>
      <c r="C402" t="s">
        <v>202</v>
      </c>
      <c r="D402" t="s">
        <v>90</v>
      </c>
      <c r="E402" t="s">
        <v>91</v>
      </c>
      <c r="F402" s="1">
        <v>6979</v>
      </c>
    </row>
    <row r="403" spans="1:6" x14ac:dyDescent="0.3">
      <c r="A403" t="str">
        <f>_xlfn.XLOOKUP(ColombiaClientes[[#This Row],[Client]],VpsClientes[Client],VpsClientes[VP],"",0)</f>
        <v>Jhonatan Izquierdo Rico</v>
      </c>
      <c r="B403" t="s">
        <v>104</v>
      </c>
      <c r="C403" t="s">
        <v>202</v>
      </c>
      <c r="D403" t="s">
        <v>90</v>
      </c>
      <c r="E403" t="s">
        <v>91</v>
      </c>
      <c r="F403" s="1">
        <v>6763</v>
      </c>
    </row>
    <row r="404" spans="1:6" x14ac:dyDescent="0.3">
      <c r="A404" t="str">
        <f>_xlfn.XLOOKUP(ColombiaClientes[[#This Row],[Client]],VpsClientes[Client],VpsClientes[VP],"",0)</f>
        <v>Maria Forero Jara</v>
      </c>
      <c r="B404" t="s">
        <v>101</v>
      </c>
      <c r="C404" t="s">
        <v>202</v>
      </c>
      <c r="D404" t="s">
        <v>90</v>
      </c>
      <c r="E404" t="s">
        <v>91</v>
      </c>
      <c r="F404" s="1">
        <v>6471</v>
      </c>
    </row>
    <row r="405" spans="1:6" x14ac:dyDescent="0.3">
      <c r="A405" t="str">
        <f>_xlfn.XLOOKUP(ColombiaClientes[[#This Row],[Client]],VpsClientes[Client],VpsClientes[VP],"",0)</f>
        <v>Carlos Beltran Hernandez</v>
      </c>
      <c r="B405" t="s">
        <v>119</v>
      </c>
      <c r="C405" t="s">
        <v>202</v>
      </c>
      <c r="D405" t="s">
        <v>90</v>
      </c>
      <c r="E405" t="s">
        <v>91</v>
      </c>
      <c r="F405" s="1">
        <v>5950</v>
      </c>
    </row>
    <row r="406" spans="1:6" x14ac:dyDescent="0.3">
      <c r="A406" t="str">
        <f>_xlfn.XLOOKUP(ColombiaClientes[[#This Row],[Client]],VpsClientes[Client],VpsClientes[VP],"",0)</f>
        <v>Maria Forero Jara</v>
      </c>
      <c r="B406" t="s">
        <v>106</v>
      </c>
      <c r="C406" t="s">
        <v>202</v>
      </c>
      <c r="D406" t="s">
        <v>90</v>
      </c>
      <c r="E406" t="s">
        <v>91</v>
      </c>
      <c r="F406" s="1">
        <v>5608</v>
      </c>
    </row>
    <row r="407" spans="1:6" x14ac:dyDescent="0.3">
      <c r="A407" t="str">
        <f>_xlfn.XLOOKUP(ColombiaClientes[[#This Row],[Client]],VpsClientes[Client],VpsClientes[VP],"",0)</f>
        <v>Carlos Beltran Hernandez</v>
      </c>
      <c r="B407" t="s">
        <v>102</v>
      </c>
      <c r="C407" t="s">
        <v>202</v>
      </c>
      <c r="D407" t="s">
        <v>90</v>
      </c>
      <c r="E407" t="s">
        <v>91</v>
      </c>
      <c r="F407" s="1">
        <v>5350</v>
      </c>
    </row>
    <row r="408" spans="1:6" x14ac:dyDescent="0.3">
      <c r="A408" t="str">
        <f>_xlfn.XLOOKUP(ColombiaClientes[[#This Row],[Client]],VpsClientes[Client],VpsClientes[VP],"",0)</f>
        <v>Maria Forero Jara</v>
      </c>
      <c r="B408" t="s">
        <v>125</v>
      </c>
      <c r="C408" t="s">
        <v>202</v>
      </c>
      <c r="D408" t="s">
        <v>90</v>
      </c>
      <c r="E408" t="s">
        <v>91</v>
      </c>
      <c r="F408" s="1">
        <v>5186</v>
      </c>
    </row>
    <row r="409" spans="1:6" x14ac:dyDescent="0.3">
      <c r="A409" t="str">
        <f>_xlfn.XLOOKUP(ColombiaClientes[[#This Row],[Client]],VpsClientes[Client],VpsClientes[VP],"",0)</f>
        <v>Martha Guzman Arango</v>
      </c>
      <c r="B409" t="s">
        <v>97</v>
      </c>
      <c r="C409" t="s">
        <v>202</v>
      </c>
      <c r="D409" t="s">
        <v>90</v>
      </c>
      <c r="E409" t="s">
        <v>91</v>
      </c>
      <c r="F409" s="1">
        <v>5108</v>
      </c>
    </row>
    <row r="410" spans="1:6" x14ac:dyDescent="0.3">
      <c r="A410" t="str">
        <f>_xlfn.XLOOKUP(ColombiaClientes[[#This Row],[Client]],VpsClientes[Client],VpsClientes[VP],"",0)</f>
        <v>Martha Guzman Arango</v>
      </c>
      <c r="B410" t="s">
        <v>100</v>
      </c>
      <c r="C410" t="s">
        <v>202</v>
      </c>
      <c r="D410" t="s">
        <v>90</v>
      </c>
      <c r="E410" t="s">
        <v>91</v>
      </c>
      <c r="F410" s="1">
        <v>4635</v>
      </c>
    </row>
    <row r="411" spans="1:6" x14ac:dyDescent="0.3">
      <c r="A411" t="str">
        <f>_xlfn.XLOOKUP(ColombiaClientes[[#This Row],[Client]],VpsClientes[Client],VpsClientes[VP],"",0)</f>
        <v>Jhonatan Izquierdo Rico</v>
      </c>
      <c r="B411" t="s">
        <v>107</v>
      </c>
      <c r="C411" t="s">
        <v>202</v>
      </c>
      <c r="D411" t="s">
        <v>90</v>
      </c>
      <c r="E411" t="s">
        <v>91</v>
      </c>
      <c r="F411" s="1">
        <v>4574</v>
      </c>
    </row>
    <row r="412" spans="1:6" x14ac:dyDescent="0.3">
      <c r="A412" t="str">
        <f>_xlfn.XLOOKUP(ColombiaClientes[[#This Row],[Client]],VpsClientes[Client],VpsClientes[VP],"",0)</f>
        <v>Hector Muraira Garza</v>
      </c>
      <c r="B412" t="s">
        <v>137</v>
      </c>
      <c r="C412" t="s">
        <v>202</v>
      </c>
      <c r="D412" t="s">
        <v>90</v>
      </c>
      <c r="E412" t="s">
        <v>91</v>
      </c>
      <c r="F412" s="1">
        <v>4484</v>
      </c>
    </row>
    <row r="413" spans="1:6" x14ac:dyDescent="0.3">
      <c r="A413" t="str">
        <f>_xlfn.XLOOKUP(ColombiaClientes[[#This Row],[Client]],VpsClientes[Client],VpsClientes[VP],"",0)</f>
        <v>Martha Guzman Arango</v>
      </c>
      <c r="B413" t="s">
        <v>109</v>
      </c>
      <c r="C413" t="s">
        <v>202</v>
      </c>
      <c r="D413" t="s">
        <v>90</v>
      </c>
      <c r="E413" t="s">
        <v>91</v>
      </c>
      <c r="F413" s="1">
        <v>4402</v>
      </c>
    </row>
    <row r="414" spans="1:6" x14ac:dyDescent="0.3">
      <c r="A414" t="str">
        <f>_xlfn.XLOOKUP(ColombiaClientes[[#This Row],[Client]],VpsClientes[Client],VpsClientes[VP],"",0)</f>
        <v>Maria Forero Jara</v>
      </c>
      <c r="B414" t="s">
        <v>123</v>
      </c>
      <c r="C414" t="s">
        <v>202</v>
      </c>
      <c r="D414" t="s">
        <v>90</v>
      </c>
      <c r="E414" t="s">
        <v>91</v>
      </c>
      <c r="F414" s="1">
        <v>3972</v>
      </c>
    </row>
    <row r="415" spans="1:6" x14ac:dyDescent="0.3">
      <c r="A415" t="str">
        <f>_xlfn.XLOOKUP(ColombiaClientes[[#This Row],[Client]],VpsClientes[Client],VpsClientes[VP],"",0)</f>
        <v>Hector Muraira Garza</v>
      </c>
      <c r="B415" t="s">
        <v>130</v>
      </c>
      <c r="C415" t="s">
        <v>202</v>
      </c>
      <c r="D415" t="s">
        <v>90</v>
      </c>
      <c r="E415" t="s">
        <v>91</v>
      </c>
      <c r="F415" s="1">
        <v>3593</v>
      </c>
    </row>
    <row r="416" spans="1:6" x14ac:dyDescent="0.3">
      <c r="A416" t="str">
        <f>_xlfn.XLOOKUP(ColombiaClientes[[#This Row],[Client]],VpsClientes[Client],VpsClientes[VP],"",0)</f>
        <v>Ernesto Rico Zuluaga</v>
      </c>
      <c r="B416" t="s">
        <v>116</v>
      </c>
      <c r="C416" t="s">
        <v>202</v>
      </c>
      <c r="D416" t="s">
        <v>90</v>
      </c>
      <c r="E416" t="s">
        <v>91</v>
      </c>
      <c r="F416" s="1">
        <v>3439</v>
      </c>
    </row>
    <row r="417" spans="1:6" x14ac:dyDescent="0.3">
      <c r="A417" t="str">
        <f>_xlfn.XLOOKUP(ColombiaClientes[[#This Row],[Client]],VpsClientes[Client],VpsClientes[VP],"",0)</f>
        <v>Moises Saavedra Garcia</v>
      </c>
      <c r="B417" t="s">
        <v>172</v>
      </c>
      <c r="C417" t="s">
        <v>202</v>
      </c>
      <c r="D417" t="s">
        <v>90</v>
      </c>
      <c r="E417" t="s">
        <v>91</v>
      </c>
      <c r="F417" s="1">
        <v>3246</v>
      </c>
    </row>
    <row r="418" spans="1:6" x14ac:dyDescent="0.3">
      <c r="A418" t="str">
        <f>_xlfn.XLOOKUP(ColombiaClientes[[#This Row],[Client]],VpsClientes[Client],VpsClientes[VP],"",0)</f>
        <v>Martha Guzman Arango</v>
      </c>
      <c r="B418" t="s">
        <v>122</v>
      </c>
      <c r="C418" t="s">
        <v>202</v>
      </c>
      <c r="D418" t="s">
        <v>90</v>
      </c>
      <c r="E418" t="s">
        <v>91</v>
      </c>
      <c r="F418" s="1">
        <v>2964</v>
      </c>
    </row>
    <row r="419" spans="1:6" x14ac:dyDescent="0.3">
      <c r="A419" t="str">
        <f>_xlfn.XLOOKUP(ColombiaClientes[[#This Row],[Client]],VpsClientes[Client],VpsClientes[VP],"",0)</f>
        <v>Sandra Romero Zuluaga</v>
      </c>
      <c r="B419" t="s">
        <v>113</v>
      </c>
      <c r="C419" t="s">
        <v>202</v>
      </c>
      <c r="D419" t="s">
        <v>90</v>
      </c>
      <c r="E419" t="s">
        <v>91</v>
      </c>
      <c r="F419" s="1">
        <v>2949</v>
      </c>
    </row>
    <row r="420" spans="1:6" x14ac:dyDescent="0.3">
      <c r="A420" t="str">
        <f>_xlfn.XLOOKUP(ColombiaClientes[[#This Row],[Client]],VpsClientes[Client],VpsClientes[VP],"",0)</f>
        <v>Jhonatan Izquierdo Rico</v>
      </c>
      <c r="B420" t="s">
        <v>128</v>
      </c>
      <c r="C420" t="s">
        <v>202</v>
      </c>
      <c r="D420" t="s">
        <v>90</v>
      </c>
      <c r="E420" t="s">
        <v>91</v>
      </c>
      <c r="F420" s="1">
        <v>2929</v>
      </c>
    </row>
    <row r="421" spans="1:6" x14ac:dyDescent="0.3">
      <c r="A421" t="str">
        <f>_xlfn.XLOOKUP(ColombiaClientes[[#This Row],[Client]],VpsClientes[Client],VpsClientes[VP],"",0)</f>
        <v>Martha Guzman Arango</v>
      </c>
      <c r="B421" t="s">
        <v>114</v>
      </c>
      <c r="C421" t="s">
        <v>202</v>
      </c>
      <c r="D421" t="s">
        <v>90</v>
      </c>
      <c r="E421" t="s">
        <v>91</v>
      </c>
      <c r="F421" s="1">
        <v>2828</v>
      </c>
    </row>
    <row r="422" spans="1:6" x14ac:dyDescent="0.3">
      <c r="A422" t="str">
        <f>_xlfn.XLOOKUP(ColombiaClientes[[#This Row],[Client]],VpsClientes[Client],VpsClientes[VP],"",0)</f>
        <v>Martha Guzman Arango</v>
      </c>
      <c r="B422" t="s">
        <v>118</v>
      </c>
      <c r="C422" t="s">
        <v>202</v>
      </c>
      <c r="D422" t="s">
        <v>90</v>
      </c>
      <c r="E422" t="s">
        <v>91</v>
      </c>
      <c r="F422" s="1">
        <v>2701</v>
      </c>
    </row>
    <row r="423" spans="1:6" x14ac:dyDescent="0.3">
      <c r="A423" t="str">
        <f>_xlfn.XLOOKUP(ColombiaClientes[[#This Row],[Client]],VpsClientes[Client],VpsClientes[VP],"",0)</f>
        <v>Moises Saavedra Garcia</v>
      </c>
      <c r="B423" t="s">
        <v>115</v>
      </c>
      <c r="C423" t="s">
        <v>202</v>
      </c>
      <c r="D423" t="s">
        <v>90</v>
      </c>
      <c r="E423" t="s">
        <v>91</v>
      </c>
      <c r="F423" s="1">
        <v>2627</v>
      </c>
    </row>
    <row r="424" spans="1:6" x14ac:dyDescent="0.3">
      <c r="A424" t="str">
        <f>_xlfn.XLOOKUP(ColombiaClientes[[#This Row],[Client]],VpsClientes[Client],VpsClientes[VP],"",0)</f>
        <v>Jhonatan Izquierdo Rico</v>
      </c>
      <c r="B424" t="s">
        <v>112</v>
      </c>
      <c r="C424" t="s">
        <v>202</v>
      </c>
      <c r="D424" t="s">
        <v>90</v>
      </c>
      <c r="E424" t="s">
        <v>91</v>
      </c>
      <c r="F424" s="1">
        <v>2626</v>
      </c>
    </row>
    <row r="425" spans="1:6" x14ac:dyDescent="0.3">
      <c r="A425" t="str">
        <f>_xlfn.XLOOKUP(ColombiaClientes[[#This Row],[Client]],VpsClientes[Client],VpsClientes[VP],"",0)</f>
        <v>Juan Granados Castillo</v>
      </c>
      <c r="B425" t="s">
        <v>136</v>
      </c>
      <c r="C425" t="s">
        <v>202</v>
      </c>
      <c r="D425" t="s">
        <v>90</v>
      </c>
      <c r="E425" t="s">
        <v>91</v>
      </c>
      <c r="F425" s="1">
        <v>2386</v>
      </c>
    </row>
    <row r="426" spans="1:6" x14ac:dyDescent="0.3">
      <c r="A426" t="str">
        <f>_xlfn.XLOOKUP(ColombiaClientes[[#This Row],[Client]],VpsClientes[Client],VpsClientes[VP],"",0)</f>
        <v>Ernesto Rico Zuluaga</v>
      </c>
      <c r="B426" t="s">
        <v>121</v>
      </c>
      <c r="C426" t="s">
        <v>202</v>
      </c>
      <c r="D426" t="s">
        <v>90</v>
      </c>
      <c r="E426" t="s">
        <v>91</v>
      </c>
      <c r="F426" s="1">
        <v>2370</v>
      </c>
    </row>
    <row r="427" spans="1:6" x14ac:dyDescent="0.3">
      <c r="A427" t="str">
        <f>_xlfn.XLOOKUP(ColombiaClientes[[#This Row],[Client]],VpsClientes[Client],VpsClientes[VP],"",0)</f>
        <v>Moises Saavedra Garcia</v>
      </c>
      <c r="B427" t="s">
        <v>110</v>
      </c>
      <c r="C427" t="s">
        <v>202</v>
      </c>
      <c r="D427" t="s">
        <v>90</v>
      </c>
      <c r="E427" t="s">
        <v>91</v>
      </c>
      <c r="F427" s="1">
        <v>1798</v>
      </c>
    </row>
    <row r="428" spans="1:6" x14ac:dyDescent="0.3">
      <c r="A428" t="str">
        <f>_xlfn.XLOOKUP(ColombiaClientes[[#This Row],[Client]],VpsClientes[Client],VpsClientes[VP],"",0)</f>
        <v>Juan Granados Castillo</v>
      </c>
      <c r="B428" t="s">
        <v>134</v>
      </c>
      <c r="C428" t="s">
        <v>202</v>
      </c>
      <c r="D428" t="s">
        <v>90</v>
      </c>
      <c r="E428" t="s">
        <v>91</v>
      </c>
      <c r="F428" s="1">
        <v>1413</v>
      </c>
    </row>
    <row r="429" spans="1:6" x14ac:dyDescent="0.3">
      <c r="A429" t="str">
        <f>_xlfn.XLOOKUP(ColombiaClientes[[#This Row],[Client]],VpsClientes[Client],VpsClientes[VP],"",0)</f>
        <v>Moises Saavedra Garcia</v>
      </c>
      <c r="B429" t="s">
        <v>120</v>
      </c>
      <c r="C429" t="s">
        <v>202</v>
      </c>
      <c r="D429" t="s">
        <v>90</v>
      </c>
      <c r="E429" t="s">
        <v>91</v>
      </c>
      <c r="F429" s="1">
        <v>1307</v>
      </c>
    </row>
    <row r="430" spans="1:6" x14ac:dyDescent="0.3">
      <c r="A430" t="str">
        <f>_xlfn.XLOOKUP(ColombiaClientes[[#This Row],[Client]],VpsClientes[Client],VpsClientes[VP],"",0)</f>
        <v>Martha Guzman Arango</v>
      </c>
      <c r="B430" t="s">
        <v>124</v>
      </c>
      <c r="C430" t="s">
        <v>202</v>
      </c>
      <c r="D430" t="s">
        <v>90</v>
      </c>
      <c r="E430" t="s">
        <v>91</v>
      </c>
      <c r="F430" s="1">
        <v>1097</v>
      </c>
    </row>
    <row r="431" spans="1:6" x14ac:dyDescent="0.3">
      <c r="A431" t="str">
        <f>_xlfn.XLOOKUP(ColombiaClientes[[#This Row],[Client]],VpsClientes[Client],VpsClientes[VP],"",0)</f>
        <v>Maria Forero Jara</v>
      </c>
      <c r="B431" t="s">
        <v>139</v>
      </c>
      <c r="C431" t="s">
        <v>202</v>
      </c>
      <c r="D431" t="s">
        <v>90</v>
      </c>
      <c r="E431" t="s">
        <v>91</v>
      </c>
      <c r="F431" s="1">
        <v>1056</v>
      </c>
    </row>
    <row r="432" spans="1:6" x14ac:dyDescent="0.3">
      <c r="A432" t="str">
        <f>_xlfn.XLOOKUP(ColombiaClientes[[#This Row],[Client]],VpsClientes[Client],VpsClientes[VP],"",0)</f>
        <v>Jhonatan Izquierdo Rico</v>
      </c>
      <c r="B432" t="s">
        <v>126</v>
      </c>
      <c r="C432" t="s">
        <v>202</v>
      </c>
      <c r="D432" t="s">
        <v>90</v>
      </c>
      <c r="E432" t="s">
        <v>91</v>
      </c>
      <c r="F432" s="1">
        <v>1029</v>
      </c>
    </row>
    <row r="433" spans="1:6" x14ac:dyDescent="0.3">
      <c r="A433" t="str">
        <f>_xlfn.XLOOKUP(ColombiaClientes[[#This Row],[Client]],VpsClientes[Client],VpsClientes[VP],"",0)</f>
        <v>Martha Guzman Arango</v>
      </c>
      <c r="B433" t="s">
        <v>135</v>
      </c>
      <c r="C433" t="s">
        <v>202</v>
      </c>
      <c r="D433" t="s">
        <v>90</v>
      </c>
      <c r="E433" t="s">
        <v>91</v>
      </c>
      <c r="F433" s="1">
        <v>851</v>
      </c>
    </row>
    <row r="434" spans="1:6" x14ac:dyDescent="0.3">
      <c r="A434" t="str">
        <f>_xlfn.XLOOKUP(ColombiaClientes[[#This Row],[Client]],VpsClientes[Client],VpsClientes[VP],"",0)</f>
        <v>Maria Forero Jara</v>
      </c>
      <c r="B434" t="s">
        <v>198</v>
      </c>
      <c r="C434" t="s">
        <v>202</v>
      </c>
      <c r="D434" t="s">
        <v>90</v>
      </c>
      <c r="E434" t="s">
        <v>91</v>
      </c>
      <c r="F434" s="1">
        <v>848</v>
      </c>
    </row>
    <row r="435" spans="1:6" x14ac:dyDescent="0.3">
      <c r="A435" t="str">
        <f>_xlfn.XLOOKUP(ColombiaClientes[[#This Row],[Client]],VpsClientes[Client],VpsClientes[VP],"",0)</f>
        <v>Martha Guzman Arango</v>
      </c>
      <c r="B435" t="s">
        <v>168</v>
      </c>
      <c r="C435" t="s">
        <v>202</v>
      </c>
      <c r="D435" t="s">
        <v>90</v>
      </c>
      <c r="E435" t="s">
        <v>91</v>
      </c>
      <c r="F435" s="1">
        <v>806</v>
      </c>
    </row>
    <row r="436" spans="1:6" x14ac:dyDescent="0.3">
      <c r="A436" t="str">
        <f>_xlfn.XLOOKUP(ColombiaClientes[[#This Row],[Client]],VpsClientes[Client],VpsClientes[VP],"",0)</f>
        <v>Hector Muraira Garza</v>
      </c>
      <c r="B436" t="s">
        <v>140</v>
      </c>
      <c r="C436" t="s">
        <v>202</v>
      </c>
      <c r="D436" t="s">
        <v>90</v>
      </c>
      <c r="E436" t="s">
        <v>91</v>
      </c>
      <c r="F436" s="1">
        <v>803</v>
      </c>
    </row>
    <row r="437" spans="1:6" x14ac:dyDescent="0.3">
      <c r="A437" t="str">
        <f>_xlfn.XLOOKUP(ColombiaClientes[[#This Row],[Client]],VpsClientes[Client],VpsClientes[VP],"",0)</f>
        <v>Martha Guzman Arango</v>
      </c>
      <c r="B437" t="s">
        <v>143</v>
      </c>
      <c r="C437" t="s">
        <v>202</v>
      </c>
      <c r="D437" t="s">
        <v>90</v>
      </c>
      <c r="E437" t="s">
        <v>91</v>
      </c>
      <c r="F437" s="1">
        <v>686</v>
      </c>
    </row>
    <row r="438" spans="1:6" x14ac:dyDescent="0.3">
      <c r="A438" t="str">
        <f>_xlfn.XLOOKUP(ColombiaClientes[[#This Row],[Client]],VpsClientes[Client],VpsClientes[VP],"",0)</f>
        <v>Juan Granados Castillo</v>
      </c>
      <c r="B438" t="s">
        <v>142</v>
      </c>
      <c r="C438" t="s">
        <v>202</v>
      </c>
      <c r="D438" t="s">
        <v>90</v>
      </c>
      <c r="E438" t="s">
        <v>91</v>
      </c>
      <c r="F438" s="1">
        <v>680</v>
      </c>
    </row>
    <row r="439" spans="1:6" x14ac:dyDescent="0.3">
      <c r="A439" t="str">
        <f>_xlfn.XLOOKUP(ColombiaClientes[[#This Row],[Client]],VpsClientes[Client],VpsClientes[VP],"",0)</f>
        <v>Jhonatan Izquierdo Rico</v>
      </c>
      <c r="B439" t="s">
        <v>138</v>
      </c>
      <c r="C439" t="s">
        <v>202</v>
      </c>
      <c r="D439" t="s">
        <v>90</v>
      </c>
      <c r="E439" t="s">
        <v>91</v>
      </c>
      <c r="F439" s="1">
        <v>630</v>
      </c>
    </row>
    <row r="440" spans="1:6" x14ac:dyDescent="0.3">
      <c r="A440" t="str">
        <f>_xlfn.XLOOKUP(ColombiaClientes[[#This Row],[Client]],VpsClientes[Client],VpsClientes[VP],"",0)</f>
        <v>Martha Guzman Arango</v>
      </c>
      <c r="B440" t="s">
        <v>146</v>
      </c>
      <c r="C440" t="s">
        <v>202</v>
      </c>
      <c r="D440" t="s">
        <v>90</v>
      </c>
      <c r="E440" t="s">
        <v>91</v>
      </c>
      <c r="F440" s="1">
        <v>585</v>
      </c>
    </row>
    <row r="441" spans="1:6" x14ac:dyDescent="0.3">
      <c r="A441" t="str">
        <f>_xlfn.XLOOKUP(ColombiaClientes[[#This Row],[Client]],VpsClientes[Client],VpsClientes[VP],"",0)</f>
        <v>Martha Guzman Arango</v>
      </c>
      <c r="B441" t="s">
        <v>166</v>
      </c>
      <c r="C441" t="s">
        <v>202</v>
      </c>
      <c r="D441" t="s">
        <v>90</v>
      </c>
      <c r="E441" t="s">
        <v>91</v>
      </c>
      <c r="F441" s="1">
        <v>585</v>
      </c>
    </row>
    <row r="442" spans="1:6" x14ac:dyDescent="0.3">
      <c r="A442" t="str">
        <f>_xlfn.XLOOKUP(ColombiaClientes[[#This Row],[Client]],VpsClientes[Client],VpsClientes[VP],"",0)</f>
        <v>Juan Granados Castillo</v>
      </c>
      <c r="B442" t="s">
        <v>149</v>
      </c>
      <c r="C442" t="s">
        <v>202</v>
      </c>
      <c r="D442" t="s">
        <v>90</v>
      </c>
      <c r="E442" t="s">
        <v>91</v>
      </c>
      <c r="F442" s="1">
        <v>563</v>
      </c>
    </row>
    <row r="443" spans="1:6" x14ac:dyDescent="0.3">
      <c r="A443" t="str">
        <f>_xlfn.XLOOKUP(ColombiaClientes[[#This Row],[Client]],VpsClientes[Client],VpsClientes[VP],"",0)</f>
        <v>Martha Guzman Arango</v>
      </c>
      <c r="B443" t="s">
        <v>152</v>
      </c>
      <c r="C443" t="s">
        <v>202</v>
      </c>
      <c r="D443" t="s">
        <v>90</v>
      </c>
      <c r="E443" t="s">
        <v>91</v>
      </c>
      <c r="F443" s="1">
        <v>561</v>
      </c>
    </row>
    <row r="444" spans="1:6" x14ac:dyDescent="0.3">
      <c r="A444" t="str">
        <f>_xlfn.XLOOKUP(ColombiaClientes[[#This Row],[Client]],VpsClientes[Client],VpsClientes[VP],"",0)</f>
        <v>Martha Guzman Arango</v>
      </c>
      <c r="B444" t="s">
        <v>153</v>
      </c>
      <c r="C444" t="s">
        <v>202</v>
      </c>
      <c r="D444" t="s">
        <v>90</v>
      </c>
      <c r="E444" t="s">
        <v>91</v>
      </c>
      <c r="F444" s="1">
        <v>550</v>
      </c>
    </row>
    <row r="445" spans="1:6" x14ac:dyDescent="0.3">
      <c r="A445" t="str">
        <f>_xlfn.XLOOKUP(ColombiaClientes[[#This Row],[Client]],VpsClientes[Client],VpsClientes[VP],"",0)</f>
        <v>Moises Saavedra Garcia</v>
      </c>
      <c r="B445" t="s">
        <v>150</v>
      </c>
      <c r="C445" t="s">
        <v>202</v>
      </c>
      <c r="D445" t="s">
        <v>90</v>
      </c>
      <c r="E445" t="s">
        <v>91</v>
      </c>
      <c r="F445" s="1">
        <v>533</v>
      </c>
    </row>
    <row r="446" spans="1:6" x14ac:dyDescent="0.3">
      <c r="A446" t="str">
        <f>_xlfn.XLOOKUP(ColombiaClientes[[#This Row],[Client]],VpsClientes[Client],VpsClientes[VP],"",0)</f>
        <v>Jhonatan Izquierdo Rico</v>
      </c>
      <c r="B446" t="s">
        <v>129</v>
      </c>
      <c r="C446" t="s">
        <v>202</v>
      </c>
      <c r="D446" t="s">
        <v>90</v>
      </c>
      <c r="E446" t="s">
        <v>91</v>
      </c>
      <c r="F446" s="1">
        <v>492</v>
      </c>
    </row>
    <row r="447" spans="1:6" x14ac:dyDescent="0.3">
      <c r="A447" t="str">
        <f>_xlfn.XLOOKUP(ColombiaClientes[[#This Row],[Client]],VpsClientes[Client],VpsClientes[VP],"",0)</f>
        <v>Alejandro Rico Zuluaga</v>
      </c>
      <c r="B447" t="s">
        <v>209</v>
      </c>
      <c r="C447" t="s">
        <v>203</v>
      </c>
      <c r="D447" t="s">
        <v>90</v>
      </c>
      <c r="E447" t="s">
        <v>206</v>
      </c>
      <c r="F447" s="1">
        <v>262</v>
      </c>
    </row>
    <row r="448" spans="1:6" x14ac:dyDescent="0.3">
      <c r="A448" t="str">
        <f>_xlfn.XLOOKUP(ColombiaClientes[[#This Row],[Client]],VpsClientes[Client],VpsClientes[VP],"",0)</f>
        <v>Maria Forero Jara</v>
      </c>
      <c r="B448" t="s">
        <v>111</v>
      </c>
      <c r="C448" t="s">
        <v>202</v>
      </c>
      <c r="D448" t="s">
        <v>90</v>
      </c>
      <c r="E448" t="s">
        <v>91</v>
      </c>
      <c r="F448" s="1">
        <v>452</v>
      </c>
    </row>
    <row r="449" spans="1:6" x14ac:dyDescent="0.3">
      <c r="A449" t="str">
        <f>_xlfn.XLOOKUP(ColombiaClientes[[#This Row],[Client]],VpsClientes[Client],VpsClientes[VP],"",0)</f>
        <v>Alejandro Rico Zuluaga</v>
      </c>
      <c r="B449" t="s">
        <v>209</v>
      </c>
      <c r="C449" t="s">
        <v>205</v>
      </c>
      <c r="D449" t="s">
        <v>90</v>
      </c>
      <c r="E449" t="s">
        <v>206</v>
      </c>
      <c r="F449" s="1">
        <v>23</v>
      </c>
    </row>
    <row r="450" spans="1:6" x14ac:dyDescent="0.3">
      <c r="A450" t="str">
        <f>_xlfn.XLOOKUP(ColombiaClientes[[#This Row],[Client]],VpsClientes[Client],VpsClientes[VP],"",0)</f>
        <v>Hector Muraira Garza</v>
      </c>
      <c r="B450" t="s">
        <v>132</v>
      </c>
      <c r="C450" t="s">
        <v>202</v>
      </c>
      <c r="D450" t="s">
        <v>90</v>
      </c>
      <c r="E450" t="s">
        <v>91</v>
      </c>
      <c r="F450" s="1">
        <v>429</v>
      </c>
    </row>
    <row r="451" spans="1:6" x14ac:dyDescent="0.3">
      <c r="A451" t="str">
        <f>_xlfn.XLOOKUP(ColombiaClientes[[#This Row],[Client]],VpsClientes[Client],VpsClientes[VP],"",0)</f>
        <v>Jhonatan Izquierdo Rico</v>
      </c>
      <c r="B451" t="s">
        <v>117</v>
      </c>
      <c r="C451" t="s">
        <v>202</v>
      </c>
      <c r="D451" t="s">
        <v>90</v>
      </c>
      <c r="E451" t="s">
        <v>91</v>
      </c>
      <c r="F451" s="1">
        <v>420</v>
      </c>
    </row>
    <row r="452" spans="1:6" x14ac:dyDescent="0.3">
      <c r="A452" t="str">
        <f>_xlfn.XLOOKUP(ColombiaClientes[[#This Row],[Client]],VpsClientes[Client],VpsClientes[VP],"",0)</f>
        <v>Hector Muraira Garza</v>
      </c>
      <c r="B452" t="s">
        <v>154</v>
      </c>
      <c r="C452" t="s">
        <v>202</v>
      </c>
      <c r="D452" t="s">
        <v>90</v>
      </c>
      <c r="E452" t="s">
        <v>91</v>
      </c>
      <c r="F452" s="1">
        <v>408</v>
      </c>
    </row>
    <row r="453" spans="1:6" x14ac:dyDescent="0.3">
      <c r="A453" t="str">
        <f>_xlfn.XLOOKUP(ColombiaClientes[[#This Row],[Client]],VpsClientes[Client],VpsClientes[VP],"",0)</f>
        <v>Jhonatan Izquierdo Rico</v>
      </c>
      <c r="B453" t="s">
        <v>196</v>
      </c>
      <c r="C453" t="s">
        <v>202</v>
      </c>
      <c r="D453" t="s">
        <v>90</v>
      </c>
      <c r="E453" t="s">
        <v>91</v>
      </c>
      <c r="F453" s="1">
        <v>404</v>
      </c>
    </row>
    <row r="454" spans="1:6" x14ac:dyDescent="0.3">
      <c r="A454" t="str">
        <f>_xlfn.XLOOKUP(ColombiaClientes[[#This Row],[Client]],VpsClientes[Client],VpsClientes[VP],"",0)</f>
        <v>Martha Guzman Arango</v>
      </c>
      <c r="B454" t="s">
        <v>145</v>
      </c>
      <c r="C454" t="s">
        <v>202</v>
      </c>
      <c r="D454" t="s">
        <v>90</v>
      </c>
      <c r="E454" t="s">
        <v>91</v>
      </c>
      <c r="F454" s="1">
        <v>396</v>
      </c>
    </row>
    <row r="455" spans="1:6" x14ac:dyDescent="0.3">
      <c r="A455" t="str">
        <f>_xlfn.XLOOKUP(ColombiaClientes[[#This Row],[Client]],VpsClientes[Client],VpsClientes[VP],"",0)</f>
        <v>Maria Forero Jara</v>
      </c>
      <c r="B455" t="s">
        <v>163</v>
      </c>
      <c r="C455" t="s">
        <v>202</v>
      </c>
      <c r="D455" t="s">
        <v>90</v>
      </c>
      <c r="E455" t="s">
        <v>91</v>
      </c>
      <c r="F455" s="1">
        <v>391</v>
      </c>
    </row>
    <row r="456" spans="1:6" x14ac:dyDescent="0.3">
      <c r="A456" t="str">
        <f>_xlfn.XLOOKUP(ColombiaClientes[[#This Row],[Client]],VpsClientes[Client],VpsClientes[VP],"",0)</f>
        <v>Felipe Izquierdo Rico</v>
      </c>
      <c r="B456" t="s">
        <v>177</v>
      </c>
      <c r="C456" t="s">
        <v>92</v>
      </c>
      <c r="D456" t="s">
        <v>90</v>
      </c>
      <c r="E456" t="s">
        <v>91</v>
      </c>
      <c r="F456" s="1">
        <v>136</v>
      </c>
    </row>
    <row r="457" spans="1:6" x14ac:dyDescent="0.3">
      <c r="A457" t="str">
        <f>_xlfn.XLOOKUP(ColombiaClientes[[#This Row],[Client]],VpsClientes[Client],VpsClientes[VP],"",0)</f>
        <v>Martha Guzman Arango</v>
      </c>
      <c r="B457" t="s">
        <v>156</v>
      </c>
      <c r="C457" t="s">
        <v>202</v>
      </c>
      <c r="D457" t="s">
        <v>90</v>
      </c>
      <c r="E457" t="s">
        <v>91</v>
      </c>
      <c r="F457" s="1">
        <v>354</v>
      </c>
    </row>
    <row r="458" spans="1:6" x14ac:dyDescent="0.3">
      <c r="A458" t="str">
        <f>_xlfn.XLOOKUP(ColombiaClientes[[#This Row],[Client]],VpsClientes[Client],VpsClientes[VP],"",0)</f>
        <v>Martha Guzman Arango</v>
      </c>
      <c r="B458" t="s">
        <v>165</v>
      </c>
      <c r="C458" t="s">
        <v>202</v>
      </c>
      <c r="D458" t="s">
        <v>90</v>
      </c>
      <c r="E458" t="s">
        <v>91</v>
      </c>
      <c r="F458" s="1">
        <v>351</v>
      </c>
    </row>
    <row r="459" spans="1:6" x14ac:dyDescent="0.3">
      <c r="A459" t="str">
        <f>_xlfn.XLOOKUP(ColombiaClientes[[#This Row],[Client]],VpsClientes[Client],VpsClientes[VP],"",0)</f>
        <v>Jhonatan Izquierdo Rico</v>
      </c>
      <c r="B459" t="s">
        <v>157</v>
      </c>
      <c r="C459" t="s">
        <v>202</v>
      </c>
      <c r="D459" t="s">
        <v>90</v>
      </c>
      <c r="E459" t="s">
        <v>91</v>
      </c>
      <c r="F459" s="1">
        <v>346</v>
      </c>
    </row>
    <row r="460" spans="1:6" x14ac:dyDescent="0.3">
      <c r="A460" t="str">
        <f>_xlfn.XLOOKUP(ColombiaClientes[[#This Row],[Client]],VpsClientes[Client],VpsClientes[VP],"",0)</f>
        <v>Martha Guzman Arango</v>
      </c>
      <c r="B460" t="s">
        <v>148</v>
      </c>
      <c r="C460" t="s">
        <v>202</v>
      </c>
      <c r="D460" t="s">
        <v>90</v>
      </c>
      <c r="E460" t="s">
        <v>91</v>
      </c>
      <c r="F460" s="1">
        <v>343</v>
      </c>
    </row>
    <row r="461" spans="1:6" x14ac:dyDescent="0.3">
      <c r="A461" t="str">
        <f>_xlfn.XLOOKUP(ColombiaClientes[[#This Row],[Client]],VpsClientes[Client],VpsClientes[VP],"",0)</f>
        <v>Martha Guzman Arango</v>
      </c>
      <c r="B461" t="s">
        <v>169</v>
      </c>
      <c r="C461" t="s">
        <v>202</v>
      </c>
      <c r="D461" t="s">
        <v>90</v>
      </c>
      <c r="E461" t="s">
        <v>91</v>
      </c>
      <c r="F461" s="1">
        <v>325</v>
      </c>
    </row>
    <row r="462" spans="1:6" x14ac:dyDescent="0.3">
      <c r="A462" t="str">
        <f>_xlfn.XLOOKUP(ColombiaClientes[[#This Row],[Client]],VpsClientes[Client],VpsClientes[VP],"",0)</f>
        <v>Carlos Beltran Hernandez</v>
      </c>
      <c r="B462" t="s">
        <v>151</v>
      </c>
      <c r="C462" t="s">
        <v>202</v>
      </c>
      <c r="D462" t="s">
        <v>90</v>
      </c>
      <c r="E462" t="s">
        <v>91</v>
      </c>
      <c r="F462" s="1">
        <v>302</v>
      </c>
    </row>
    <row r="463" spans="1:6" x14ac:dyDescent="0.3">
      <c r="A463" t="str">
        <f>_xlfn.XLOOKUP(ColombiaClientes[[#This Row],[Client]],VpsClientes[Client],VpsClientes[VP],"",0)</f>
        <v>Martha Guzman Arango</v>
      </c>
      <c r="B463" t="s">
        <v>162</v>
      </c>
      <c r="C463" t="s">
        <v>202</v>
      </c>
      <c r="D463" t="s">
        <v>90</v>
      </c>
      <c r="E463" t="s">
        <v>91</v>
      </c>
      <c r="F463" s="1">
        <v>295</v>
      </c>
    </row>
    <row r="464" spans="1:6" x14ac:dyDescent="0.3">
      <c r="A464" t="str">
        <f>_xlfn.XLOOKUP(ColombiaClientes[[#This Row],[Client]],VpsClientes[Client],VpsClientes[VP],"",0)</f>
        <v>Carlos Beltran Hernandez</v>
      </c>
      <c r="B464" t="s">
        <v>173</v>
      </c>
      <c r="C464" t="s">
        <v>202</v>
      </c>
      <c r="D464" t="s">
        <v>90</v>
      </c>
      <c r="E464" t="s">
        <v>91</v>
      </c>
      <c r="F464" s="1">
        <v>283</v>
      </c>
    </row>
    <row r="465" spans="1:6" x14ac:dyDescent="0.3">
      <c r="A465" t="str">
        <f>_xlfn.XLOOKUP(ColombiaClientes[[#This Row],[Client]],VpsClientes[Client],VpsClientes[VP],"",0)</f>
        <v>Maria Forero Jara</v>
      </c>
      <c r="B465" t="s">
        <v>144</v>
      </c>
      <c r="C465" t="s">
        <v>202</v>
      </c>
      <c r="D465" t="s">
        <v>90</v>
      </c>
      <c r="E465" t="s">
        <v>91</v>
      </c>
      <c r="F465" s="1">
        <v>260</v>
      </c>
    </row>
    <row r="466" spans="1:6" x14ac:dyDescent="0.3">
      <c r="A466" t="str">
        <f>_xlfn.XLOOKUP(ColombiaClientes[[#This Row],[Client]],VpsClientes[Client],VpsClientes[VP],"",0)</f>
        <v>Martha Guzman Arango</v>
      </c>
      <c r="B466" t="s">
        <v>199</v>
      </c>
      <c r="C466" t="s">
        <v>202</v>
      </c>
      <c r="D466" t="s">
        <v>90</v>
      </c>
      <c r="E466" t="s">
        <v>91</v>
      </c>
      <c r="F466" s="1">
        <v>260</v>
      </c>
    </row>
    <row r="467" spans="1:6" x14ac:dyDescent="0.3">
      <c r="A467" t="str">
        <f>_xlfn.XLOOKUP(ColombiaClientes[[#This Row],[Client]],VpsClientes[Client],VpsClientes[VP],"",0)</f>
        <v>Moises Saavedra Garcia</v>
      </c>
      <c r="B467" t="s">
        <v>190</v>
      </c>
      <c r="C467" t="s">
        <v>202</v>
      </c>
      <c r="D467" t="s">
        <v>90</v>
      </c>
      <c r="E467" t="s">
        <v>91</v>
      </c>
      <c r="F467" s="1">
        <v>221</v>
      </c>
    </row>
    <row r="468" spans="1:6" x14ac:dyDescent="0.3">
      <c r="A468" t="str">
        <f>_xlfn.XLOOKUP(ColombiaClientes[[#This Row],[Client]],VpsClientes[Client],VpsClientes[VP],"",0)</f>
        <v>Maria Forero Jara</v>
      </c>
      <c r="B468" t="s">
        <v>179</v>
      </c>
      <c r="C468" t="s">
        <v>202</v>
      </c>
      <c r="D468" t="s">
        <v>90</v>
      </c>
      <c r="E468" t="s">
        <v>91</v>
      </c>
      <c r="F468" s="1">
        <v>180</v>
      </c>
    </row>
    <row r="469" spans="1:6" x14ac:dyDescent="0.3">
      <c r="A469" t="str">
        <f>_xlfn.XLOOKUP(ColombiaClientes[[#This Row],[Client]],VpsClientes[Client],VpsClientes[VP],"",0)</f>
        <v>Jhonatan Izquierdo Rico</v>
      </c>
      <c r="B469" t="s">
        <v>197</v>
      </c>
      <c r="C469" t="s">
        <v>202</v>
      </c>
      <c r="D469" t="s">
        <v>90</v>
      </c>
      <c r="E469" t="s">
        <v>91</v>
      </c>
      <c r="F469" s="1">
        <v>173</v>
      </c>
    </row>
    <row r="470" spans="1:6" x14ac:dyDescent="0.3">
      <c r="A470" t="str">
        <f>_xlfn.XLOOKUP(ColombiaClientes[[#This Row],[Client]],VpsClientes[Client],VpsClientes[VP],"",0)</f>
        <v>Martha Guzman Arango</v>
      </c>
      <c r="B470" t="s">
        <v>174</v>
      </c>
      <c r="C470" t="s">
        <v>202</v>
      </c>
      <c r="D470" t="s">
        <v>90</v>
      </c>
      <c r="E470" t="s">
        <v>91</v>
      </c>
      <c r="F470" s="1">
        <v>157</v>
      </c>
    </row>
    <row r="471" spans="1:6" x14ac:dyDescent="0.3">
      <c r="A471" t="str">
        <f>_xlfn.XLOOKUP(ColombiaClientes[[#This Row],[Client]],VpsClientes[Client],VpsClientes[VP],"",0)</f>
        <v>Maria Forero Jara</v>
      </c>
      <c r="B471" t="s">
        <v>182</v>
      </c>
      <c r="C471" t="s">
        <v>202</v>
      </c>
      <c r="D471" t="s">
        <v>90</v>
      </c>
      <c r="E471" t="s">
        <v>91</v>
      </c>
      <c r="F471" s="1">
        <v>155</v>
      </c>
    </row>
    <row r="472" spans="1:6" x14ac:dyDescent="0.3">
      <c r="A472" t="str">
        <f>_xlfn.XLOOKUP(ColombiaClientes[[#This Row],[Client]],VpsClientes[Client],VpsClientes[VP],"",0)</f>
        <v>Martha Guzman Arango</v>
      </c>
      <c r="B472" t="s">
        <v>131</v>
      </c>
      <c r="C472" t="s">
        <v>202</v>
      </c>
      <c r="D472" t="s">
        <v>90</v>
      </c>
      <c r="E472" t="s">
        <v>91</v>
      </c>
      <c r="F472" s="1">
        <v>141</v>
      </c>
    </row>
    <row r="473" spans="1:6" x14ac:dyDescent="0.3">
      <c r="A473" t="str">
        <f>_xlfn.XLOOKUP(ColombiaClientes[[#This Row],[Client]],VpsClientes[Client],VpsClientes[VP],"",0)</f>
        <v>Carlos Beltran Hernandez</v>
      </c>
      <c r="B473" t="s">
        <v>158</v>
      </c>
      <c r="C473" t="s">
        <v>202</v>
      </c>
      <c r="D473" t="s">
        <v>90</v>
      </c>
      <c r="E473" t="s">
        <v>91</v>
      </c>
      <c r="F473" s="1">
        <v>140</v>
      </c>
    </row>
    <row r="474" spans="1:6" x14ac:dyDescent="0.3">
      <c r="A474" t="str">
        <f>_xlfn.XLOOKUP(ColombiaClientes[[#This Row],[Client]],VpsClientes[Client],VpsClientes[VP],"",0)</f>
        <v>Martha Guzman Arango</v>
      </c>
      <c r="B474" t="s">
        <v>185</v>
      </c>
      <c r="C474" t="s">
        <v>202</v>
      </c>
      <c r="D474" t="s">
        <v>90</v>
      </c>
      <c r="E474" t="s">
        <v>91</v>
      </c>
      <c r="F474" s="1">
        <v>138</v>
      </c>
    </row>
    <row r="475" spans="1:6" x14ac:dyDescent="0.3">
      <c r="A475" t="str">
        <f>_xlfn.XLOOKUP(ColombiaClientes[[#This Row],[Client]],VpsClientes[Client],VpsClientes[VP],"",0)</f>
        <v>Martha Guzman Arango</v>
      </c>
      <c r="B475" t="s">
        <v>170</v>
      </c>
      <c r="C475" t="s">
        <v>202</v>
      </c>
      <c r="D475" t="s">
        <v>90</v>
      </c>
      <c r="E475" t="s">
        <v>91</v>
      </c>
      <c r="F475" s="1">
        <v>127</v>
      </c>
    </row>
    <row r="476" spans="1:6" x14ac:dyDescent="0.3">
      <c r="A476" t="str">
        <f>_xlfn.XLOOKUP(ColombiaClientes[[#This Row],[Client]],VpsClientes[Client],VpsClientes[VP],"",0)</f>
        <v>Martha Guzman Arango</v>
      </c>
      <c r="B476" t="s">
        <v>171</v>
      </c>
      <c r="C476" t="s">
        <v>202</v>
      </c>
      <c r="D476" t="s">
        <v>90</v>
      </c>
      <c r="E476" t="s">
        <v>91</v>
      </c>
      <c r="F476" s="1">
        <v>118</v>
      </c>
    </row>
    <row r="477" spans="1:6" x14ac:dyDescent="0.3">
      <c r="A477" t="str">
        <f>_xlfn.XLOOKUP(ColombiaClientes[[#This Row],[Client]],VpsClientes[Client],VpsClientes[VP],"",0)</f>
        <v>Martha Guzman Arango</v>
      </c>
      <c r="B477" t="s">
        <v>183</v>
      </c>
      <c r="C477" t="s">
        <v>202</v>
      </c>
      <c r="D477" t="s">
        <v>90</v>
      </c>
      <c r="E477" t="s">
        <v>91</v>
      </c>
      <c r="F477" s="1">
        <v>109</v>
      </c>
    </row>
    <row r="478" spans="1:6" x14ac:dyDescent="0.3">
      <c r="A478" t="str">
        <f>_xlfn.XLOOKUP(ColombiaClientes[[#This Row],[Client]],VpsClientes[Client],VpsClientes[VP],"",0)</f>
        <v>Moises Saavedra Garcia</v>
      </c>
      <c r="B478" t="s">
        <v>187</v>
      </c>
      <c r="C478" t="s">
        <v>202</v>
      </c>
      <c r="D478" t="s">
        <v>90</v>
      </c>
      <c r="E478" t="s">
        <v>91</v>
      </c>
      <c r="F478" s="1">
        <v>78</v>
      </c>
    </row>
    <row r="479" spans="1:6" x14ac:dyDescent="0.3">
      <c r="A479" t="str">
        <f>_xlfn.XLOOKUP(ColombiaClientes[[#This Row],[Client]],VpsClientes[Client],VpsClientes[VP],"",0)</f>
        <v>Martha Guzman Arango</v>
      </c>
      <c r="B479" t="s">
        <v>155</v>
      </c>
      <c r="C479" t="s">
        <v>202</v>
      </c>
      <c r="D479" t="s">
        <v>90</v>
      </c>
      <c r="E479" t="s">
        <v>91</v>
      </c>
      <c r="F479" s="1">
        <v>62</v>
      </c>
    </row>
    <row r="480" spans="1:6" x14ac:dyDescent="0.3">
      <c r="A480" t="str">
        <f>_xlfn.XLOOKUP(ColombiaClientes[[#This Row],[Client]],VpsClientes[Client],VpsClientes[VP],"",0)</f>
        <v>Martha Guzman Arango</v>
      </c>
      <c r="B480" t="s">
        <v>176</v>
      </c>
      <c r="C480" t="s">
        <v>202</v>
      </c>
      <c r="D480" t="s">
        <v>90</v>
      </c>
      <c r="E480" t="s">
        <v>91</v>
      </c>
      <c r="F480" s="1">
        <v>55</v>
      </c>
    </row>
    <row r="481" spans="1:6" x14ac:dyDescent="0.3">
      <c r="A481" t="str">
        <f>_xlfn.XLOOKUP(ColombiaClientes[[#This Row],[Client]],VpsClientes[Client],VpsClientes[VP],"",0)</f>
        <v>Hector Muraira Garza</v>
      </c>
      <c r="B481" t="s">
        <v>167</v>
      </c>
      <c r="C481" t="s">
        <v>202</v>
      </c>
      <c r="D481" t="s">
        <v>90</v>
      </c>
      <c r="E481" t="s">
        <v>91</v>
      </c>
      <c r="F481" s="1">
        <v>51</v>
      </c>
    </row>
    <row r="482" spans="1:6" x14ac:dyDescent="0.3">
      <c r="A482" t="str">
        <f>_xlfn.XLOOKUP(ColombiaClientes[[#This Row],[Client]],VpsClientes[Client],VpsClientes[VP],"",0)</f>
        <v>Martha Guzman Arango</v>
      </c>
      <c r="B482" t="s">
        <v>186</v>
      </c>
      <c r="C482" t="s">
        <v>202</v>
      </c>
      <c r="D482" t="s">
        <v>90</v>
      </c>
      <c r="E482" t="s">
        <v>91</v>
      </c>
      <c r="F482" s="1">
        <v>48</v>
      </c>
    </row>
    <row r="483" spans="1:6" x14ac:dyDescent="0.3">
      <c r="A483" t="str">
        <f>_xlfn.XLOOKUP(ColombiaClientes[[#This Row],[Client]],VpsClientes[Client],VpsClientes[VP],"",0)</f>
        <v>Felipe Izquierdo Rico</v>
      </c>
      <c r="B483" t="s">
        <v>177</v>
      </c>
      <c r="C483" t="s">
        <v>191</v>
      </c>
      <c r="D483" t="s">
        <v>90</v>
      </c>
      <c r="E483" t="s">
        <v>91</v>
      </c>
      <c r="F483" s="1">
        <v>36</v>
      </c>
    </row>
    <row r="484" spans="1:6" x14ac:dyDescent="0.3">
      <c r="A484" t="str">
        <f>_xlfn.XLOOKUP(ColombiaClientes[[#This Row],[Client]],VpsClientes[Client],VpsClientes[VP],"",0)</f>
        <v>Maria Forero Jara</v>
      </c>
      <c r="B484" t="s">
        <v>161</v>
      </c>
      <c r="C484" t="s">
        <v>202</v>
      </c>
      <c r="D484" t="s">
        <v>90</v>
      </c>
      <c r="E484" t="s">
        <v>91</v>
      </c>
      <c r="F484" s="1">
        <v>43</v>
      </c>
    </row>
    <row r="485" spans="1:6" x14ac:dyDescent="0.3">
      <c r="A485" t="str">
        <f>_xlfn.XLOOKUP(ColombiaClientes[[#This Row],[Client]],VpsClientes[Client],VpsClientes[VP],"",0)</f>
        <v>Moises Saavedra Garcia</v>
      </c>
      <c r="B485" t="s">
        <v>175</v>
      </c>
      <c r="C485" t="s">
        <v>202</v>
      </c>
      <c r="D485" t="s">
        <v>90</v>
      </c>
      <c r="E485" t="s">
        <v>91</v>
      </c>
      <c r="F485" s="1">
        <v>40</v>
      </c>
    </row>
    <row r="486" spans="1:6" x14ac:dyDescent="0.3">
      <c r="A486" t="str">
        <f>_xlfn.XLOOKUP(ColombiaClientes[[#This Row],[Client]],VpsClientes[Client],VpsClientes[VP],"",0)</f>
        <v>Jhonatan Izquierdo Rico</v>
      </c>
      <c r="B486" t="s">
        <v>200</v>
      </c>
      <c r="C486" t="s">
        <v>202</v>
      </c>
      <c r="D486" t="s">
        <v>90</v>
      </c>
      <c r="E486" t="s">
        <v>91</v>
      </c>
      <c r="F486" s="1">
        <v>22</v>
      </c>
    </row>
    <row r="487" spans="1:6" x14ac:dyDescent="0.3">
      <c r="A487" t="str">
        <f>_xlfn.XLOOKUP(ColombiaClientes[[#This Row],[Client]],VpsClientes[Client],VpsClientes[VP],"",0)</f>
        <v>Hector Muraira Garza</v>
      </c>
      <c r="B487" t="s">
        <v>164</v>
      </c>
      <c r="C487" t="s">
        <v>202</v>
      </c>
      <c r="D487" t="s">
        <v>90</v>
      </c>
      <c r="E487" t="s">
        <v>91</v>
      </c>
      <c r="F487" s="1">
        <v>17</v>
      </c>
    </row>
    <row r="488" spans="1:6" x14ac:dyDescent="0.3">
      <c r="A488" t="str">
        <f>_xlfn.XLOOKUP(ColombiaClientes[[#This Row],[Client]],VpsClientes[Client],VpsClientes[VP],"",0)</f>
        <v>Martha Guzman Arango</v>
      </c>
      <c r="B488" t="s">
        <v>180</v>
      </c>
      <c r="C488" t="s">
        <v>202</v>
      </c>
      <c r="D488" t="s">
        <v>90</v>
      </c>
      <c r="E488" t="s">
        <v>91</v>
      </c>
      <c r="F488" s="1">
        <v>15</v>
      </c>
    </row>
    <row r="489" spans="1:6" x14ac:dyDescent="0.3">
      <c r="A489" t="str">
        <f>_xlfn.XLOOKUP(ColombiaClientes[[#This Row],[Client]],VpsClientes[Client],VpsClientes[VP],"",0)</f>
        <v>Martha Guzman Arango</v>
      </c>
      <c r="B489" t="s">
        <v>188</v>
      </c>
      <c r="C489" t="s">
        <v>202</v>
      </c>
      <c r="D489" t="s">
        <v>90</v>
      </c>
      <c r="E489" t="s">
        <v>91</v>
      </c>
      <c r="F489" s="1">
        <v>9</v>
      </c>
    </row>
    <row r="490" spans="1:6" x14ac:dyDescent="0.3">
      <c r="A490" t="str">
        <f>_xlfn.XLOOKUP(ColombiaClientes[[#This Row],[Client]],VpsClientes[Client],VpsClientes[VP],"",0)</f>
        <v>Martha Guzman Arango</v>
      </c>
      <c r="B490" t="s">
        <v>189</v>
      </c>
      <c r="C490" t="s">
        <v>202</v>
      </c>
      <c r="D490" t="s">
        <v>90</v>
      </c>
      <c r="E490" t="s">
        <v>91</v>
      </c>
      <c r="F490" s="1">
        <v>4</v>
      </c>
    </row>
    <row r="491" spans="1:6" x14ac:dyDescent="0.3">
      <c r="A491" t="str">
        <f>_xlfn.XLOOKUP(ColombiaClientes[[#This Row],[Client]],VpsClientes[Client],VpsClientes[VP],"",0)</f>
        <v>Jhonatan Izquierdo Rico</v>
      </c>
      <c r="B491" t="s">
        <v>159</v>
      </c>
      <c r="C491" t="s">
        <v>202</v>
      </c>
      <c r="D491" t="s">
        <v>90</v>
      </c>
      <c r="E491" t="s">
        <v>91</v>
      </c>
      <c r="F491" s="1">
        <v>0</v>
      </c>
    </row>
    <row r="492" spans="1:6" x14ac:dyDescent="0.3">
      <c r="A492" t="str">
        <f>_xlfn.XLOOKUP(ColombiaClientes[[#This Row],[Client]],VpsClientes[Client],VpsClientes[VP],"",0)</f>
        <v>Carlos Beltran Hernandez</v>
      </c>
      <c r="B492" t="s">
        <v>93</v>
      </c>
      <c r="C492" t="s">
        <v>203</v>
      </c>
      <c r="D492" t="s">
        <v>90</v>
      </c>
      <c r="E492" t="s">
        <v>91</v>
      </c>
      <c r="F492" s="1">
        <v>104690</v>
      </c>
    </row>
    <row r="493" spans="1:6" x14ac:dyDescent="0.3">
      <c r="A493" t="str">
        <f>_xlfn.XLOOKUP(ColombiaClientes[[#This Row],[Client]],VpsClientes[Client],VpsClientes[VP],"",0)</f>
        <v>Ludy Torres Benitez</v>
      </c>
      <c r="B493" t="s">
        <v>95</v>
      </c>
      <c r="C493" t="s">
        <v>203</v>
      </c>
      <c r="D493" t="s">
        <v>90</v>
      </c>
      <c r="E493" t="s">
        <v>91</v>
      </c>
      <c r="F493" s="1">
        <v>21352</v>
      </c>
    </row>
    <row r="494" spans="1:6" x14ac:dyDescent="0.3">
      <c r="A494" t="str">
        <f>_xlfn.XLOOKUP(ColombiaClientes[[#This Row],[Client]],VpsClientes[Client],VpsClientes[VP],"",0)</f>
        <v>Carlos Beltran Hernandez</v>
      </c>
      <c r="B494" t="s">
        <v>94</v>
      </c>
      <c r="C494" t="s">
        <v>203</v>
      </c>
      <c r="D494" t="s">
        <v>90</v>
      </c>
      <c r="E494" t="s">
        <v>91</v>
      </c>
      <c r="F494" s="1">
        <v>20988</v>
      </c>
    </row>
    <row r="495" spans="1:6" x14ac:dyDescent="0.3">
      <c r="A495" t="str">
        <f>_xlfn.XLOOKUP(ColombiaClientes[[#This Row],[Client]],VpsClientes[Client],VpsClientes[VP],"",0)</f>
        <v>Martha Guzman Arango</v>
      </c>
      <c r="B495" t="s">
        <v>96</v>
      </c>
      <c r="C495" t="s">
        <v>203</v>
      </c>
      <c r="D495" t="s">
        <v>90</v>
      </c>
      <c r="E495" t="s">
        <v>91</v>
      </c>
      <c r="F495" s="1">
        <v>17237</v>
      </c>
    </row>
    <row r="496" spans="1:6" x14ac:dyDescent="0.3">
      <c r="A496" t="str">
        <f>_xlfn.XLOOKUP(ColombiaClientes[[#This Row],[Client]],VpsClientes[Client],VpsClientes[VP],"",0)</f>
        <v>Carlos Beltran Hernandez</v>
      </c>
      <c r="B496" t="s">
        <v>102</v>
      </c>
      <c r="C496" t="s">
        <v>203</v>
      </c>
      <c r="D496" t="s">
        <v>90</v>
      </c>
      <c r="E496" t="s">
        <v>91</v>
      </c>
      <c r="F496" s="1">
        <v>9663</v>
      </c>
    </row>
    <row r="497" spans="1:6" x14ac:dyDescent="0.3">
      <c r="A497" t="str">
        <f>_xlfn.XLOOKUP(ColombiaClientes[[#This Row],[Client]],VpsClientes[Client],VpsClientes[VP],"",0)</f>
        <v>Maria Forero Jara</v>
      </c>
      <c r="B497" t="s">
        <v>101</v>
      </c>
      <c r="C497" t="s">
        <v>203</v>
      </c>
      <c r="D497" t="s">
        <v>90</v>
      </c>
      <c r="E497" t="s">
        <v>91</v>
      </c>
      <c r="F497" s="1">
        <v>8922</v>
      </c>
    </row>
    <row r="498" spans="1:6" x14ac:dyDescent="0.3">
      <c r="A498" t="str">
        <f>_xlfn.XLOOKUP(ColombiaClientes[[#This Row],[Client]],VpsClientes[Client],VpsClientes[VP],"",0)</f>
        <v>Carlos Castillo Figueroa</v>
      </c>
      <c r="B498" t="s">
        <v>105</v>
      </c>
      <c r="C498" t="s">
        <v>203</v>
      </c>
      <c r="D498" t="s">
        <v>90</v>
      </c>
      <c r="E498" t="s">
        <v>91</v>
      </c>
      <c r="F498" s="1">
        <v>8098</v>
      </c>
    </row>
    <row r="499" spans="1:6" x14ac:dyDescent="0.3">
      <c r="A499" t="str">
        <f>_xlfn.XLOOKUP(ColombiaClientes[[#This Row],[Client]],VpsClientes[Client],VpsClientes[VP],"",0)</f>
        <v>Maria Forero Jara</v>
      </c>
      <c r="B499" t="s">
        <v>108</v>
      </c>
      <c r="C499" t="s">
        <v>203</v>
      </c>
      <c r="D499" t="s">
        <v>90</v>
      </c>
      <c r="E499" t="s">
        <v>91</v>
      </c>
      <c r="F499" s="1">
        <v>7915</v>
      </c>
    </row>
    <row r="500" spans="1:6" x14ac:dyDescent="0.3">
      <c r="A500" t="str">
        <f>_xlfn.XLOOKUP(ColombiaClientes[[#This Row],[Client]],VpsClientes[Client],VpsClientes[VP],"",0)</f>
        <v>Martha Guzman Arango</v>
      </c>
      <c r="B500" t="s">
        <v>103</v>
      </c>
      <c r="C500" t="s">
        <v>203</v>
      </c>
      <c r="D500" t="s">
        <v>90</v>
      </c>
      <c r="E500" t="s">
        <v>91</v>
      </c>
      <c r="F500" s="1">
        <v>7867</v>
      </c>
    </row>
    <row r="501" spans="1:6" x14ac:dyDescent="0.3">
      <c r="A501" t="str">
        <f>_xlfn.XLOOKUP(ColombiaClientes[[#This Row],[Client]],VpsClientes[Client],VpsClientes[VP],"",0)</f>
        <v>Jhonatan Izquierdo Rico</v>
      </c>
      <c r="B501" t="s">
        <v>104</v>
      </c>
      <c r="C501" t="s">
        <v>203</v>
      </c>
      <c r="D501" t="s">
        <v>90</v>
      </c>
      <c r="E501" t="s">
        <v>91</v>
      </c>
      <c r="F501" s="1">
        <v>7820</v>
      </c>
    </row>
    <row r="502" spans="1:6" x14ac:dyDescent="0.3">
      <c r="A502" t="str">
        <f>_xlfn.XLOOKUP(ColombiaClientes[[#This Row],[Client]],VpsClientes[Client],VpsClientes[VP],"",0)</f>
        <v>Moises Saavedra Garcia</v>
      </c>
      <c r="B502" t="s">
        <v>99</v>
      </c>
      <c r="C502" t="s">
        <v>203</v>
      </c>
      <c r="D502" t="s">
        <v>90</v>
      </c>
      <c r="E502" t="s">
        <v>91</v>
      </c>
      <c r="F502" s="1">
        <v>7804</v>
      </c>
    </row>
    <row r="503" spans="1:6" x14ac:dyDescent="0.3">
      <c r="A503" t="str">
        <f>_xlfn.XLOOKUP(ColombiaClientes[[#This Row],[Client]],VpsClientes[Client],VpsClientes[VP],"",0)</f>
        <v>Martha Guzman Arango</v>
      </c>
      <c r="B503" t="s">
        <v>100</v>
      </c>
      <c r="C503" t="s">
        <v>203</v>
      </c>
      <c r="D503" t="s">
        <v>90</v>
      </c>
      <c r="E503" t="s">
        <v>91</v>
      </c>
      <c r="F503" s="1">
        <v>7533</v>
      </c>
    </row>
    <row r="504" spans="1:6" x14ac:dyDescent="0.3">
      <c r="A504" t="str">
        <f>_xlfn.XLOOKUP(ColombiaClientes[[#This Row],[Client]],VpsClientes[Client],VpsClientes[VP],"",0)</f>
        <v>Martha Guzman Arango</v>
      </c>
      <c r="B504" t="s">
        <v>98</v>
      </c>
      <c r="C504" t="s">
        <v>203</v>
      </c>
      <c r="D504" t="s">
        <v>90</v>
      </c>
      <c r="E504" t="s">
        <v>91</v>
      </c>
      <c r="F504" s="1">
        <v>7303</v>
      </c>
    </row>
    <row r="505" spans="1:6" x14ac:dyDescent="0.3">
      <c r="A505" t="str">
        <f>_xlfn.XLOOKUP(ColombiaClientes[[#This Row],[Client]],VpsClientes[Client],VpsClientes[VP],"",0)</f>
        <v>Hector Muraira Garza</v>
      </c>
      <c r="B505" t="s">
        <v>137</v>
      </c>
      <c r="C505" t="s">
        <v>203</v>
      </c>
      <c r="D505" t="s">
        <v>90</v>
      </c>
      <c r="E505" t="s">
        <v>91</v>
      </c>
      <c r="F505" s="1">
        <v>6003</v>
      </c>
    </row>
    <row r="506" spans="1:6" x14ac:dyDescent="0.3">
      <c r="A506" t="str">
        <f>_xlfn.XLOOKUP(ColombiaClientes[[#This Row],[Client]],VpsClientes[Client],VpsClientes[VP],"",0)</f>
        <v>Martha Guzman Arango</v>
      </c>
      <c r="B506" t="s">
        <v>97</v>
      </c>
      <c r="C506" t="s">
        <v>203</v>
      </c>
      <c r="D506" t="s">
        <v>90</v>
      </c>
      <c r="E506" t="s">
        <v>91</v>
      </c>
      <c r="F506" s="1">
        <v>5275</v>
      </c>
    </row>
    <row r="507" spans="1:6" x14ac:dyDescent="0.3">
      <c r="A507" t="str">
        <f>_xlfn.XLOOKUP(ColombiaClientes[[#This Row],[Client]],VpsClientes[Client],VpsClientes[VP],"",0)</f>
        <v>Maria Forero Jara</v>
      </c>
      <c r="B507" t="s">
        <v>106</v>
      </c>
      <c r="C507" t="s">
        <v>203</v>
      </c>
      <c r="D507" t="s">
        <v>90</v>
      </c>
      <c r="E507" t="s">
        <v>91</v>
      </c>
      <c r="F507" s="1">
        <v>4730</v>
      </c>
    </row>
    <row r="508" spans="1:6" x14ac:dyDescent="0.3">
      <c r="A508" t="str">
        <f>_xlfn.XLOOKUP(ColombiaClientes[[#This Row],[Client]],VpsClientes[Client],VpsClientes[VP],"",0)</f>
        <v>Moises Saavedra Garcia</v>
      </c>
      <c r="B508" t="s">
        <v>115</v>
      </c>
      <c r="C508" t="s">
        <v>203</v>
      </c>
      <c r="D508" t="s">
        <v>90</v>
      </c>
      <c r="E508" t="s">
        <v>91</v>
      </c>
      <c r="F508" s="1">
        <v>4653</v>
      </c>
    </row>
    <row r="509" spans="1:6" x14ac:dyDescent="0.3">
      <c r="A509" t="str">
        <f>_xlfn.XLOOKUP(ColombiaClientes[[#This Row],[Client]],VpsClientes[Client],VpsClientes[VP],"",0)</f>
        <v>Jhonatan Izquierdo Rico</v>
      </c>
      <c r="B509" t="s">
        <v>107</v>
      </c>
      <c r="C509" t="s">
        <v>203</v>
      </c>
      <c r="D509" t="s">
        <v>90</v>
      </c>
      <c r="E509" t="s">
        <v>91</v>
      </c>
      <c r="F509" s="1">
        <v>4449</v>
      </c>
    </row>
    <row r="510" spans="1:6" x14ac:dyDescent="0.3">
      <c r="A510" t="str">
        <f>_xlfn.XLOOKUP(ColombiaClientes[[#This Row],[Client]],VpsClientes[Client],VpsClientes[VP],"",0)</f>
        <v>Moises Saavedra Garcia</v>
      </c>
      <c r="B510" t="s">
        <v>172</v>
      </c>
      <c r="C510" t="s">
        <v>203</v>
      </c>
      <c r="D510" t="s">
        <v>90</v>
      </c>
      <c r="E510" t="s">
        <v>91</v>
      </c>
      <c r="F510" s="1">
        <v>4388</v>
      </c>
    </row>
    <row r="511" spans="1:6" x14ac:dyDescent="0.3">
      <c r="A511" t="str">
        <f>_xlfn.XLOOKUP(ColombiaClientes[[#This Row],[Client]],VpsClientes[Client],VpsClientes[VP],"",0)</f>
        <v>Carlos Beltran Hernandez</v>
      </c>
      <c r="B511" t="s">
        <v>119</v>
      </c>
      <c r="C511" t="s">
        <v>203</v>
      </c>
      <c r="D511" t="s">
        <v>90</v>
      </c>
      <c r="E511" t="s">
        <v>91</v>
      </c>
      <c r="F511" s="1">
        <v>4127</v>
      </c>
    </row>
    <row r="512" spans="1:6" x14ac:dyDescent="0.3">
      <c r="A512" t="str">
        <f>_xlfn.XLOOKUP(ColombiaClientes[[#This Row],[Client]],VpsClientes[Client],VpsClientes[VP],"",0)</f>
        <v>Maria Forero Jara</v>
      </c>
      <c r="B512" t="s">
        <v>125</v>
      </c>
      <c r="C512" t="s">
        <v>203</v>
      </c>
      <c r="D512" t="s">
        <v>90</v>
      </c>
      <c r="E512" t="s">
        <v>91</v>
      </c>
      <c r="F512" s="1">
        <v>4049</v>
      </c>
    </row>
    <row r="513" spans="1:6" x14ac:dyDescent="0.3">
      <c r="A513" t="str">
        <f>_xlfn.XLOOKUP(ColombiaClientes[[#This Row],[Client]],VpsClientes[Client],VpsClientes[VP],"",0)</f>
        <v>Martha Guzman Arango</v>
      </c>
      <c r="B513" t="s">
        <v>109</v>
      </c>
      <c r="C513" t="s">
        <v>203</v>
      </c>
      <c r="D513" t="s">
        <v>90</v>
      </c>
      <c r="E513" t="s">
        <v>91</v>
      </c>
      <c r="F513" s="1">
        <v>4004</v>
      </c>
    </row>
    <row r="514" spans="1:6" x14ac:dyDescent="0.3">
      <c r="A514" t="str">
        <f>_xlfn.XLOOKUP(ColombiaClientes[[#This Row],[Client]],VpsClientes[Client],VpsClientes[VP],"",0)</f>
        <v>Sandra Romero Zuluaga</v>
      </c>
      <c r="B514" t="s">
        <v>113</v>
      </c>
      <c r="C514" t="s">
        <v>203</v>
      </c>
      <c r="D514" t="s">
        <v>90</v>
      </c>
      <c r="E514" t="s">
        <v>91</v>
      </c>
      <c r="F514" s="1">
        <v>3951</v>
      </c>
    </row>
    <row r="515" spans="1:6" x14ac:dyDescent="0.3">
      <c r="A515" t="str">
        <f>_xlfn.XLOOKUP(ColombiaClientes[[#This Row],[Client]],VpsClientes[Client],VpsClientes[VP],"",0)</f>
        <v>Hector Muraira Garza</v>
      </c>
      <c r="B515" t="s">
        <v>130</v>
      </c>
      <c r="C515" t="s">
        <v>203</v>
      </c>
      <c r="D515" t="s">
        <v>90</v>
      </c>
      <c r="E515" t="s">
        <v>91</v>
      </c>
      <c r="F515" s="1">
        <v>3668</v>
      </c>
    </row>
    <row r="516" spans="1:6" x14ac:dyDescent="0.3">
      <c r="A516" t="str">
        <f>_xlfn.XLOOKUP(ColombiaClientes[[#This Row],[Client]],VpsClientes[Client],VpsClientes[VP],"",0)</f>
        <v>Jhonatan Izquierdo Rico</v>
      </c>
      <c r="B516" t="s">
        <v>128</v>
      </c>
      <c r="C516" t="s">
        <v>203</v>
      </c>
      <c r="D516" t="s">
        <v>90</v>
      </c>
      <c r="E516" t="s">
        <v>91</v>
      </c>
      <c r="F516" s="1">
        <v>3599</v>
      </c>
    </row>
    <row r="517" spans="1:6" x14ac:dyDescent="0.3">
      <c r="A517" t="str">
        <f>_xlfn.XLOOKUP(ColombiaClientes[[#This Row],[Client]],VpsClientes[Client],VpsClientes[VP],"",0)</f>
        <v>Ernesto Rico Zuluaga</v>
      </c>
      <c r="B517" t="s">
        <v>116</v>
      </c>
      <c r="C517" t="s">
        <v>203</v>
      </c>
      <c r="D517" t="s">
        <v>90</v>
      </c>
      <c r="E517" t="s">
        <v>91</v>
      </c>
      <c r="F517" s="1">
        <v>3587</v>
      </c>
    </row>
    <row r="518" spans="1:6" x14ac:dyDescent="0.3">
      <c r="A518" t="str">
        <f>_xlfn.XLOOKUP(ColombiaClientes[[#This Row],[Client]],VpsClientes[Client],VpsClientes[VP],"",0)</f>
        <v>Martha Guzman Arango</v>
      </c>
      <c r="B518" t="s">
        <v>122</v>
      </c>
      <c r="C518" t="s">
        <v>203</v>
      </c>
      <c r="D518" t="s">
        <v>90</v>
      </c>
      <c r="E518" t="s">
        <v>91</v>
      </c>
      <c r="F518" s="1">
        <v>3369</v>
      </c>
    </row>
    <row r="519" spans="1:6" x14ac:dyDescent="0.3">
      <c r="A519" t="str">
        <f>_xlfn.XLOOKUP(ColombiaClientes[[#This Row],[Client]],VpsClientes[Client],VpsClientes[VP],"",0)</f>
        <v>Martha Guzman Arango</v>
      </c>
      <c r="B519" t="s">
        <v>114</v>
      </c>
      <c r="C519" t="s">
        <v>203</v>
      </c>
      <c r="D519" t="s">
        <v>90</v>
      </c>
      <c r="E519" t="s">
        <v>91</v>
      </c>
      <c r="F519" s="1">
        <v>2738</v>
      </c>
    </row>
    <row r="520" spans="1:6" x14ac:dyDescent="0.3">
      <c r="A520" t="str">
        <f>_xlfn.XLOOKUP(ColombiaClientes[[#This Row],[Client]],VpsClientes[Client],VpsClientes[VP],"",0)</f>
        <v>Ernesto Rico Zuluaga</v>
      </c>
      <c r="B520" t="s">
        <v>121</v>
      </c>
      <c r="C520" t="s">
        <v>203</v>
      </c>
      <c r="D520" t="s">
        <v>90</v>
      </c>
      <c r="E520" t="s">
        <v>91</v>
      </c>
      <c r="F520" s="1">
        <v>2668</v>
      </c>
    </row>
    <row r="521" spans="1:6" x14ac:dyDescent="0.3">
      <c r="A521" t="str">
        <f>_xlfn.XLOOKUP(ColombiaClientes[[#This Row],[Client]],VpsClientes[Client],VpsClientes[VP],"",0)</f>
        <v>Jhonatan Izquierdo Rico</v>
      </c>
      <c r="B521" t="s">
        <v>112</v>
      </c>
      <c r="C521" t="s">
        <v>203</v>
      </c>
      <c r="D521" t="s">
        <v>90</v>
      </c>
      <c r="E521" t="s">
        <v>91</v>
      </c>
      <c r="F521" s="1">
        <v>2664</v>
      </c>
    </row>
    <row r="522" spans="1:6" x14ac:dyDescent="0.3">
      <c r="A522" t="str">
        <f>_xlfn.XLOOKUP(ColombiaClientes[[#This Row],[Client]],VpsClientes[Client],VpsClientes[VP],"",0)</f>
        <v>Martha Guzman Arango</v>
      </c>
      <c r="B522" t="s">
        <v>118</v>
      </c>
      <c r="C522" t="s">
        <v>203</v>
      </c>
      <c r="D522" t="s">
        <v>90</v>
      </c>
      <c r="E522" t="s">
        <v>91</v>
      </c>
      <c r="F522" s="1">
        <v>2184</v>
      </c>
    </row>
    <row r="523" spans="1:6" x14ac:dyDescent="0.3">
      <c r="A523" t="str">
        <f>_xlfn.XLOOKUP(ColombiaClientes[[#This Row],[Client]],VpsClientes[Client],VpsClientes[VP],"",0)</f>
        <v>Maria Forero Jara</v>
      </c>
      <c r="B523" t="s">
        <v>139</v>
      </c>
      <c r="C523" t="s">
        <v>203</v>
      </c>
      <c r="D523" t="s">
        <v>90</v>
      </c>
      <c r="E523" t="s">
        <v>91</v>
      </c>
      <c r="F523" s="1">
        <v>2101</v>
      </c>
    </row>
    <row r="524" spans="1:6" x14ac:dyDescent="0.3">
      <c r="A524" t="str">
        <f>_xlfn.XLOOKUP(ColombiaClientes[[#This Row],[Client]],VpsClientes[Client],VpsClientes[VP],"",0)</f>
        <v>Juan Granados Castillo</v>
      </c>
      <c r="B524" t="s">
        <v>136</v>
      </c>
      <c r="C524" t="s">
        <v>203</v>
      </c>
      <c r="D524" t="s">
        <v>90</v>
      </c>
      <c r="E524" t="s">
        <v>91</v>
      </c>
      <c r="F524" s="1">
        <v>1976</v>
      </c>
    </row>
    <row r="525" spans="1:6" x14ac:dyDescent="0.3">
      <c r="A525" t="str">
        <f>_xlfn.XLOOKUP(ColombiaClientes[[#This Row],[Client]],VpsClientes[Client],VpsClientes[VP],"",0)</f>
        <v>Juan Granados Castillo</v>
      </c>
      <c r="B525" t="s">
        <v>134</v>
      </c>
      <c r="C525" t="s">
        <v>203</v>
      </c>
      <c r="D525" t="s">
        <v>90</v>
      </c>
      <c r="E525" t="s">
        <v>91</v>
      </c>
      <c r="F525" s="1">
        <v>1959</v>
      </c>
    </row>
    <row r="526" spans="1:6" x14ac:dyDescent="0.3">
      <c r="A526" t="str">
        <f>_xlfn.XLOOKUP(ColombiaClientes[[#This Row],[Client]],VpsClientes[Client],VpsClientes[VP],"",0)</f>
        <v>Moises Saavedra Garcia</v>
      </c>
      <c r="B526" t="s">
        <v>120</v>
      </c>
      <c r="C526" t="s">
        <v>203</v>
      </c>
      <c r="D526" t="s">
        <v>90</v>
      </c>
      <c r="E526" t="s">
        <v>91</v>
      </c>
      <c r="F526" s="1">
        <v>1811</v>
      </c>
    </row>
    <row r="527" spans="1:6" x14ac:dyDescent="0.3">
      <c r="A527" t="str">
        <f>_xlfn.XLOOKUP(ColombiaClientes[[#This Row],[Client]],VpsClientes[Client],VpsClientes[VP],"",0)</f>
        <v>Felipe Izquierdo Rico</v>
      </c>
      <c r="B527" t="s">
        <v>177</v>
      </c>
      <c r="C527" t="s">
        <v>192</v>
      </c>
      <c r="D527" t="s">
        <v>90</v>
      </c>
      <c r="E527" t="s">
        <v>91</v>
      </c>
      <c r="F527" s="1">
        <v>146</v>
      </c>
    </row>
    <row r="528" spans="1:6" x14ac:dyDescent="0.3">
      <c r="A528" t="str">
        <f>_xlfn.XLOOKUP(ColombiaClientes[[#This Row],[Client]],VpsClientes[Client],VpsClientes[VP],"",0)</f>
        <v>Moises Saavedra Garcia</v>
      </c>
      <c r="B528" t="s">
        <v>110</v>
      </c>
      <c r="C528" t="s">
        <v>203</v>
      </c>
      <c r="D528" t="s">
        <v>90</v>
      </c>
      <c r="E528" t="s">
        <v>91</v>
      </c>
      <c r="F528" s="1">
        <v>1413</v>
      </c>
    </row>
    <row r="529" spans="1:6" x14ac:dyDescent="0.3">
      <c r="A529" t="str">
        <f>_xlfn.XLOOKUP(ColombiaClientes[[#This Row],[Client]],VpsClientes[Client],VpsClientes[VP],"",0)</f>
        <v>Jhonatan Izquierdo Rico</v>
      </c>
      <c r="B529" t="s">
        <v>138</v>
      </c>
      <c r="C529" t="s">
        <v>203</v>
      </c>
      <c r="D529" t="s">
        <v>90</v>
      </c>
      <c r="E529" t="s">
        <v>91</v>
      </c>
      <c r="F529" s="1">
        <v>1380</v>
      </c>
    </row>
    <row r="530" spans="1:6" x14ac:dyDescent="0.3">
      <c r="A530" t="str">
        <f>_xlfn.XLOOKUP(ColombiaClientes[[#This Row],[Client]],VpsClientes[Client],VpsClientes[VP],"",0)</f>
        <v>Maria Forero Jara</v>
      </c>
      <c r="B530" t="s">
        <v>123</v>
      </c>
      <c r="C530" t="s">
        <v>203</v>
      </c>
      <c r="D530" t="s">
        <v>90</v>
      </c>
      <c r="E530" t="s">
        <v>91</v>
      </c>
      <c r="F530" s="1">
        <v>1361</v>
      </c>
    </row>
    <row r="531" spans="1:6" x14ac:dyDescent="0.3">
      <c r="A531" t="str">
        <f>_xlfn.XLOOKUP(ColombiaClientes[[#This Row],[Client]],VpsClientes[Client],VpsClientes[VP],"",0)</f>
        <v>Martha Guzman Arango</v>
      </c>
      <c r="B531" t="s">
        <v>124</v>
      </c>
      <c r="C531" t="s">
        <v>203</v>
      </c>
      <c r="D531" t="s">
        <v>90</v>
      </c>
      <c r="E531" t="s">
        <v>91</v>
      </c>
      <c r="F531" s="1">
        <v>1295</v>
      </c>
    </row>
    <row r="532" spans="1:6" x14ac:dyDescent="0.3">
      <c r="A532" t="str">
        <f>_xlfn.XLOOKUP(ColombiaClientes[[#This Row],[Client]],VpsClientes[Client],VpsClientes[VP],"",0)</f>
        <v>Martha Guzman Arango</v>
      </c>
      <c r="B532" t="s">
        <v>143</v>
      </c>
      <c r="C532" t="s">
        <v>203</v>
      </c>
      <c r="D532" t="s">
        <v>90</v>
      </c>
      <c r="E532" t="s">
        <v>91</v>
      </c>
      <c r="F532" s="1">
        <v>1225</v>
      </c>
    </row>
    <row r="533" spans="1:6" x14ac:dyDescent="0.3">
      <c r="A533" t="str">
        <f>_xlfn.XLOOKUP(ColombiaClientes[[#This Row],[Client]],VpsClientes[Client],VpsClientes[VP],"",0)</f>
        <v>Martha Guzman Arango</v>
      </c>
      <c r="B533" t="s">
        <v>156</v>
      </c>
      <c r="C533" t="s">
        <v>203</v>
      </c>
      <c r="D533" t="s">
        <v>90</v>
      </c>
      <c r="E533" t="s">
        <v>91</v>
      </c>
      <c r="F533" s="1">
        <v>1209</v>
      </c>
    </row>
    <row r="534" spans="1:6" x14ac:dyDescent="0.3">
      <c r="A534" t="str">
        <f>_xlfn.XLOOKUP(ColombiaClientes[[#This Row],[Client]],VpsClientes[Client],VpsClientes[VP],"",0)</f>
        <v>Martha Guzman Arango</v>
      </c>
      <c r="B534" t="s">
        <v>135</v>
      </c>
      <c r="C534" t="s">
        <v>203</v>
      </c>
      <c r="D534" t="s">
        <v>90</v>
      </c>
      <c r="E534" t="s">
        <v>91</v>
      </c>
      <c r="F534" s="1">
        <v>1194</v>
      </c>
    </row>
    <row r="535" spans="1:6" x14ac:dyDescent="0.3">
      <c r="A535" t="str">
        <f>_xlfn.XLOOKUP(ColombiaClientes[[#This Row],[Client]],VpsClientes[Client],VpsClientes[VP],"",0)</f>
        <v>Jhonatan Izquierdo Rico</v>
      </c>
      <c r="B535" t="s">
        <v>117</v>
      </c>
      <c r="C535" t="s">
        <v>203</v>
      </c>
      <c r="D535" t="s">
        <v>90</v>
      </c>
      <c r="E535" t="s">
        <v>91</v>
      </c>
      <c r="F535" s="1">
        <v>1034</v>
      </c>
    </row>
    <row r="536" spans="1:6" x14ac:dyDescent="0.3">
      <c r="A536" t="str">
        <f>_xlfn.XLOOKUP(ColombiaClientes[[#This Row],[Client]],VpsClientes[Client],VpsClientes[VP],"",0)</f>
        <v>Jhonatan Izquierdo Rico</v>
      </c>
      <c r="B536" t="s">
        <v>126</v>
      </c>
      <c r="C536" t="s">
        <v>203</v>
      </c>
      <c r="D536" t="s">
        <v>90</v>
      </c>
      <c r="E536" t="s">
        <v>91</v>
      </c>
      <c r="F536" s="1">
        <v>852</v>
      </c>
    </row>
    <row r="537" spans="1:6" x14ac:dyDescent="0.3">
      <c r="A537" t="str">
        <f>_xlfn.XLOOKUP(ColombiaClientes[[#This Row],[Client]],VpsClientes[Client],VpsClientes[VP],"",0)</f>
        <v>Martha Guzman Arango</v>
      </c>
      <c r="B537" t="s">
        <v>185</v>
      </c>
      <c r="C537" t="s">
        <v>203</v>
      </c>
      <c r="D537" t="s">
        <v>90</v>
      </c>
      <c r="E537" t="s">
        <v>91</v>
      </c>
      <c r="F537" s="1">
        <v>763</v>
      </c>
    </row>
    <row r="538" spans="1:6" x14ac:dyDescent="0.3">
      <c r="A538" t="str">
        <f>_xlfn.XLOOKUP(ColombiaClientes[[#This Row],[Client]],VpsClientes[Client],VpsClientes[VP],"",0)</f>
        <v>Moises Saavedra Garcia</v>
      </c>
      <c r="B538" t="s">
        <v>150</v>
      </c>
      <c r="C538" t="s">
        <v>203</v>
      </c>
      <c r="D538" t="s">
        <v>90</v>
      </c>
      <c r="E538" t="s">
        <v>91</v>
      </c>
      <c r="F538" s="1">
        <v>667</v>
      </c>
    </row>
    <row r="539" spans="1:6" x14ac:dyDescent="0.3">
      <c r="A539" t="str">
        <f>_xlfn.XLOOKUP(ColombiaClientes[[#This Row],[Client]],VpsClientes[Client],VpsClientes[VP],"",0)</f>
        <v>Martha Guzman Arango</v>
      </c>
      <c r="B539" t="s">
        <v>166</v>
      </c>
      <c r="C539" t="s">
        <v>203</v>
      </c>
      <c r="D539" t="s">
        <v>90</v>
      </c>
      <c r="E539" t="s">
        <v>91</v>
      </c>
      <c r="F539" s="1">
        <v>663</v>
      </c>
    </row>
    <row r="540" spans="1:6" x14ac:dyDescent="0.3">
      <c r="A540" t="str">
        <f>_xlfn.XLOOKUP(ColombiaClientes[[#This Row],[Client]],VpsClientes[Client],VpsClientes[VP],"",0)</f>
        <v>Maria Forero Jara</v>
      </c>
      <c r="B540" t="s">
        <v>111</v>
      </c>
      <c r="C540" t="s">
        <v>203</v>
      </c>
      <c r="D540" t="s">
        <v>90</v>
      </c>
      <c r="E540" t="s">
        <v>91</v>
      </c>
      <c r="F540" s="1">
        <v>634</v>
      </c>
    </row>
    <row r="541" spans="1:6" x14ac:dyDescent="0.3">
      <c r="A541" t="str">
        <f>_xlfn.XLOOKUP(ColombiaClientes[[#This Row],[Client]],VpsClientes[Client],VpsClientes[VP],"",0)</f>
        <v>Martha Guzman Arango</v>
      </c>
      <c r="B541" t="s">
        <v>152</v>
      </c>
      <c r="C541" t="s">
        <v>203</v>
      </c>
      <c r="D541" t="s">
        <v>90</v>
      </c>
      <c r="E541" t="s">
        <v>91</v>
      </c>
      <c r="F541" s="1">
        <v>633</v>
      </c>
    </row>
    <row r="542" spans="1:6" x14ac:dyDescent="0.3">
      <c r="A542" t="str">
        <f>_xlfn.XLOOKUP(ColombiaClientes[[#This Row],[Client]],VpsClientes[Client],VpsClientes[VP],"",0)</f>
        <v>Martha Guzman Arango</v>
      </c>
      <c r="B542" t="s">
        <v>174</v>
      </c>
      <c r="C542" t="s">
        <v>203</v>
      </c>
      <c r="D542" t="s">
        <v>90</v>
      </c>
      <c r="E542" t="s">
        <v>91</v>
      </c>
      <c r="F542" s="1">
        <v>620</v>
      </c>
    </row>
    <row r="543" spans="1:6" x14ac:dyDescent="0.3">
      <c r="A543" t="str">
        <f>_xlfn.XLOOKUP(ColombiaClientes[[#This Row],[Client]],VpsClientes[Client],VpsClientes[VP],"",0)</f>
        <v>Hector Muraira Garza</v>
      </c>
      <c r="B543" t="s">
        <v>154</v>
      </c>
      <c r="C543" t="s">
        <v>203</v>
      </c>
      <c r="D543" t="s">
        <v>90</v>
      </c>
      <c r="E543" t="s">
        <v>91</v>
      </c>
      <c r="F543" s="1">
        <v>617</v>
      </c>
    </row>
    <row r="544" spans="1:6" x14ac:dyDescent="0.3">
      <c r="A544" t="str">
        <f>_xlfn.XLOOKUP(ColombiaClientes[[#This Row],[Client]],VpsClientes[Client],VpsClientes[VP],"",0)</f>
        <v>Hector Muraira Garza</v>
      </c>
      <c r="B544" t="s">
        <v>140</v>
      </c>
      <c r="C544" t="s">
        <v>203</v>
      </c>
      <c r="D544" t="s">
        <v>90</v>
      </c>
      <c r="E544" t="s">
        <v>91</v>
      </c>
      <c r="F544" s="1">
        <v>598</v>
      </c>
    </row>
    <row r="545" spans="1:6" x14ac:dyDescent="0.3">
      <c r="A545" t="str">
        <f>_xlfn.XLOOKUP(ColombiaClientes[[#This Row],[Client]],VpsClientes[Client],VpsClientes[VP],"",0)</f>
        <v>Martha Guzman Arango</v>
      </c>
      <c r="B545" t="s">
        <v>145</v>
      </c>
      <c r="C545" t="s">
        <v>203</v>
      </c>
      <c r="D545" t="s">
        <v>90</v>
      </c>
      <c r="E545" t="s">
        <v>91</v>
      </c>
      <c r="F545" s="1">
        <v>581</v>
      </c>
    </row>
    <row r="546" spans="1:6" x14ac:dyDescent="0.3">
      <c r="A546" t="str">
        <f>_xlfn.XLOOKUP(ColombiaClientes[[#This Row],[Client]],VpsClientes[Client],VpsClientes[VP],"",0)</f>
        <v>Juan Granados Castillo</v>
      </c>
      <c r="B546" t="s">
        <v>142</v>
      </c>
      <c r="C546" t="s">
        <v>203</v>
      </c>
      <c r="D546" t="s">
        <v>90</v>
      </c>
      <c r="E546" t="s">
        <v>91</v>
      </c>
      <c r="F546" s="1">
        <v>523</v>
      </c>
    </row>
    <row r="547" spans="1:6" x14ac:dyDescent="0.3">
      <c r="A547" t="str">
        <f>_xlfn.XLOOKUP(ColombiaClientes[[#This Row],[Client]],VpsClientes[Client],VpsClientes[VP],"",0)</f>
        <v>Martha Guzman Arango</v>
      </c>
      <c r="B547" t="s">
        <v>146</v>
      </c>
      <c r="C547" t="s">
        <v>203</v>
      </c>
      <c r="D547" t="s">
        <v>90</v>
      </c>
      <c r="E547" t="s">
        <v>91</v>
      </c>
      <c r="F547" s="1">
        <v>486</v>
      </c>
    </row>
    <row r="548" spans="1:6" x14ac:dyDescent="0.3">
      <c r="A548" t="str">
        <f>_xlfn.XLOOKUP(ColombiaClientes[[#This Row],[Client]],VpsClientes[Client],VpsClientes[VP],"",0)</f>
        <v>Juan Granados Castillo</v>
      </c>
      <c r="B548" t="s">
        <v>149</v>
      </c>
      <c r="C548" t="s">
        <v>203</v>
      </c>
      <c r="D548" t="s">
        <v>90</v>
      </c>
      <c r="E548" t="s">
        <v>91</v>
      </c>
      <c r="F548" s="1">
        <v>452</v>
      </c>
    </row>
    <row r="549" spans="1:6" x14ac:dyDescent="0.3">
      <c r="A549" t="str">
        <f>_xlfn.XLOOKUP(ColombiaClientes[[#This Row],[Client]],VpsClientes[Client],VpsClientes[VP],"",0)</f>
        <v>Jhonatan Izquierdo Rico</v>
      </c>
      <c r="B549" t="s">
        <v>157</v>
      </c>
      <c r="C549" t="s">
        <v>203</v>
      </c>
      <c r="D549" t="s">
        <v>90</v>
      </c>
      <c r="E549" t="s">
        <v>91</v>
      </c>
      <c r="F549" s="1">
        <v>413</v>
      </c>
    </row>
    <row r="550" spans="1:6" x14ac:dyDescent="0.3">
      <c r="A550" t="str">
        <f>_xlfn.XLOOKUP(ColombiaClientes[[#This Row],[Client]],VpsClientes[Client],VpsClientes[VP],"",0)</f>
        <v>Maria Forero Jara</v>
      </c>
      <c r="B550" t="s">
        <v>198</v>
      </c>
      <c r="C550" t="s">
        <v>203</v>
      </c>
      <c r="D550" t="s">
        <v>90</v>
      </c>
      <c r="E550" t="s">
        <v>91</v>
      </c>
      <c r="F550" s="1">
        <v>412</v>
      </c>
    </row>
    <row r="551" spans="1:6" x14ac:dyDescent="0.3">
      <c r="A551" t="str">
        <f>_xlfn.XLOOKUP(ColombiaClientes[[#This Row],[Client]],VpsClientes[Client],VpsClientes[VP],"",0)</f>
        <v>Jhonatan Izquierdo Rico</v>
      </c>
      <c r="B551" t="s">
        <v>129</v>
      </c>
      <c r="C551" t="s">
        <v>203</v>
      </c>
      <c r="D551" t="s">
        <v>90</v>
      </c>
      <c r="E551" t="s">
        <v>91</v>
      </c>
      <c r="F551" s="1">
        <v>409</v>
      </c>
    </row>
    <row r="552" spans="1:6" x14ac:dyDescent="0.3">
      <c r="A552" t="str">
        <f>_xlfn.XLOOKUP(ColombiaClientes[[#This Row],[Client]],VpsClientes[Client],VpsClientes[VP],"",0)</f>
        <v>Martha Guzman Arango</v>
      </c>
      <c r="B552" t="s">
        <v>153</v>
      </c>
      <c r="C552" t="s">
        <v>203</v>
      </c>
      <c r="D552" t="s">
        <v>90</v>
      </c>
      <c r="E552" t="s">
        <v>91</v>
      </c>
      <c r="F552" s="1">
        <v>386</v>
      </c>
    </row>
    <row r="553" spans="1:6" x14ac:dyDescent="0.3">
      <c r="A553" t="str">
        <f>_xlfn.XLOOKUP(ColombiaClientes[[#This Row],[Client]],VpsClientes[Client],VpsClientes[VP],"",0)</f>
        <v>Carlos Beltran Hernandez</v>
      </c>
      <c r="B553" t="s">
        <v>151</v>
      </c>
      <c r="C553" t="s">
        <v>203</v>
      </c>
      <c r="D553" t="s">
        <v>90</v>
      </c>
      <c r="E553" t="s">
        <v>91</v>
      </c>
      <c r="F553" s="1">
        <v>370</v>
      </c>
    </row>
    <row r="554" spans="1:6" x14ac:dyDescent="0.3">
      <c r="A554" t="str">
        <f>_xlfn.XLOOKUP(ColombiaClientes[[#This Row],[Client]],VpsClientes[Client],VpsClientes[VP],"",0)</f>
        <v>Carlos Beltran Hernandez</v>
      </c>
      <c r="B554" t="s">
        <v>158</v>
      </c>
      <c r="C554" t="s">
        <v>203</v>
      </c>
      <c r="D554" t="s">
        <v>90</v>
      </c>
      <c r="E554" t="s">
        <v>91</v>
      </c>
      <c r="F554" s="1">
        <v>370</v>
      </c>
    </row>
    <row r="555" spans="1:6" x14ac:dyDescent="0.3">
      <c r="A555" t="str">
        <f>_xlfn.XLOOKUP(ColombiaClientes[[#This Row],[Client]],VpsClientes[Client],VpsClientes[VP],"",0)</f>
        <v>Carlos Beltran Hernandez</v>
      </c>
      <c r="B555" t="s">
        <v>173</v>
      </c>
      <c r="C555" t="s">
        <v>203</v>
      </c>
      <c r="D555" t="s">
        <v>90</v>
      </c>
      <c r="E555" t="s">
        <v>91</v>
      </c>
      <c r="F555" s="1">
        <v>364</v>
      </c>
    </row>
    <row r="556" spans="1:6" x14ac:dyDescent="0.3">
      <c r="A556" t="str">
        <f>_xlfn.XLOOKUP(ColombiaClientes[[#This Row],[Client]],VpsClientes[Client],VpsClientes[VP],"",0)</f>
        <v>Maria Forero Jara</v>
      </c>
      <c r="B556" t="s">
        <v>163</v>
      </c>
      <c r="C556" t="s">
        <v>203</v>
      </c>
      <c r="D556" t="s">
        <v>90</v>
      </c>
      <c r="E556" t="s">
        <v>91</v>
      </c>
      <c r="F556" s="1">
        <v>346</v>
      </c>
    </row>
    <row r="557" spans="1:6" x14ac:dyDescent="0.3">
      <c r="A557" t="str">
        <f>_xlfn.XLOOKUP(ColombiaClientes[[#This Row],[Client]],VpsClientes[Client],VpsClientes[VP],"",0)</f>
        <v>Martha Guzman Arango</v>
      </c>
      <c r="B557" t="s">
        <v>183</v>
      </c>
      <c r="C557" t="s">
        <v>203</v>
      </c>
      <c r="D557" t="s">
        <v>90</v>
      </c>
      <c r="E557" t="s">
        <v>91</v>
      </c>
      <c r="F557" s="1">
        <v>313</v>
      </c>
    </row>
    <row r="558" spans="1:6" x14ac:dyDescent="0.3">
      <c r="A558" t="str">
        <f>_xlfn.XLOOKUP(ColombiaClientes[[#This Row],[Client]],VpsClientes[Client],VpsClientes[VP],"",0)</f>
        <v>Maria Forero Jara</v>
      </c>
      <c r="B558" t="s">
        <v>144</v>
      </c>
      <c r="C558" t="s">
        <v>203</v>
      </c>
      <c r="D558" t="s">
        <v>90</v>
      </c>
      <c r="E558" t="s">
        <v>91</v>
      </c>
      <c r="F558" s="1">
        <v>309</v>
      </c>
    </row>
    <row r="559" spans="1:6" x14ac:dyDescent="0.3">
      <c r="A559" t="str">
        <f>_xlfn.XLOOKUP(ColombiaClientes[[#This Row],[Client]],VpsClientes[Client],VpsClientes[VP],"",0)</f>
        <v>Martha Guzman Arango</v>
      </c>
      <c r="B559" t="s">
        <v>170</v>
      </c>
      <c r="C559" t="s">
        <v>203</v>
      </c>
      <c r="D559" t="s">
        <v>90</v>
      </c>
      <c r="E559" t="s">
        <v>91</v>
      </c>
      <c r="F559" s="1">
        <v>303</v>
      </c>
    </row>
    <row r="560" spans="1:6" x14ac:dyDescent="0.3">
      <c r="A560" t="str">
        <f>_xlfn.XLOOKUP(ColombiaClientes[[#This Row],[Client]],VpsClientes[Client],VpsClientes[VP],"",0)</f>
        <v>Martha Guzman Arango</v>
      </c>
      <c r="B560" t="s">
        <v>162</v>
      </c>
      <c r="C560" t="s">
        <v>203</v>
      </c>
      <c r="D560" t="s">
        <v>90</v>
      </c>
      <c r="E560" t="s">
        <v>91</v>
      </c>
      <c r="F560" s="1">
        <v>302</v>
      </c>
    </row>
    <row r="561" spans="1:6" x14ac:dyDescent="0.3">
      <c r="A561" t="str">
        <f>_xlfn.XLOOKUP(ColombiaClientes[[#This Row],[Client]],VpsClientes[Client],VpsClientes[VP],"",0)</f>
        <v>Martha Guzman Arango</v>
      </c>
      <c r="B561" t="s">
        <v>199</v>
      </c>
      <c r="C561" t="s">
        <v>203</v>
      </c>
      <c r="D561" t="s">
        <v>90</v>
      </c>
      <c r="E561" t="s">
        <v>91</v>
      </c>
      <c r="F561" s="1">
        <v>288</v>
      </c>
    </row>
    <row r="562" spans="1:6" x14ac:dyDescent="0.3">
      <c r="A562" t="str">
        <f>_xlfn.XLOOKUP(ColombiaClientes[[#This Row],[Client]],VpsClientes[Client],VpsClientes[VP],"",0)</f>
        <v>Felipe Izquierdo Rico</v>
      </c>
      <c r="B562" t="s">
        <v>177</v>
      </c>
      <c r="C562" t="s">
        <v>194</v>
      </c>
      <c r="D562" t="s">
        <v>90</v>
      </c>
      <c r="E562" t="s">
        <v>91</v>
      </c>
      <c r="F562" s="1">
        <v>118</v>
      </c>
    </row>
    <row r="563" spans="1:6" x14ac:dyDescent="0.3">
      <c r="A563" t="str">
        <f>_xlfn.XLOOKUP(ColombiaClientes[[#This Row],[Client]],VpsClientes[Client],VpsClientes[VP],"",0)</f>
        <v>Martha Guzman Arango</v>
      </c>
      <c r="B563" t="s">
        <v>168</v>
      </c>
      <c r="C563" t="s">
        <v>203</v>
      </c>
      <c r="D563" t="s">
        <v>90</v>
      </c>
      <c r="E563" t="s">
        <v>91</v>
      </c>
      <c r="F563" s="1">
        <v>275</v>
      </c>
    </row>
    <row r="564" spans="1:6" x14ac:dyDescent="0.3">
      <c r="A564" t="str">
        <f>_xlfn.XLOOKUP(ColombiaClientes[[#This Row],[Client]],VpsClientes[Client],VpsClientes[VP],"",0)</f>
        <v>Martha Guzman Arango</v>
      </c>
      <c r="B564" t="s">
        <v>165</v>
      </c>
      <c r="C564" t="s">
        <v>203</v>
      </c>
      <c r="D564" t="s">
        <v>90</v>
      </c>
      <c r="E564" t="s">
        <v>91</v>
      </c>
      <c r="F564" s="1">
        <v>267</v>
      </c>
    </row>
    <row r="565" spans="1:6" x14ac:dyDescent="0.3">
      <c r="A565" t="str">
        <f>_xlfn.XLOOKUP(ColombiaClientes[[#This Row],[Client]],VpsClientes[Client],VpsClientes[VP],"",0)</f>
        <v>Martha Guzman Arango</v>
      </c>
      <c r="B565" t="s">
        <v>148</v>
      </c>
      <c r="C565" t="s">
        <v>203</v>
      </c>
      <c r="D565" t="s">
        <v>90</v>
      </c>
      <c r="E565" t="s">
        <v>91</v>
      </c>
      <c r="F565" s="1">
        <v>265</v>
      </c>
    </row>
    <row r="566" spans="1:6" x14ac:dyDescent="0.3">
      <c r="A566" t="str">
        <f>_xlfn.XLOOKUP(ColombiaClientes[[#This Row],[Client]],VpsClientes[Client],VpsClientes[VP],"",0)</f>
        <v>Jhonatan Izquierdo Rico</v>
      </c>
      <c r="B566" t="s">
        <v>197</v>
      </c>
      <c r="C566" t="s">
        <v>203</v>
      </c>
      <c r="D566" t="s">
        <v>90</v>
      </c>
      <c r="E566" t="s">
        <v>91</v>
      </c>
      <c r="F566" s="1">
        <v>246</v>
      </c>
    </row>
    <row r="567" spans="1:6" x14ac:dyDescent="0.3">
      <c r="A567" t="str">
        <f>_xlfn.XLOOKUP(ColombiaClientes[[#This Row],[Client]],VpsClientes[Client],VpsClientes[VP],"",0)</f>
        <v>Maria Forero Jara</v>
      </c>
      <c r="B567" t="s">
        <v>179</v>
      </c>
      <c r="C567" t="s">
        <v>203</v>
      </c>
      <c r="D567" t="s">
        <v>90</v>
      </c>
      <c r="E567" t="s">
        <v>91</v>
      </c>
      <c r="F567" s="1">
        <v>195</v>
      </c>
    </row>
    <row r="568" spans="1:6" x14ac:dyDescent="0.3">
      <c r="A568" t="str">
        <f>_xlfn.XLOOKUP(ColombiaClientes[[#This Row],[Client]],VpsClientes[Client],VpsClientes[VP],"",0)</f>
        <v>Moises Saavedra Garcia</v>
      </c>
      <c r="B568" t="s">
        <v>190</v>
      </c>
      <c r="C568" t="s">
        <v>203</v>
      </c>
      <c r="D568" t="s">
        <v>90</v>
      </c>
      <c r="E568" t="s">
        <v>91</v>
      </c>
      <c r="F568" s="1">
        <v>154</v>
      </c>
    </row>
    <row r="569" spans="1:6" x14ac:dyDescent="0.3">
      <c r="A569" t="str">
        <f>_xlfn.XLOOKUP(ColombiaClientes[[#This Row],[Client]],VpsClientes[Client],VpsClientes[VP],"",0)</f>
        <v>Hector Muraira Garza</v>
      </c>
      <c r="B569" t="s">
        <v>167</v>
      </c>
      <c r="C569" t="s">
        <v>203</v>
      </c>
      <c r="D569" t="s">
        <v>90</v>
      </c>
      <c r="E569" t="s">
        <v>91</v>
      </c>
      <c r="F569" s="1">
        <v>140</v>
      </c>
    </row>
    <row r="570" spans="1:6" x14ac:dyDescent="0.3">
      <c r="A570" t="str">
        <f>_xlfn.XLOOKUP(ColombiaClientes[[#This Row],[Client]],VpsClientes[Client],VpsClientes[VP],"",0)</f>
        <v>Hector Muraira Garza</v>
      </c>
      <c r="B570" t="s">
        <v>132</v>
      </c>
      <c r="C570" t="s">
        <v>203</v>
      </c>
      <c r="D570" t="s">
        <v>90</v>
      </c>
      <c r="E570" t="s">
        <v>91</v>
      </c>
      <c r="F570" s="1">
        <v>139</v>
      </c>
    </row>
    <row r="571" spans="1:6" x14ac:dyDescent="0.3">
      <c r="A571" t="str">
        <f>_xlfn.XLOOKUP(ColombiaClientes[[#This Row],[Client]],VpsClientes[Client],VpsClientes[VP],"",0)</f>
        <v>Felipe Izquierdo Rico</v>
      </c>
      <c r="B571" t="s">
        <v>177</v>
      </c>
      <c r="C571" t="s">
        <v>202</v>
      </c>
      <c r="D571" t="s">
        <v>90</v>
      </c>
      <c r="E571" t="s">
        <v>91</v>
      </c>
      <c r="F571" s="1">
        <v>47</v>
      </c>
    </row>
    <row r="572" spans="1:6" x14ac:dyDescent="0.3">
      <c r="A572" t="str">
        <f>_xlfn.XLOOKUP(ColombiaClientes[[#This Row],[Client]],VpsClientes[Client],VpsClientes[VP],"",0)</f>
        <v>Maria Forero Jara</v>
      </c>
      <c r="B572" t="s">
        <v>182</v>
      </c>
      <c r="C572" t="s">
        <v>203</v>
      </c>
      <c r="D572" t="s">
        <v>90</v>
      </c>
      <c r="E572" t="s">
        <v>91</v>
      </c>
      <c r="F572" s="1">
        <v>132</v>
      </c>
    </row>
    <row r="573" spans="1:6" x14ac:dyDescent="0.3">
      <c r="A573" t="str">
        <f>_xlfn.XLOOKUP(ColombiaClientes[[#This Row],[Client]],VpsClientes[Client],VpsClientes[VP],"",0)</f>
        <v>Martha Guzman Arango</v>
      </c>
      <c r="B573" t="s">
        <v>131</v>
      </c>
      <c r="C573" t="s">
        <v>203</v>
      </c>
      <c r="D573" t="s">
        <v>90</v>
      </c>
      <c r="E573" t="s">
        <v>91</v>
      </c>
      <c r="F573" s="1">
        <v>124</v>
      </c>
    </row>
    <row r="574" spans="1:6" x14ac:dyDescent="0.3">
      <c r="A574" t="str">
        <f>_xlfn.XLOOKUP(ColombiaClientes[[#This Row],[Client]],VpsClientes[Client],VpsClientes[VP],"",0)</f>
        <v>Martha Guzman Arango</v>
      </c>
      <c r="B574" t="s">
        <v>171</v>
      </c>
      <c r="C574" t="s">
        <v>203</v>
      </c>
      <c r="D574" t="s">
        <v>90</v>
      </c>
      <c r="E574" t="s">
        <v>91</v>
      </c>
      <c r="F574" s="1">
        <v>108</v>
      </c>
    </row>
    <row r="575" spans="1:6" x14ac:dyDescent="0.3">
      <c r="A575" t="str">
        <f>_xlfn.XLOOKUP(ColombiaClientes[[#This Row],[Client]],VpsClientes[Client],VpsClientes[VP],"",0)</f>
        <v>Martha Guzman Arango</v>
      </c>
      <c r="B575" t="s">
        <v>176</v>
      </c>
      <c r="C575" t="s">
        <v>203</v>
      </c>
      <c r="D575" t="s">
        <v>90</v>
      </c>
      <c r="E575" t="s">
        <v>91</v>
      </c>
      <c r="F575" s="1">
        <v>103</v>
      </c>
    </row>
    <row r="576" spans="1:6" x14ac:dyDescent="0.3">
      <c r="A576" t="str">
        <f>_xlfn.XLOOKUP(ColombiaClientes[[#This Row],[Client]],VpsClientes[Client],VpsClientes[VP],"",0)</f>
        <v>Jhonatan Izquierdo Rico</v>
      </c>
      <c r="B576" t="s">
        <v>196</v>
      </c>
      <c r="C576" t="s">
        <v>203</v>
      </c>
      <c r="D576" t="s">
        <v>90</v>
      </c>
      <c r="E576" t="s">
        <v>91</v>
      </c>
      <c r="F576" s="1">
        <v>95</v>
      </c>
    </row>
    <row r="577" spans="1:6" x14ac:dyDescent="0.3">
      <c r="A577" t="str">
        <f>_xlfn.XLOOKUP(ColombiaClientes[[#This Row],[Client]],VpsClientes[Client],VpsClientes[VP],"",0)</f>
        <v>Martha Guzman Arango</v>
      </c>
      <c r="B577" t="s">
        <v>186</v>
      </c>
      <c r="C577" t="s">
        <v>203</v>
      </c>
      <c r="D577" t="s">
        <v>90</v>
      </c>
      <c r="E577" t="s">
        <v>91</v>
      </c>
      <c r="F577" s="1">
        <v>95</v>
      </c>
    </row>
    <row r="578" spans="1:6" x14ac:dyDescent="0.3">
      <c r="A578" t="str">
        <f>_xlfn.XLOOKUP(ColombiaClientes[[#This Row],[Client]],VpsClientes[Client],VpsClientes[VP],"",0)</f>
        <v>Moises Saavedra Garcia</v>
      </c>
      <c r="B578" t="s">
        <v>187</v>
      </c>
      <c r="C578" t="s">
        <v>203</v>
      </c>
      <c r="D578" t="s">
        <v>90</v>
      </c>
      <c r="E578" t="s">
        <v>91</v>
      </c>
      <c r="F578" s="1">
        <v>88</v>
      </c>
    </row>
    <row r="579" spans="1:6" x14ac:dyDescent="0.3">
      <c r="A579" t="str">
        <f>_xlfn.XLOOKUP(ColombiaClientes[[#This Row],[Client]],VpsClientes[Client],VpsClientes[VP],"",0)</f>
        <v>Hector Muraira Garza</v>
      </c>
      <c r="B579" t="s">
        <v>164</v>
      </c>
      <c r="C579" t="s">
        <v>203</v>
      </c>
      <c r="D579" t="s">
        <v>90</v>
      </c>
      <c r="E579" t="s">
        <v>91</v>
      </c>
      <c r="F579" s="1">
        <v>77</v>
      </c>
    </row>
    <row r="580" spans="1:6" x14ac:dyDescent="0.3">
      <c r="A580" t="str">
        <f>_xlfn.XLOOKUP(ColombiaClientes[[#This Row],[Client]],VpsClientes[Client],VpsClientes[VP],"",0)</f>
        <v>Maria Forero Jara</v>
      </c>
      <c r="B580" t="s">
        <v>161</v>
      </c>
      <c r="C580" t="s">
        <v>203</v>
      </c>
      <c r="D580" t="s">
        <v>90</v>
      </c>
      <c r="E580" t="s">
        <v>91</v>
      </c>
      <c r="F580" s="1">
        <v>71</v>
      </c>
    </row>
    <row r="581" spans="1:6" x14ac:dyDescent="0.3">
      <c r="A581" t="str">
        <f>_xlfn.XLOOKUP(ColombiaClientes[[#This Row],[Client]],VpsClientes[Client],VpsClientes[VP],"",0)</f>
        <v>Moises Saavedra Garcia</v>
      </c>
      <c r="B581" t="s">
        <v>175</v>
      </c>
      <c r="C581" t="s">
        <v>203</v>
      </c>
      <c r="D581" t="s">
        <v>90</v>
      </c>
      <c r="E581" t="s">
        <v>91</v>
      </c>
      <c r="F581" s="1">
        <v>56</v>
      </c>
    </row>
    <row r="582" spans="1:6" x14ac:dyDescent="0.3">
      <c r="A582" t="str">
        <f>_xlfn.XLOOKUP(ColombiaClientes[[#This Row],[Client]],VpsClientes[Client],VpsClientes[VP],"",0)</f>
        <v>Martha Guzman Arango</v>
      </c>
      <c r="B582" t="s">
        <v>155</v>
      </c>
      <c r="C582" t="s">
        <v>203</v>
      </c>
      <c r="D582" t="s">
        <v>90</v>
      </c>
      <c r="E582" t="s">
        <v>91</v>
      </c>
      <c r="F582" s="1">
        <v>53</v>
      </c>
    </row>
    <row r="583" spans="1:6" x14ac:dyDescent="0.3">
      <c r="A583" t="str">
        <f>_xlfn.XLOOKUP(ColombiaClientes[[#This Row],[Client]],VpsClientes[Client],VpsClientes[VP],"",0)</f>
        <v>Martha Guzman Arango</v>
      </c>
      <c r="B583" t="s">
        <v>169</v>
      </c>
      <c r="C583" t="s">
        <v>203</v>
      </c>
      <c r="D583" t="s">
        <v>90</v>
      </c>
      <c r="E583" t="s">
        <v>91</v>
      </c>
      <c r="F583" s="1">
        <v>44</v>
      </c>
    </row>
    <row r="584" spans="1:6" x14ac:dyDescent="0.3">
      <c r="A584" t="str">
        <f>_xlfn.XLOOKUP(ColombiaClientes[[#This Row],[Client]],VpsClientes[Client],VpsClientes[VP],"",0)</f>
        <v>Martha Guzman Arango</v>
      </c>
      <c r="B584" t="s">
        <v>180</v>
      </c>
      <c r="C584" t="s">
        <v>203</v>
      </c>
      <c r="D584" t="s">
        <v>90</v>
      </c>
      <c r="E584" t="s">
        <v>91</v>
      </c>
      <c r="F584" s="1">
        <v>31</v>
      </c>
    </row>
    <row r="585" spans="1:6" x14ac:dyDescent="0.3">
      <c r="A585" t="str">
        <f>_xlfn.XLOOKUP(ColombiaClientes[[#This Row],[Client]],VpsClientes[Client],VpsClientes[VP],"",0)</f>
        <v>Jhonatan Izquierdo Rico</v>
      </c>
      <c r="B585" t="s">
        <v>200</v>
      </c>
      <c r="C585" t="s">
        <v>203</v>
      </c>
      <c r="D585" t="s">
        <v>90</v>
      </c>
      <c r="E585" t="s">
        <v>91</v>
      </c>
      <c r="F585" s="1">
        <v>20</v>
      </c>
    </row>
    <row r="586" spans="1:6" x14ac:dyDescent="0.3">
      <c r="A586" t="str">
        <f>_xlfn.XLOOKUP(ColombiaClientes[[#This Row],[Client]],VpsClientes[Client],VpsClientes[VP],"",0)</f>
        <v>Martha Guzman Arango</v>
      </c>
      <c r="B586" t="s">
        <v>188</v>
      </c>
      <c r="C586" t="s">
        <v>203</v>
      </c>
      <c r="D586" t="s">
        <v>90</v>
      </c>
      <c r="E586" t="s">
        <v>91</v>
      </c>
      <c r="F586" s="1">
        <v>14</v>
      </c>
    </row>
    <row r="587" spans="1:6" x14ac:dyDescent="0.3">
      <c r="A587" t="str">
        <f>_xlfn.XLOOKUP(ColombiaClientes[[#This Row],[Client]],VpsClientes[Client],VpsClientes[VP],"",0)</f>
        <v>Martha Guzman Arango</v>
      </c>
      <c r="B587" t="s">
        <v>189</v>
      </c>
      <c r="C587" t="s">
        <v>203</v>
      </c>
      <c r="D587" t="s">
        <v>90</v>
      </c>
      <c r="E587" t="s">
        <v>91</v>
      </c>
      <c r="F587" s="1">
        <v>2</v>
      </c>
    </row>
    <row r="588" spans="1:6" x14ac:dyDescent="0.3">
      <c r="A588" t="str">
        <f>_xlfn.XLOOKUP(ColombiaClientes[[#This Row],[Client]],VpsClientes[Client],VpsClientes[VP],"",0)</f>
        <v>Jhonatan Izquierdo Rico</v>
      </c>
      <c r="B588" t="s">
        <v>159</v>
      </c>
      <c r="C588" t="s">
        <v>203</v>
      </c>
      <c r="D588" t="s">
        <v>90</v>
      </c>
      <c r="E588" t="s">
        <v>91</v>
      </c>
      <c r="F588" s="1">
        <v>1</v>
      </c>
    </row>
    <row r="589" spans="1:6" x14ac:dyDescent="0.3">
      <c r="A589" t="str">
        <f>_xlfn.XLOOKUP(ColombiaClientes[[#This Row],[Client]],VpsClientes[Client],VpsClientes[VP],"",0)</f>
        <v>Carlos Beltran Hernandez</v>
      </c>
      <c r="B589" t="s">
        <v>93</v>
      </c>
      <c r="C589" t="s">
        <v>205</v>
      </c>
      <c r="D589" t="s">
        <v>90</v>
      </c>
      <c r="E589" t="s">
        <v>91</v>
      </c>
      <c r="F589" s="1">
        <v>33484</v>
      </c>
    </row>
    <row r="590" spans="1:6" x14ac:dyDescent="0.3">
      <c r="A590" t="str">
        <f>_xlfn.XLOOKUP(ColombiaClientes[[#This Row],[Client]],VpsClientes[Client],VpsClientes[VP],"",0)</f>
        <v>Ludy Torres Benitez</v>
      </c>
      <c r="B590" t="s">
        <v>95</v>
      </c>
      <c r="C590" t="s">
        <v>205</v>
      </c>
      <c r="D590" t="s">
        <v>90</v>
      </c>
      <c r="E590" t="s">
        <v>91</v>
      </c>
      <c r="F590" s="1">
        <v>23758</v>
      </c>
    </row>
    <row r="591" spans="1:6" x14ac:dyDescent="0.3">
      <c r="A591" t="str">
        <f>_xlfn.XLOOKUP(ColombiaClientes[[#This Row],[Client]],VpsClientes[Client],VpsClientes[VP],"",0)</f>
        <v>Carlos Beltran Hernandez</v>
      </c>
      <c r="B591" t="s">
        <v>94</v>
      </c>
      <c r="C591" t="s">
        <v>205</v>
      </c>
      <c r="D591" t="s">
        <v>90</v>
      </c>
      <c r="E591" t="s">
        <v>91</v>
      </c>
      <c r="F591" s="1">
        <v>20180</v>
      </c>
    </row>
    <row r="592" spans="1:6" x14ac:dyDescent="0.3">
      <c r="A592" t="str">
        <f>_xlfn.XLOOKUP(ColombiaClientes[[#This Row],[Client]],VpsClientes[Client],VpsClientes[VP],"",0)</f>
        <v>Martha Guzman Arango</v>
      </c>
      <c r="B592" t="s">
        <v>96</v>
      </c>
      <c r="C592" t="s">
        <v>205</v>
      </c>
      <c r="D592" t="s">
        <v>90</v>
      </c>
      <c r="E592" t="s">
        <v>91</v>
      </c>
      <c r="F592" s="1">
        <v>17693</v>
      </c>
    </row>
    <row r="593" spans="1:6" x14ac:dyDescent="0.3">
      <c r="A593" t="str">
        <f>_xlfn.XLOOKUP(ColombiaClientes[[#This Row],[Client]],VpsClientes[Client],VpsClientes[VP],"",0)</f>
        <v>Carlos Beltran Hernandez</v>
      </c>
      <c r="B593" t="s">
        <v>102</v>
      </c>
      <c r="C593" t="s">
        <v>205</v>
      </c>
      <c r="D593" t="s">
        <v>90</v>
      </c>
      <c r="E593" t="s">
        <v>91</v>
      </c>
      <c r="F593" s="1">
        <v>13847</v>
      </c>
    </row>
    <row r="594" spans="1:6" x14ac:dyDescent="0.3">
      <c r="A594" t="str">
        <f>_xlfn.XLOOKUP(ColombiaClientes[[#This Row],[Client]],VpsClientes[Client],VpsClientes[VP],"",0)</f>
        <v>Carlos Castillo Figueroa</v>
      </c>
      <c r="B594" t="s">
        <v>105</v>
      </c>
      <c r="C594" t="s">
        <v>205</v>
      </c>
      <c r="D594" t="s">
        <v>90</v>
      </c>
      <c r="E594" t="s">
        <v>91</v>
      </c>
      <c r="F594" s="1">
        <v>10891</v>
      </c>
    </row>
    <row r="595" spans="1:6" x14ac:dyDescent="0.3">
      <c r="A595" t="str">
        <f>_xlfn.XLOOKUP(ColombiaClientes[[#This Row],[Client]],VpsClientes[Client],VpsClientes[VP],"",0)</f>
        <v>Maria Forero Jara</v>
      </c>
      <c r="B595" t="s">
        <v>125</v>
      </c>
      <c r="C595" t="s">
        <v>205</v>
      </c>
      <c r="D595" t="s">
        <v>90</v>
      </c>
      <c r="E595" t="s">
        <v>91</v>
      </c>
      <c r="F595" s="1">
        <v>7706</v>
      </c>
    </row>
    <row r="596" spans="1:6" x14ac:dyDescent="0.3">
      <c r="A596" t="str">
        <f>_xlfn.XLOOKUP(ColombiaClientes[[#This Row],[Client]],VpsClientes[Client],VpsClientes[VP],"",0)</f>
        <v>Moises Saavedra Garcia</v>
      </c>
      <c r="B596" t="s">
        <v>99</v>
      </c>
      <c r="C596" t="s">
        <v>205</v>
      </c>
      <c r="D596" t="s">
        <v>90</v>
      </c>
      <c r="E596" t="s">
        <v>91</v>
      </c>
      <c r="F596" s="1">
        <v>7573</v>
      </c>
    </row>
    <row r="597" spans="1:6" x14ac:dyDescent="0.3">
      <c r="A597" t="str">
        <f>_xlfn.XLOOKUP(ColombiaClientes[[#This Row],[Client]],VpsClientes[Client],VpsClientes[VP],"",0)</f>
        <v>Martha Guzman Arango</v>
      </c>
      <c r="B597" t="s">
        <v>98</v>
      </c>
      <c r="C597" t="s">
        <v>205</v>
      </c>
      <c r="D597" t="s">
        <v>90</v>
      </c>
      <c r="E597" t="s">
        <v>91</v>
      </c>
      <c r="F597" s="1">
        <v>7519</v>
      </c>
    </row>
    <row r="598" spans="1:6" x14ac:dyDescent="0.3">
      <c r="A598" t="str">
        <f>_xlfn.XLOOKUP(ColombiaClientes[[#This Row],[Client]],VpsClientes[Client],VpsClientes[VP],"",0)</f>
        <v>Maria Forero Jara</v>
      </c>
      <c r="B598" t="s">
        <v>101</v>
      </c>
      <c r="C598" t="s">
        <v>205</v>
      </c>
      <c r="D598" t="s">
        <v>90</v>
      </c>
      <c r="E598" t="s">
        <v>91</v>
      </c>
      <c r="F598" s="1">
        <v>7514</v>
      </c>
    </row>
    <row r="599" spans="1:6" x14ac:dyDescent="0.3">
      <c r="A599" t="str">
        <f>_xlfn.XLOOKUP(ColombiaClientes[[#This Row],[Client]],VpsClientes[Client],VpsClientes[VP],"",0)</f>
        <v>Martha Guzman Arango</v>
      </c>
      <c r="B599" t="s">
        <v>100</v>
      </c>
      <c r="C599" t="s">
        <v>205</v>
      </c>
      <c r="D599" t="s">
        <v>90</v>
      </c>
      <c r="E599" t="s">
        <v>91</v>
      </c>
      <c r="F599" s="1">
        <v>7413</v>
      </c>
    </row>
    <row r="600" spans="1:6" x14ac:dyDescent="0.3">
      <c r="A600" t="str">
        <f>_xlfn.XLOOKUP(ColombiaClientes[[#This Row],[Client]],VpsClientes[Client],VpsClientes[VP],"",0)</f>
        <v>Jhonatan Izquierdo Rico</v>
      </c>
      <c r="B600" t="s">
        <v>104</v>
      </c>
      <c r="C600" t="s">
        <v>205</v>
      </c>
      <c r="D600" t="s">
        <v>90</v>
      </c>
      <c r="E600" t="s">
        <v>91</v>
      </c>
      <c r="F600" s="1">
        <v>6785</v>
      </c>
    </row>
    <row r="601" spans="1:6" x14ac:dyDescent="0.3">
      <c r="A601" t="str">
        <f>_xlfn.XLOOKUP(ColombiaClientes[[#This Row],[Client]],VpsClientes[Client],VpsClientes[VP],"",0)</f>
        <v>Martha Guzman Arango</v>
      </c>
      <c r="B601" t="s">
        <v>103</v>
      </c>
      <c r="C601" t="s">
        <v>205</v>
      </c>
      <c r="D601" t="s">
        <v>90</v>
      </c>
      <c r="E601" t="s">
        <v>91</v>
      </c>
      <c r="F601" s="1">
        <v>6244</v>
      </c>
    </row>
    <row r="602" spans="1:6" x14ac:dyDescent="0.3">
      <c r="A602" t="str">
        <f>_xlfn.XLOOKUP(ColombiaClientes[[#This Row],[Client]],VpsClientes[Client],VpsClientes[VP],"",0)</f>
        <v>Hector Muraira Garza</v>
      </c>
      <c r="B602" t="s">
        <v>137</v>
      </c>
      <c r="C602" t="s">
        <v>205</v>
      </c>
      <c r="D602" t="s">
        <v>90</v>
      </c>
      <c r="E602" t="s">
        <v>91</v>
      </c>
      <c r="F602" s="1">
        <v>6112</v>
      </c>
    </row>
    <row r="603" spans="1:6" x14ac:dyDescent="0.3">
      <c r="A603" t="str">
        <f>_xlfn.XLOOKUP(ColombiaClientes[[#This Row],[Client]],VpsClientes[Client],VpsClientes[VP],"",0)</f>
        <v>Sandra Romero Zuluaga</v>
      </c>
      <c r="B603" t="s">
        <v>113</v>
      </c>
      <c r="C603" t="s">
        <v>205</v>
      </c>
      <c r="D603" t="s">
        <v>90</v>
      </c>
      <c r="E603" t="s">
        <v>91</v>
      </c>
      <c r="F603" s="1">
        <v>6084</v>
      </c>
    </row>
    <row r="604" spans="1:6" x14ac:dyDescent="0.3">
      <c r="A604" t="str">
        <f>_xlfn.XLOOKUP(ColombiaClientes[[#This Row],[Client]],VpsClientes[Client],VpsClientes[VP],"",0)</f>
        <v>Jhonatan Izquierdo Rico</v>
      </c>
      <c r="B604" t="s">
        <v>128</v>
      </c>
      <c r="C604" t="s">
        <v>205</v>
      </c>
      <c r="D604" t="s">
        <v>90</v>
      </c>
      <c r="E604" t="s">
        <v>91</v>
      </c>
      <c r="F604" s="1">
        <v>5760</v>
      </c>
    </row>
    <row r="605" spans="1:6" x14ac:dyDescent="0.3">
      <c r="A605" t="str">
        <f>_xlfn.XLOOKUP(ColombiaClientes[[#This Row],[Client]],VpsClientes[Client],VpsClientes[VP],"",0)</f>
        <v>Maria Forero Jara</v>
      </c>
      <c r="B605" t="s">
        <v>108</v>
      </c>
      <c r="C605" t="s">
        <v>205</v>
      </c>
      <c r="D605" t="s">
        <v>90</v>
      </c>
      <c r="E605" t="s">
        <v>91</v>
      </c>
      <c r="F605" s="1">
        <v>5752</v>
      </c>
    </row>
    <row r="606" spans="1:6" x14ac:dyDescent="0.3">
      <c r="A606" t="str">
        <f>_xlfn.XLOOKUP(ColombiaClientes[[#This Row],[Client]],VpsClientes[Client],VpsClientes[VP],"",0)</f>
        <v>Jhonatan Izquierdo Rico</v>
      </c>
      <c r="B606" t="s">
        <v>107</v>
      </c>
      <c r="C606" t="s">
        <v>205</v>
      </c>
      <c r="D606" t="s">
        <v>90</v>
      </c>
      <c r="E606" t="s">
        <v>91</v>
      </c>
      <c r="F606" s="1">
        <v>5644</v>
      </c>
    </row>
    <row r="607" spans="1:6" x14ac:dyDescent="0.3">
      <c r="A607" t="str">
        <f>_xlfn.XLOOKUP(ColombiaClientes[[#This Row],[Client]],VpsClientes[Client],VpsClientes[VP],"",0)</f>
        <v>Martha Guzman Arango</v>
      </c>
      <c r="B607" t="s">
        <v>97</v>
      </c>
      <c r="C607" t="s">
        <v>205</v>
      </c>
      <c r="D607" t="s">
        <v>90</v>
      </c>
      <c r="E607" t="s">
        <v>91</v>
      </c>
      <c r="F607" s="1">
        <v>4925</v>
      </c>
    </row>
    <row r="608" spans="1:6" x14ac:dyDescent="0.3">
      <c r="A608" t="str">
        <f>_xlfn.XLOOKUP(ColombiaClientes[[#This Row],[Client]],VpsClientes[Client],VpsClientes[VP],"",0)</f>
        <v>Martha Guzman Arango</v>
      </c>
      <c r="B608" t="s">
        <v>109</v>
      </c>
      <c r="C608" t="s">
        <v>205</v>
      </c>
      <c r="D608" t="s">
        <v>90</v>
      </c>
      <c r="E608" t="s">
        <v>91</v>
      </c>
      <c r="F608" s="1">
        <v>4410</v>
      </c>
    </row>
    <row r="609" spans="1:6" x14ac:dyDescent="0.3">
      <c r="A609" t="str">
        <f>_xlfn.XLOOKUP(ColombiaClientes[[#This Row],[Client]],VpsClientes[Client],VpsClientes[VP],"",0)</f>
        <v>Maria Forero Jara</v>
      </c>
      <c r="B609" t="s">
        <v>106</v>
      </c>
      <c r="C609" t="s">
        <v>205</v>
      </c>
      <c r="D609" t="s">
        <v>90</v>
      </c>
      <c r="E609" t="s">
        <v>91</v>
      </c>
      <c r="F609" s="1">
        <v>4394</v>
      </c>
    </row>
    <row r="610" spans="1:6" x14ac:dyDescent="0.3">
      <c r="A610" t="str">
        <f>_xlfn.XLOOKUP(ColombiaClientes[[#This Row],[Client]],VpsClientes[Client],VpsClientes[VP],"",0)</f>
        <v>Ernesto Rico Zuluaga</v>
      </c>
      <c r="B610" t="s">
        <v>116</v>
      </c>
      <c r="C610" t="s">
        <v>205</v>
      </c>
      <c r="D610" t="s">
        <v>90</v>
      </c>
      <c r="E610" t="s">
        <v>91</v>
      </c>
      <c r="F610" s="1">
        <v>3892</v>
      </c>
    </row>
    <row r="611" spans="1:6" x14ac:dyDescent="0.3">
      <c r="A611" t="str">
        <f>_xlfn.XLOOKUP(ColombiaClientes[[#This Row],[Client]],VpsClientes[Client],VpsClientes[VP],"",0)</f>
        <v>Moises Saavedra Garcia</v>
      </c>
      <c r="B611" t="s">
        <v>172</v>
      </c>
      <c r="C611" t="s">
        <v>205</v>
      </c>
      <c r="D611" t="s">
        <v>90</v>
      </c>
      <c r="E611" t="s">
        <v>91</v>
      </c>
      <c r="F611" s="1">
        <v>3570</v>
      </c>
    </row>
    <row r="612" spans="1:6" x14ac:dyDescent="0.3">
      <c r="A612" t="str">
        <f>_xlfn.XLOOKUP(ColombiaClientes[[#This Row],[Client]],VpsClientes[Client],VpsClientes[VP],"",0)</f>
        <v>Martha Guzman Arango</v>
      </c>
      <c r="B612" t="s">
        <v>114</v>
      </c>
      <c r="C612" t="s">
        <v>205</v>
      </c>
      <c r="D612" t="s">
        <v>90</v>
      </c>
      <c r="E612" t="s">
        <v>91</v>
      </c>
      <c r="F612" s="1">
        <v>3513</v>
      </c>
    </row>
    <row r="613" spans="1:6" x14ac:dyDescent="0.3">
      <c r="A613" t="str">
        <f>_xlfn.XLOOKUP(ColombiaClientes[[#This Row],[Client]],VpsClientes[Client],VpsClientes[VP],"",0)</f>
        <v>Jhonatan Izquierdo Rico</v>
      </c>
      <c r="B613" t="s">
        <v>112</v>
      </c>
      <c r="C613" t="s">
        <v>205</v>
      </c>
      <c r="D613" t="s">
        <v>90</v>
      </c>
      <c r="E613" t="s">
        <v>91</v>
      </c>
      <c r="F613" s="1">
        <v>3408</v>
      </c>
    </row>
    <row r="614" spans="1:6" x14ac:dyDescent="0.3">
      <c r="A614" t="str">
        <f>_xlfn.XLOOKUP(ColombiaClientes[[#This Row],[Client]],VpsClientes[Client],VpsClientes[VP],"",0)</f>
        <v>Ernesto Rico Zuluaga</v>
      </c>
      <c r="B614" t="s">
        <v>121</v>
      </c>
      <c r="C614" t="s">
        <v>205</v>
      </c>
      <c r="D614" t="s">
        <v>90</v>
      </c>
      <c r="E614" t="s">
        <v>91</v>
      </c>
      <c r="F614" s="1">
        <v>2854</v>
      </c>
    </row>
    <row r="615" spans="1:6" x14ac:dyDescent="0.3">
      <c r="A615" t="str">
        <f>_xlfn.XLOOKUP(ColombiaClientes[[#This Row],[Client]],VpsClientes[Client],VpsClientes[VP],"",0)</f>
        <v>Martha Guzman Arango</v>
      </c>
      <c r="B615" t="s">
        <v>122</v>
      </c>
      <c r="C615" t="s">
        <v>205</v>
      </c>
      <c r="D615" t="s">
        <v>90</v>
      </c>
      <c r="E615" t="s">
        <v>91</v>
      </c>
      <c r="F615" s="1">
        <v>2818</v>
      </c>
    </row>
    <row r="616" spans="1:6" x14ac:dyDescent="0.3">
      <c r="A616" t="str">
        <f>_xlfn.XLOOKUP(ColombiaClientes[[#This Row],[Client]],VpsClientes[Client],VpsClientes[VP],"",0)</f>
        <v>Martha Guzman Arango</v>
      </c>
      <c r="B616" t="s">
        <v>118</v>
      </c>
      <c r="C616" t="s">
        <v>205</v>
      </c>
      <c r="D616" t="s">
        <v>90</v>
      </c>
      <c r="E616" t="s">
        <v>91</v>
      </c>
      <c r="F616" s="1">
        <v>2802</v>
      </c>
    </row>
    <row r="617" spans="1:6" x14ac:dyDescent="0.3">
      <c r="A617" t="str">
        <f>_xlfn.XLOOKUP(ColombiaClientes[[#This Row],[Client]],VpsClientes[Client],VpsClientes[VP],"",0)</f>
        <v>Hector Muraira Garza</v>
      </c>
      <c r="B617" t="s">
        <v>130</v>
      </c>
      <c r="C617" t="s">
        <v>205</v>
      </c>
      <c r="D617" t="s">
        <v>90</v>
      </c>
      <c r="E617" t="s">
        <v>91</v>
      </c>
      <c r="F617" s="1">
        <v>2725</v>
      </c>
    </row>
    <row r="618" spans="1:6" x14ac:dyDescent="0.3">
      <c r="A618" t="str">
        <f>_xlfn.XLOOKUP(ColombiaClientes[[#This Row],[Client]],VpsClientes[Client],VpsClientes[VP],"",0)</f>
        <v>Moises Saavedra Garcia</v>
      </c>
      <c r="B618" t="s">
        <v>115</v>
      </c>
      <c r="C618" t="s">
        <v>205</v>
      </c>
      <c r="D618" t="s">
        <v>90</v>
      </c>
      <c r="E618" t="s">
        <v>91</v>
      </c>
      <c r="F618" s="1">
        <v>2585</v>
      </c>
    </row>
    <row r="619" spans="1:6" x14ac:dyDescent="0.3">
      <c r="A619" t="str">
        <f>_xlfn.XLOOKUP(ColombiaClientes[[#This Row],[Client]],VpsClientes[Client],VpsClientes[VP],"",0)</f>
        <v>Carlos Beltran Hernandez</v>
      </c>
      <c r="B619" t="s">
        <v>119</v>
      </c>
      <c r="C619" t="s">
        <v>205</v>
      </c>
      <c r="D619" t="s">
        <v>90</v>
      </c>
      <c r="E619" t="s">
        <v>91</v>
      </c>
      <c r="F619" s="1">
        <v>2259</v>
      </c>
    </row>
    <row r="620" spans="1:6" x14ac:dyDescent="0.3">
      <c r="A620" t="str">
        <f>_xlfn.XLOOKUP(ColombiaClientes[[#This Row],[Client]],VpsClientes[Client],VpsClientes[VP],"",0)</f>
        <v>Juan Granados Castillo</v>
      </c>
      <c r="B620" t="s">
        <v>134</v>
      </c>
      <c r="C620" t="s">
        <v>205</v>
      </c>
      <c r="D620" t="s">
        <v>90</v>
      </c>
      <c r="E620" t="s">
        <v>91</v>
      </c>
      <c r="F620" s="1">
        <v>2050</v>
      </c>
    </row>
    <row r="621" spans="1:6" x14ac:dyDescent="0.3">
      <c r="A621" t="str">
        <f>_xlfn.XLOOKUP(ColombiaClientes[[#This Row],[Client]],VpsClientes[Client],VpsClientes[VP],"",0)</f>
        <v>Juan Granados Castillo</v>
      </c>
      <c r="B621" t="s">
        <v>136</v>
      </c>
      <c r="C621" t="s">
        <v>205</v>
      </c>
      <c r="D621" t="s">
        <v>90</v>
      </c>
      <c r="E621" t="s">
        <v>91</v>
      </c>
      <c r="F621" s="1">
        <v>1838</v>
      </c>
    </row>
    <row r="622" spans="1:6" x14ac:dyDescent="0.3">
      <c r="A622" t="str">
        <f>_xlfn.XLOOKUP(ColombiaClientes[[#This Row],[Client]],VpsClientes[Client],VpsClientes[VP],"",0)</f>
        <v>Martha Guzman Arango</v>
      </c>
      <c r="B622" t="s">
        <v>124</v>
      </c>
      <c r="C622" t="s">
        <v>205</v>
      </c>
      <c r="D622" t="s">
        <v>90</v>
      </c>
      <c r="E622" t="s">
        <v>91</v>
      </c>
      <c r="F622" s="1">
        <v>1598</v>
      </c>
    </row>
    <row r="623" spans="1:6" x14ac:dyDescent="0.3">
      <c r="A623" t="str">
        <f>_xlfn.XLOOKUP(ColombiaClientes[[#This Row],[Client]],VpsClientes[Client],VpsClientes[VP],"",0)</f>
        <v>Martha Guzman Arango</v>
      </c>
      <c r="B623" t="s">
        <v>135</v>
      </c>
      <c r="C623" t="s">
        <v>205</v>
      </c>
      <c r="D623" t="s">
        <v>90</v>
      </c>
      <c r="E623" t="s">
        <v>91</v>
      </c>
      <c r="F623" s="1">
        <v>1589</v>
      </c>
    </row>
    <row r="624" spans="1:6" x14ac:dyDescent="0.3">
      <c r="A624" t="str">
        <f>_xlfn.XLOOKUP(ColombiaClientes[[#This Row],[Client]],VpsClientes[Client],VpsClientes[VP],"",0)</f>
        <v>Maria Forero Jara</v>
      </c>
      <c r="B624" t="s">
        <v>123</v>
      </c>
      <c r="C624" t="s">
        <v>205</v>
      </c>
      <c r="D624" t="s">
        <v>90</v>
      </c>
      <c r="E624" t="s">
        <v>91</v>
      </c>
      <c r="F624" s="1">
        <v>1402</v>
      </c>
    </row>
    <row r="625" spans="1:6" x14ac:dyDescent="0.3">
      <c r="A625" t="str">
        <f>_xlfn.XLOOKUP(ColombiaClientes[[#This Row],[Client]],VpsClientes[Client],VpsClientes[VP],"",0)</f>
        <v>Jhonatan Izquierdo Rico</v>
      </c>
      <c r="B625" t="s">
        <v>138</v>
      </c>
      <c r="C625" t="s">
        <v>205</v>
      </c>
      <c r="D625" t="s">
        <v>90</v>
      </c>
      <c r="E625" t="s">
        <v>91</v>
      </c>
      <c r="F625" s="1">
        <v>1344</v>
      </c>
    </row>
    <row r="626" spans="1:6" x14ac:dyDescent="0.3">
      <c r="A626" t="str">
        <f>_xlfn.XLOOKUP(ColombiaClientes[[#This Row],[Client]],VpsClientes[Client],VpsClientes[VP],"",0)</f>
        <v>Jhonatan Izquierdo Rico</v>
      </c>
      <c r="B626" t="s">
        <v>126</v>
      </c>
      <c r="C626" t="s">
        <v>205</v>
      </c>
      <c r="D626" t="s">
        <v>90</v>
      </c>
      <c r="E626" t="s">
        <v>91</v>
      </c>
      <c r="F626" s="1">
        <v>1280</v>
      </c>
    </row>
    <row r="627" spans="1:6" x14ac:dyDescent="0.3">
      <c r="A627" t="str">
        <f>_xlfn.XLOOKUP(ColombiaClientes[[#This Row],[Client]],VpsClientes[Client],VpsClientes[VP],"",0)</f>
        <v>Moises Saavedra Garcia</v>
      </c>
      <c r="B627" t="s">
        <v>120</v>
      </c>
      <c r="C627" t="s">
        <v>205</v>
      </c>
      <c r="D627" t="s">
        <v>90</v>
      </c>
      <c r="E627" t="s">
        <v>91</v>
      </c>
      <c r="F627" s="1">
        <v>1270</v>
      </c>
    </row>
    <row r="628" spans="1:6" x14ac:dyDescent="0.3">
      <c r="A628" t="str">
        <f>_xlfn.XLOOKUP(ColombiaClientes[[#This Row],[Client]],VpsClientes[Client],VpsClientes[VP],"",0)</f>
        <v>Moises Saavedra Garcia</v>
      </c>
      <c r="B628" t="s">
        <v>110</v>
      </c>
      <c r="C628" t="s">
        <v>205</v>
      </c>
      <c r="D628" t="s">
        <v>90</v>
      </c>
      <c r="E628" t="s">
        <v>91</v>
      </c>
      <c r="F628" s="1">
        <v>1205</v>
      </c>
    </row>
    <row r="629" spans="1:6" x14ac:dyDescent="0.3">
      <c r="A629" t="str">
        <f>_xlfn.XLOOKUP(ColombiaClientes[[#This Row],[Client]],VpsClientes[Client],VpsClientes[VP],"",0)</f>
        <v>Martha Guzman Arango</v>
      </c>
      <c r="B629" t="s">
        <v>143</v>
      </c>
      <c r="C629" t="s">
        <v>205</v>
      </c>
      <c r="D629" t="s">
        <v>90</v>
      </c>
      <c r="E629" t="s">
        <v>91</v>
      </c>
      <c r="F629" s="1">
        <v>1122</v>
      </c>
    </row>
    <row r="630" spans="1:6" x14ac:dyDescent="0.3">
      <c r="A630" t="str">
        <f>_xlfn.XLOOKUP(ColombiaClientes[[#This Row],[Client]],VpsClientes[Client],VpsClientes[VP],"",0)</f>
        <v>Jhonatan Izquierdo Rico</v>
      </c>
      <c r="B630" t="s">
        <v>157</v>
      </c>
      <c r="C630" t="s">
        <v>205</v>
      </c>
      <c r="D630" t="s">
        <v>90</v>
      </c>
      <c r="E630" t="s">
        <v>91</v>
      </c>
      <c r="F630" s="1">
        <v>1019</v>
      </c>
    </row>
    <row r="631" spans="1:6" x14ac:dyDescent="0.3">
      <c r="A631" t="str">
        <f>_xlfn.XLOOKUP(ColombiaClientes[[#This Row],[Client]],VpsClientes[Client],VpsClientes[VP],"",0)</f>
        <v>Moises Saavedra Garcia</v>
      </c>
      <c r="B631" t="s">
        <v>150</v>
      </c>
      <c r="C631" t="s">
        <v>205</v>
      </c>
      <c r="D631" t="s">
        <v>90</v>
      </c>
      <c r="E631" t="s">
        <v>91</v>
      </c>
      <c r="F631" s="1">
        <v>891</v>
      </c>
    </row>
    <row r="632" spans="1:6" x14ac:dyDescent="0.3">
      <c r="A632" t="str">
        <f>_xlfn.XLOOKUP(ColombiaClientes[[#This Row],[Client]],VpsClientes[Client],VpsClientes[VP],"",0)</f>
        <v>Martha Guzman Arango</v>
      </c>
      <c r="B632" t="s">
        <v>152</v>
      </c>
      <c r="C632" t="s">
        <v>205</v>
      </c>
      <c r="D632" t="s">
        <v>90</v>
      </c>
      <c r="E632" t="s">
        <v>91</v>
      </c>
      <c r="F632" s="1">
        <v>869</v>
      </c>
    </row>
    <row r="633" spans="1:6" x14ac:dyDescent="0.3">
      <c r="A633" t="str">
        <f>_xlfn.XLOOKUP(ColombiaClientes[[#This Row],[Client]],VpsClientes[Client],VpsClientes[VP],"",0)</f>
        <v>Jhonatan Izquierdo Rico</v>
      </c>
      <c r="B633" t="s">
        <v>117</v>
      </c>
      <c r="C633" t="s">
        <v>205</v>
      </c>
      <c r="D633" t="s">
        <v>90</v>
      </c>
      <c r="E633" t="s">
        <v>91</v>
      </c>
      <c r="F633" s="1">
        <v>850</v>
      </c>
    </row>
    <row r="634" spans="1:6" x14ac:dyDescent="0.3">
      <c r="A634" t="str">
        <f>_xlfn.XLOOKUP(ColombiaClientes[[#This Row],[Client]],VpsClientes[Client],VpsClientes[VP],"",0)</f>
        <v>Martha Guzman Arango</v>
      </c>
      <c r="B634" t="s">
        <v>199</v>
      </c>
      <c r="C634" t="s">
        <v>205</v>
      </c>
      <c r="D634" t="s">
        <v>90</v>
      </c>
      <c r="E634" t="s">
        <v>91</v>
      </c>
      <c r="F634" s="1">
        <v>809</v>
      </c>
    </row>
    <row r="635" spans="1:6" x14ac:dyDescent="0.3">
      <c r="A635" t="str">
        <f>_xlfn.XLOOKUP(ColombiaClientes[[#This Row],[Client]],VpsClientes[Client],VpsClientes[VP],"",0)</f>
        <v>Hector Muraira Garza</v>
      </c>
      <c r="B635" t="s">
        <v>154</v>
      </c>
      <c r="C635" t="s">
        <v>205</v>
      </c>
      <c r="D635" t="s">
        <v>90</v>
      </c>
      <c r="E635" t="s">
        <v>91</v>
      </c>
      <c r="F635" s="1">
        <v>794</v>
      </c>
    </row>
    <row r="636" spans="1:6" x14ac:dyDescent="0.3">
      <c r="A636" t="str">
        <f>_xlfn.XLOOKUP(ColombiaClientes[[#This Row],[Client]],VpsClientes[Client],VpsClientes[VP],"",0)</f>
        <v>Maria Forero Jara</v>
      </c>
      <c r="B636" t="s">
        <v>139</v>
      </c>
      <c r="C636" t="s">
        <v>205</v>
      </c>
      <c r="D636" t="s">
        <v>90</v>
      </c>
      <c r="E636" t="s">
        <v>91</v>
      </c>
      <c r="F636" s="1">
        <v>789</v>
      </c>
    </row>
    <row r="637" spans="1:6" x14ac:dyDescent="0.3">
      <c r="A637" t="str">
        <f>_xlfn.XLOOKUP(ColombiaClientes[[#This Row],[Client]],VpsClientes[Client],VpsClientes[VP],"",0)</f>
        <v>Martha Guzman Arango</v>
      </c>
      <c r="B637" t="s">
        <v>145</v>
      </c>
      <c r="C637" t="s">
        <v>205</v>
      </c>
      <c r="D637" t="s">
        <v>90</v>
      </c>
      <c r="E637" t="s">
        <v>91</v>
      </c>
      <c r="F637" s="1">
        <v>782</v>
      </c>
    </row>
    <row r="638" spans="1:6" x14ac:dyDescent="0.3">
      <c r="A638" t="str">
        <f>_xlfn.XLOOKUP(ColombiaClientes[[#This Row],[Client]],VpsClientes[Client],VpsClientes[VP],"",0)</f>
        <v>Hector Muraira Garza</v>
      </c>
      <c r="B638" t="s">
        <v>140</v>
      </c>
      <c r="C638" t="s">
        <v>205</v>
      </c>
      <c r="D638" t="s">
        <v>90</v>
      </c>
      <c r="E638" t="s">
        <v>91</v>
      </c>
      <c r="F638" s="1">
        <v>764</v>
      </c>
    </row>
    <row r="639" spans="1:6" x14ac:dyDescent="0.3">
      <c r="A639" t="str">
        <f>_xlfn.XLOOKUP(ColombiaClientes[[#This Row],[Client]],VpsClientes[Client],VpsClientes[VP],"",0)</f>
        <v>Carlos Beltran Hernandez</v>
      </c>
      <c r="B639" t="s">
        <v>158</v>
      </c>
      <c r="C639" t="s">
        <v>205</v>
      </c>
      <c r="D639" t="s">
        <v>90</v>
      </c>
      <c r="E639" t="s">
        <v>91</v>
      </c>
      <c r="F639" s="1">
        <v>747</v>
      </c>
    </row>
    <row r="640" spans="1:6" x14ac:dyDescent="0.3">
      <c r="A640" t="str">
        <f>_xlfn.XLOOKUP(ColombiaClientes[[#This Row],[Client]],VpsClientes[Client],VpsClientes[VP],"",0)</f>
        <v>Martha Guzman Arango</v>
      </c>
      <c r="B640" t="s">
        <v>166</v>
      </c>
      <c r="C640" t="s">
        <v>205</v>
      </c>
      <c r="D640" t="s">
        <v>90</v>
      </c>
      <c r="E640" t="s">
        <v>91</v>
      </c>
      <c r="F640" s="1">
        <v>718</v>
      </c>
    </row>
    <row r="641" spans="1:6" x14ac:dyDescent="0.3">
      <c r="A641" t="str">
        <f>_xlfn.XLOOKUP(ColombiaClientes[[#This Row],[Client]],VpsClientes[Client],VpsClientes[VP],"",0)</f>
        <v>Martha Guzman Arango</v>
      </c>
      <c r="B641" t="s">
        <v>174</v>
      </c>
      <c r="C641" t="s">
        <v>205</v>
      </c>
      <c r="D641" t="s">
        <v>90</v>
      </c>
      <c r="E641" t="s">
        <v>91</v>
      </c>
      <c r="F641" s="1">
        <v>687</v>
      </c>
    </row>
    <row r="642" spans="1:6" x14ac:dyDescent="0.3">
      <c r="A642" t="str">
        <f>_xlfn.XLOOKUP(ColombiaClientes[[#This Row],[Client]],VpsClientes[Client],VpsClientes[VP],"",0)</f>
        <v>Martha Guzman Arango</v>
      </c>
      <c r="B642" t="s">
        <v>162</v>
      </c>
      <c r="C642" t="s">
        <v>205</v>
      </c>
      <c r="D642" t="s">
        <v>90</v>
      </c>
      <c r="E642" t="s">
        <v>91</v>
      </c>
      <c r="F642" s="1">
        <v>627</v>
      </c>
    </row>
    <row r="643" spans="1:6" x14ac:dyDescent="0.3">
      <c r="A643" t="str">
        <f>_xlfn.XLOOKUP(ColombiaClientes[[#This Row],[Client]],VpsClientes[Client],VpsClientes[VP],"",0)</f>
        <v>Martha Guzman Arango</v>
      </c>
      <c r="B643" t="s">
        <v>146</v>
      </c>
      <c r="C643" t="s">
        <v>205</v>
      </c>
      <c r="D643" t="s">
        <v>90</v>
      </c>
      <c r="E643" t="s">
        <v>91</v>
      </c>
      <c r="F643" s="1">
        <v>578</v>
      </c>
    </row>
    <row r="644" spans="1:6" x14ac:dyDescent="0.3">
      <c r="A644" t="str">
        <f>_xlfn.XLOOKUP(ColombiaClientes[[#This Row],[Client]],VpsClientes[Client],VpsClientes[VP],"",0)</f>
        <v>Martha Guzman Arango</v>
      </c>
      <c r="B644" t="s">
        <v>156</v>
      </c>
      <c r="C644" t="s">
        <v>205</v>
      </c>
      <c r="D644" t="s">
        <v>90</v>
      </c>
      <c r="E644" t="s">
        <v>91</v>
      </c>
      <c r="F644" s="1">
        <v>556</v>
      </c>
    </row>
    <row r="645" spans="1:6" x14ac:dyDescent="0.3">
      <c r="A645" t="str">
        <f>_xlfn.XLOOKUP(ColombiaClientes[[#This Row],[Client]],VpsClientes[Client],VpsClientes[VP],"",0)</f>
        <v>Juan Granados Castillo</v>
      </c>
      <c r="B645" t="s">
        <v>149</v>
      </c>
      <c r="C645" t="s">
        <v>205</v>
      </c>
      <c r="D645" t="s">
        <v>90</v>
      </c>
      <c r="E645" t="s">
        <v>91</v>
      </c>
      <c r="F645" s="1">
        <v>555</v>
      </c>
    </row>
    <row r="646" spans="1:6" x14ac:dyDescent="0.3">
      <c r="A646" t="str">
        <f>_xlfn.XLOOKUP(ColombiaClientes[[#This Row],[Client]],VpsClientes[Client],VpsClientes[VP],"",0)</f>
        <v>Martha Guzman Arango</v>
      </c>
      <c r="B646" t="s">
        <v>170</v>
      </c>
      <c r="C646" t="s">
        <v>205</v>
      </c>
      <c r="D646" t="s">
        <v>90</v>
      </c>
      <c r="E646" t="s">
        <v>91</v>
      </c>
      <c r="F646" s="1">
        <v>537</v>
      </c>
    </row>
    <row r="647" spans="1:6" x14ac:dyDescent="0.3">
      <c r="A647" t="str">
        <f>_xlfn.XLOOKUP(ColombiaClientes[[#This Row],[Client]],VpsClientes[Client],VpsClientes[VP],"",0)</f>
        <v>Martha Guzman Arango</v>
      </c>
      <c r="B647" t="s">
        <v>153</v>
      </c>
      <c r="C647" t="s">
        <v>205</v>
      </c>
      <c r="D647" t="s">
        <v>90</v>
      </c>
      <c r="E647" t="s">
        <v>91</v>
      </c>
      <c r="F647" s="1">
        <v>469</v>
      </c>
    </row>
    <row r="648" spans="1:6" x14ac:dyDescent="0.3">
      <c r="A648" t="str">
        <f>_xlfn.XLOOKUP(ColombiaClientes[[#This Row],[Client]],VpsClientes[Client],VpsClientes[VP],"",0)</f>
        <v>Juan Granados Castillo</v>
      </c>
      <c r="B648" t="s">
        <v>142</v>
      </c>
      <c r="C648" t="s">
        <v>205</v>
      </c>
      <c r="D648" t="s">
        <v>90</v>
      </c>
      <c r="E648" t="s">
        <v>91</v>
      </c>
      <c r="F648" s="1">
        <v>465</v>
      </c>
    </row>
    <row r="649" spans="1:6" x14ac:dyDescent="0.3">
      <c r="A649" t="str">
        <f>_xlfn.XLOOKUP(ColombiaClientes[[#This Row],[Client]],VpsClientes[Client],VpsClientes[VP],"",0)</f>
        <v>Jhonatan Izquierdo Rico</v>
      </c>
      <c r="B649" t="s">
        <v>129</v>
      </c>
      <c r="C649" t="s">
        <v>205</v>
      </c>
      <c r="D649" t="s">
        <v>90</v>
      </c>
      <c r="E649" t="s">
        <v>91</v>
      </c>
      <c r="F649" s="1">
        <v>457</v>
      </c>
    </row>
    <row r="650" spans="1:6" x14ac:dyDescent="0.3">
      <c r="A650" t="str">
        <f>_xlfn.XLOOKUP(ColombiaClientes[[#This Row],[Client]],VpsClientes[Client],VpsClientes[VP],"",0)</f>
        <v>Maria Forero Jara</v>
      </c>
      <c r="B650" t="s">
        <v>163</v>
      </c>
      <c r="C650" t="s">
        <v>205</v>
      </c>
      <c r="D650" t="s">
        <v>90</v>
      </c>
      <c r="E650" t="s">
        <v>91</v>
      </c>
      <c r="F650" s="1">
        <v>415</v>
      </c>
    </row>
    <row r="651" spans="1:6" x14ac:dyDescent="0.3">
      <c r="A651" t="str">
        <f>_xlfn.XLOOKUP(ColombiaClientes[[#This Row],[Client]],VpsClientes[Client],VpsClientes[VP],"",0)</f>
        <v>Maria Forero Jara</v>
      </c>
      <c r="B651" t="s">
        <v>198</v>
      </c>
      <c r="C651" t="s">
        <v>205</v>
      </c>
      <c r="D651" t="s">
        <v>90</v>
      </c>
      <c r="E651" t="s">
        <v>91</v>
      </c>
      <c r="F651" s="1">
        <v>398</v>
      </c>
    </row>
    <row r="652" spans="1:6" x14ac:dyDescent="0.3">
      <c r="A652" t="str">
        <f>_xlfn.XLOOKUP(ColombiaClientes[[#This Row],[Client]],VpsClientes[Client],VpsClientes[VP],"",0)</f>
        <v>Martha Guzman Arango</v>
      </c>
      <c r="B652" t="s">
        <v>168</v>
      </c>
      <c r="C652" t="s">
        <v>205</v>
      </c>
      <c r="D652" t="s">
        <v>90</v>
      </c>
      <c r="E652" t="s">
        <v>91</v>
      </c>
      <c r="F652" s="1">
        <v>332</v>
      </c>
    </row>
    <row r="653" spans="1:6" x14ac:dyDescent="0.3">
      <c r="A653" t="str">
        <f>_xlfn.XLOOKUP(ColombiaClientes[[#This Row],[Client]],VpsClientes[Client],VpsClientes[VP],"",0)</f>
        <v>Maria Forero Jara</v>
      </c>
      <c r="B653" t="s">
        <v>144</v>
      </c>
      <c r="C653" t="s">
        <v>205</v>
      </c>
      <c r="D653" t="s">
        <v>90</v>
      </c>
      <c r="E653" t="s">
        <v>91</v>
      </c>
      <c r="F653" s="1">
        <v>310</v>
      </c>
    </row>
    <row r="654" spans="1:6" x14ac:dyDescent="0.3">
      <c r="A654" t="str">
        <f>_xlfn.XLOOKUP(ColombiaClientes[[#This Row],[Client]],VpsClientes[Client],VpsClientes[VP],"",0)</f>
        <v>Maria Forero Jara</v>
      </c>
      <c r="B654" t="s">
        <v>179</v>
      </c>
      <c r="C654" t="s">
        <v>205</v>
      </c>
      <c r="D654" t="s">
        <v>90</v>
      </c>
      <c r="E654" t="s">
        <v>91</v>
      </c>
      <c r="F654" s="1">
        <v>306</v>
      </c>
    </row>
    <row r="655" spans="1:6" x14ac:dyDescent="0.3">
      <c r="A655" t="str">
        <f>_xlfn.XLOOKUP(ColombiaClientes[[#This Row],[Client]],VpsClientes[Client],VpsClientes[VP],"",0)</f>
        <v>Maria Forero Jara</v>
      </c>
      <c r="B655" t="s">
        <v>111</v>
      </c>
      <c r="C655" t="s">
        <v>205</v>
      </c>
      <c r="D655" t="s">
        <v>90</v>
      </c>
      <c r="E655" t="s">
        <v>91</v>
      </c>
      <c r="F655" s="1">
        <v>301</v>
      </c>
    </row>
    <row r="656" spans="1:6" x14ac:dyDescent="0.3">
      <c r="A656" t="str">
        <f>_xlfn.XLOOKUP(ColombiaClientes[[#This Row],[Client]],VpsClientes[Client],VpsClientes[VP],"",0)</f>
        <v>Martha Guzman Arango</v>
      </c>
      <c r="B656" t="s">
        <v>185</v>
      </c>
      <c r="C656" t="s">
        <v>205</v>
      </c>
      <c r="D656" t="s">
        <v>90</v>
      </c>
      <c r="E656" t="s">
        <v>91</v>
      </c>
      <c r="F656" s="1">
        <v>289</v>
      </c>
    </row>
    <row r="657" spans="1:6" x14ac:dyDescent="0.3">
      <c r="A657" t="str">
        <f>_xlfn.XLOOKUP(ColombiaClientes[[#This Row],[Client]],VpsClientes[Client],VpsClientes[VP],"",0)</f>
        <v>Carlos Beltran Hernandez</v>
      </c>
      <c r="B657" t="s">
        <v>173</v>
      </c>
      <c r="C657" t="s">
        <v>205</v>
      </c>
      <c r="D657" t="s">
        <v>90</v>
      </c>
      <c r="E657" t="s">
        <v>91</v>
      </c>
      <c r="F657" s="1">
        <v>278</v>
      </c>
    </row>
    <row r="658" spans="1:6" x14ac:dyDescent="0.3">
      <c r="A658" t="str">
        <f>_xlfn.XLOOKUP(ColombiaClientes[[#This Row],[Client]],VpsClientes[Client],VpsClientes[VP],"",0)</f>
        <v>Martha Guzman Arango</v>
      </c>
      <c r="B658" t="s">
        <v>186</v>
      </c>
      <c r="C658" t="s">
        <v>205</v>
      </c>
      <c r="D658" t="s">
        <v>90</v>
      </c>
      <c r="E658" t="s">
        <v>91</v>
      </c>
      <c r="F658" s="1">
        <v>256</v>
      </c>
    </row>
    <row r="659" spans="1:6" x14ac:dyDescent="0.3">
      <c r="A659" t="str">
        <f>_xlfn.XLOOKUP(ColombiaClientes[[#This Row],[Client]],VpsClientes[Client],VpsClientes[VP],"",0)</f>
        <v>Martha Guzman Arango</v>
      </c>
      <c r="B659" t="s">
        <v>148</v>
      </c>
      <c r="C659" t="s">
        <v>205</v>
      </c>
      <c r="D659" t="s">
        <v>90</v>
      </c>
      <c r="E659" t="s">
        <v>91</v>
      </c>
      <c r="F659" s="1">
        <v>249</v>
      </c>
    </row>
    <row r="660" spans="1:6" x14ac:dyDescent="0.3">
      <c r="A660" t="str">
        <f>_xlfn.XLOOKUP(ColombiaClientes[[#This Row],[Client]],VpsClientes[Client],VpsClientes[VP],"",0)</f>
        <v>Martha Guzman Arango</v>
      </c>
      <c r="B660" t="s">
        <v>131</v>
      </c>
      <c r="C660" t="s">
        <v>205</v>
      </c>
      <c r="D660" t="s">
        <v>90</v>
      </c>
      <c r="E660" t="s">
        <v>91</v>
      </c>
      <c r="F660" s="1">
        <v>249</v>
      </c>
    </row>
    <row r="661" spans="1:6" x14ac:dyDescent="0.3">
      <c r="A661" t="str">
        <f>_xlfn.XLOOKUP(ColombiaClientes[[#This Row],[Client]],VpsClientes[Client],VpsClientes[VP],"",0)</f>
        <v>Hector Muraira Garza</v>
      </c>
      <c r="B661" t="s">
        <v>132</v>
      </c>
      <c r="C661" t="s">
        <v>205</v>
      </c>
      <c r="D661" t="s">
        <v>90</v>
      </c>
      <c r="E661" t="s">
        <v>91</v>
      </c>
      <c r="F661" s="1">
        <v>231</v>
      </c>
    </row>
    <row r="662" spans="1:6" x14ac:dyDescent="0.3">
      <c r="A662" t="str">
        <f>_xlfn.XLOOKUP(ColombiaClientes[[#This Row],[Client]],VpsClientes[Client],VpsClientes[VP],"",0)</f>
        <v>Martha Guzman Arango</v>
      </c>
      <c r="B662" t="s">
        <v>165</v>
      </c>
      <c r="C662" t="s">
        <v>205</v>
      </c>
      <c r="D662" t="s">
        <v>90</v>
      </c>
      <c r="E662" t="s">
        <v>91</v>
      </c>
      <c r="F662" s="1">
        <v>212</v>
      </c>
    </row>
    <row r="663" spans="1:6" x14ac:dyDescent="0.3">
      <c r="A663" t="str">
        <f>_xlfn.XLOOKUP(ColombiaClientes[[#This Row],[Client]],VpsClientes[Client],VpsClientes[VP],"",0)</f>
        <v>Jhonatan Izquierdo Rico</v>
      </c>
      <c r="B663" t="s">
        <v>197</v>
      </c>
      <c r="C663" t="s">
        <v>205</v>
      </c>
      <c r="D663" t="s">
        <v>90</v>
      </c>
      <c r="E663" t="s">
        <v>91</v>
      </c>
      <c r="F663" s="1">
        <v>201</v>
      </c>
    </row>
    <row r="664" spans="1:6" x14ac:dyDescent="0.3">
      <c r="A664" t="str">
        <f>_xlfn.XLOOKUP(ColombiaClientes[[#This Row],[Client]],VpsClientes[Client],VpsClientes[VP],"",0)</f>
        <v>Maria Forero Jara</v>
      </c>
      <c r="B664" t="s">
        <v>182</v>
      </c>
      <c r="C664" t="s">
        <v>205</v>
      </c>
      <c r="D664" t="s">
        <v>90</v>
      </c>
      <c r="E664" t="s">
        <v>91</v>
      </c>
      <c r="F664" s="1">
        <v>199</v>
      </c>
    </row>
    <row r="665" spans="1:6" x14ac:dyDescent="0.3">
      <c r="A665" t="str">
        <f>_xlfn.XLOOKUP(ColombiaClientes[[#This Row],[Client]],VpsClientes[Client],VpsClientes[VP],"",0)</f>
        <v>Carlos Beltran Hernandez</v>
      </c>
      <c r="B665" t="s">
        <v>151</v>
      </c>
      <c r="C665" t="s">
        <v>205</v>
      </c>
      <c r="D665" t="s">
        <v>90</v>
      </c>
      <c r="E665" t="s">
        <v>91</v>
      </c>
      <c r="F665" s="1">
        <v>177</v>
      </c>
    </row>
    <row r="666" spans="1:6" x14ac:dyDescent="0.3">
      <c r="A666" t="str">
        <f>_xlfn.XLOOKUP(ColombiaClientes[[#This Row],[Client]],VpsClientes[Client],VpsClientes[VP],"",0)</f>
        <v>Martha Guzman Arango</v>
      </c>
      <c r="B666" t="s">
        <v>183</v>
      </c>
      <c r="C666" t="s">
        <v>205</v>
      </c>
      <c r="D666" t="s">
        <v>90</v>
      </c>
      <c r="E666" t="s">
        <v>91</v>
      </c>
      <c r="F666" s="1">
        <v>160</v>
      </c>
    </row>
    <row r="667" spans="1:6" x14ac:dyDescent="0.3">
      <c r="A667" t="str">
        <f>_xlfn.XLOOKUP(ColombiaClientes[[#This Row],[Client]],VpsClientes[Client],VpsClientes[VP],"",0)</f>
        <v>Martha Guzman Arango</v>
      </c>
      <c r="B667" t="s">
        <v>171</v>
      </c>
      <c r="C667" t="s">
        <v>205</v>
      </c>
      <c r="D667" t="s">
        <v>90</v>
      </c>
      <c r="E667" t="s">
        <v>91</v>
      </c>
      <c r="F667" s="1">
        <v>152</v>
      </c>
    </row>
    <row r="668" spans="1:6" x14ac:dyDescent="0.3">
      <c r="A668" t="str">
        <f>_xlfn.XLOOKUP(ColombiaClientes[[#This Row],[Client]],VpsClientes[Client],VpsClientes[VP],"",0)</f>
        <v>Martha Guzman Arango</v>
      </c>
      <c r="B668" t="s">
        <v>155</v>
      </c>
      <c r="C668" t="s">
        <v>205</v>
      </c>
      <c r="D668" t="s">
        <v>90</v>
      </c>
      <c r="E668" t="s">
        <v>91</v>
      </c>
      <c r="F668" s="1">
        <v>146</v>
      </c>
    </row>
    <row r="669" spans="1:6" x14ac:dyDescent="0.3">
      <c r="A669" t="str">
        <f>_xlfn.XLOOKUP(ColombiaClientes[[#This Row],[Client]],VpsClientes[Client],VpsClientes[VP],"",0)</f>
        <v>Maria Forero Jara</v>
      </c>
      <c r="B669" t="s">
        <v>161</v>
      </c>
      <c r="C669" t="s">
        <v>205</v>
      </c>
      <c r="D669" t="s">
        <v>90</v>
      </c>
      <c r="E669" t="s">
        <v>91</v>
      </c>
      <c r="F669" s="1">
        <v>125</v>
      </c>
    </row>
    <row r="670" spans="1:6" x14ac:dyDescent="0.3">
      <c r="A670" t="str">
        <f>_xlfn.XLOOKUP(ColombiaClientes[[#This Row],[Client]],VpsClientes[Client],VpsClientes[VP],"",0)</f>
        <v>Hector Muraira Garza</v>
      </c>
      <c r="B670" t="s">
        <v>164</v>
      </c>
      <c r="C670" t="s">
        <v>205</v>
      </c>
      <c r="D670" t="s">
        <v>90</v>
      </c>
      <c r="E670" t="s">
        <v>91</v>
      </c>
      <c r="F670" s="1">
        <v>118</v>
      </c>
    </row>
    <row r="671" spans="1:6" x14ac:dyDescent="0.3">
      <c r="A671" t="str">
        <f>_xlfn.XLOOKUP(ColombiaClientes[[#This Row],[Client]],VpsClientes[Client],VpsClientes[VP],"",0)</f>
        <v>Martha Guzman Arango</v>
      </c>
      <c r="B671" t="s">
        <v>176</v>
      </c>
      <c r="C671" t="s">
        <v>205</v>
      </c>
      <c r="D671" t="s">
        <v>90</v>
      </c>
      <c r="E671" t="s">
        <v>91</v>
      </c>
      <c r="F671" s="1">
        <v>109</v>
      </c>
    </row>
    <row r="672" spans="1:6" x14ac:dyDescent="0.3">
      <c r="A672" t="str">
        <f>_xlfn.XLOOKUP(ColombiaClientes[[#This Row],[Client]],VpsClientes[Client],VpsClientes[VP],"",0)</f>
        <v>Moises Saavedra Garcia</v>
      </c>
      <c r="B672" t="s">
        <v>175</v>
      </c>
      <c r="C672" t="s">
        <v>205</v>
      </c>
      <c r="D672" t="s">
        <v>90</v>
      </c>
      <c r="E672" t="s">
        <v>91</v>
      </c>
      <c r="F672" s="1">
        <v>95</v>
      </c>
    </row>
    <row r="673" spans="1:6" x14ac:dyDescent="0.3">
      <c r="A673" t="str">
        <f>_xlfn.XLOOKUP(ColombiaClientes[[#This Row],[Client]],VpsClientes[Client],VpsClientes[VP],"",0)</f>
        <v>Jhonatan Izquierdo Rico</v>
      </c>
      <c r="B673" t="s">
        <v>196</v>
      </c>
      <c r="C673" t="s">
        <v>205</v>
      </c>
      <c r="D673" t="s">
        <v>90</v>
      </c>
      <c r="E673" t="s">
        <v>91</v>
      </c>
      <c r="F673" s="1">
        <v>82</v>
      </c>
    </row>
    <row r="674" spans="1:6" x14ac:dyDescent="0.3">
      <c r="A674" t="str">
        <f>_xlfn.XLOOKUP(ColombiaClientes[[#This Row],[Client]],VpsClientes[Client],VpsClientes[VP],"",0)</f>
        <v>Hector Muraira Garza</v>
      </c>
      <c r="B674" t="s">
        <v>167</v>
      </c>
      <c r="C674" t="s">
        <v>205</v>
      </c>
      <c r="D674" t="s">
        <v>90</v>
      </c>
      <c r="E674" t="s">
        <v>91</v>
      </c>
      <c r="F674" s="1">
        <v>79</v>
      </c>
    </row>
    <row r="675" spans="1:6" x14ac:dyDescent="0.3">
      <c r="A675" t="str">
        <f>_xlfn.XLOOKUP(ColombiaClientes[[#This Row],[Client]],VpsClientes[Client],VpsClientes[VP],"",0)</f>
        <v>Martha Guzman Arango</v>
      </c>
      <c r="B675" t="s">
        <v>169</v>
      </c>
      <c r="C675" t="s">
        <v>205</v>
      </c>
      <c r="D675" t="s">
        <v>90</v>
      </c>
      <c r="E675" t="s">
        <v>91</v>
      </c>
      <c r="F675" s="1">
        <v>79</v>
      </c>
    </row>
    <row r="676" spans="1:6" x14ac:dyDescent="0.3">
      <c r="A676" t="str">
        <f>_xlfn.XLOOKUP(ColombiaClientes[[#This Row],[Client]],VpsClientes[Client],VpsClientes[VP],"",0)</f>
        <v>Moises Saavedra Garcia</v>
      </c>
      <c r="B676" t="s">
        <v>187</v>
      </c>
      <c r="C676" t="s">
        <v>205</v>
      </c>
      <c r="D676" t="s">
        <v>90</v>
      </c>
      <c r="E676" t="s">
        <v>91</v>
      </c>
      <c r="F676" s="1">
        <v>75</v>
      </c>
    </row>
    <row r="677" spans="1:6" x14ac:dyDescent="0.3">
      <c r="A677" t="str">
        <f>_xlfn.XLOOKUP(ColombiaClientes[[#This Row],[Client]],VpsClientes[Client],VpsClientes[VP],"",0)</f>
        <v>Moises Saavedra Garcia</v>
      </c>
      <c r="B677" t="s">
        <v>190</v>
      </c>
      <c r="C677" t="s">
        <v>205</v>
      </c>
      <c r="D677" t="s">
        <v>90</v>
      </c>
      <c r="E677" t="s">
        <v>91</v>
      </c>
      <c r="F677" s="1">
        <v>65</v>
      </c>
    </row>
    <row r="678" spans="1:6" x14ac:dyDescent="0.3">
      <c r="A678" t="str">
        <f>_xlfn.XLOOKUP(ColombiaClientes[[#This Row],[Client]],VpsClientes[Client],VpsClientes[VP],"",0)</f>
        <v>Martha Guzman Arango</v>
      </c>
      <c r="B678" t="s">
        <v>188</v>
      </c>
      <c r="C678" t="s">
        <v>205</v>
      </c>
      <c r="D678" t="s">
        <v>90</v>
      </c>
      <c r="E678" t="s">
        <v>91</v>
      </c>
      <c r="F678" s="1">
        <v>55</v>
      </c>
    </row>
    <row r="679" spans="1:6" x14ac:dyDescent="0.3">
      <c r="A679" t="str">
        <f>_xlfn.XLOOKUP(ColombiaClientes[[#This Row],[Client]],VpsClientes[Client],VpsClientes[VP],"",0)</f>
        <v>Martha Guzman Arango</v>
      </c>
      <c r="B679" t="s">
        <v>180</v>
      </c>
      <c r="C679" t="s">
        <v>205</v>
      </c>
      <c r="D679" t="s">
        <v>90</v>
      </c>
      <c r="E679" t="s">
        <v>91</v>
      </c>
      <c r="F679" s="1">
        <v>49</v>
      </c>
    </row>
    <row r="680" spans="1:6" x14ac:dyDescent="0.3">
      <c r="A680" t="str">
        <f>_xlfn.XLOOKUP(ColombiaClientes[[#This Row],[Client]],VpsClientes[Client],VpsClientes[VP],"",0)</f>
        <v>Felipe Izquierdo Rico</v>
      </c>
      <c r="B680" t="s">
        <v>177</v>
      </c>
      <c r="C680" t="s">
        <v>203</v>
      </c>
      <c r="D680" t="s">
        <v>90</v>
      </c>
      <c r="E680" t="s">
        <v>91</v>
      </c>
      <c r="F680" s="1">
        <v>280</v>
      </c>
    </row>
    <row r="681" spans="1:6" x14ac:dyDescent="0.3">
      <c r="A681" t="str">
        <f>_xlfn.XLOOKUP(ColombiaClientes[[#This Row],[Client]],VpsClientes[Client],VpsClientes[VP],"",0)</f>
        <v>Jhonatan Izquierdo Rico</v>
      </c>
      <c r="B681" t="s">
        <v>200</v>
      </c>
      <c r="C681" t="s">
        <v>205</v>
      </c>
      <c r="D681" t="s">
        <v>90</v>
      </c>
      <c r="E681" t="s">
        <v>91</v>
      </c>
      <c r="F681" s="1">
        <v>38</v>
      </c>
    </row>
    <row r="682" spans="1:6" x14ac:dyDescent="0.3">
      <c r="A682" t="str">
        <f>_xlfn.XLOOKUP(ColombiaClientes[[#This Row],[Client]],VpsClientes[Client],VpsClientes[VP],"",0)</f>
        <v>Jhonatan Izquierdo Rico</v>
      </c>
      <c r="B682" t="s">
        <v>159</v>
      </c>
      <c r="C682" t="s">
        <v>205</v>
      </c>
      <c r="D682" t="s">
        <v>90</v>
      </c>
      <c r="E682" t="s">
        <v>91</v>
      </c>
      <c r="F682" s="1">
        <v>13</v>
      </c>
    </row>
    <row r="683" spans="1:6" x14ac:dyDescent="0.3">
      <c r="A683" t="str">
        <f>_xlfn.XLOOKUP(ColombiaClientes[[#This Row],[Client]],VpsClientes[Client],VpsClientes[VP],"",0)</f>
        <v>Martha Guzman Arango</v>
      </c>
      <c r="B683" t="s">
        <v>189</v>
      </c>
      <c r="C683" t="s">
        <v>205</v>
      </c>
      <c r="D683" t="s">
        <v>90</v>
      </c>
      <c r="E683" t="s">
        <v>91</v>
      </c>
      <c r="F683" s="1">
        <v>12</v>
      </c>
    </row>
    <row r="684" spans="1:6" x14ac:dyDescent="0.3">
      <c r="A684" t="str">
        <f>_xlfn.XLOOKUP(ColombiaClientes[[#This Row],[Client]],VpsClientes[Client],VpsClientes[VP],"",0)</f>
        <v>Felipe Izquierdo Rico</v>
      </c>
      <c r="B684" t="s">
        <v>177</v>
      </c>
      <c r="C684" t="s">
        <v>205</v>
      </c>
      <c r="D684" t="s">
        <v>90</v>
      </c>
      <c r="E684" t="s">
        <v>91</v>
      </c>
      <c r="F684" s="1">
        <v>6</v>
      </c>
    </row>
    <row r="685" spans="1:6" x14ac:dyDescent="0.3">
      <c r="A685" t="str">
        <f>_xlfn.XLOOKUP(ColombiaClientes[[#This Row],[Client]],VpsClientes[Client],VpsClientes[VP],"",0)</f>
        <v>Carlos Beltran Hernandez</v>
      </c>
      <c r="B685" t="s">
        <v>94</v>
      </c>
      <c r="C685" t="s">
        <v>92</v>
      </c>
      <c r="D685" t="s">
        <v>90</v>
      </c>
      <c r="E685" t="s">
        <v>206</v>
      </c>
      <c r="F685" s="1">
        <v>32950</v>
      </c>
    </row>
    <row r="686" spans="1:6" x14ac:dyDescent="0.3">
      <c r="A686" t="str">
        <f>_xlfn.XLOOKUP(ColombiaClientes[[#This Row],[Client]],VpsClientes[Client],VpsClientes[VP],"",0)</f>
        <v>Jhonatan Izquierdo Rico</v>
      </c>
      <c r="B686" t="s">
        <v>104</v>
      </c>
      <c r="C686" t="s">
        <v>92</v>
      </c>
      <c r="D686" t="s">
        <v>90</v>
      </c>
      <c r="E686" t="s">
        <v>206</v>
      </c>
      <c r="F686" s="1">
        <v>25189</v>
      </c>
    </row>
    <row r="687" spans="1:6" x14ac:dyDescent="0.3">
      <c r="A687" t="str">
        <f>_xlfn.XLOOKUP(ColombiaClientes[[#This Row],[Client]],VpsClientes[Client],VpsClientes[VP],"",0)</f>
        <v>Carlos Castillo Figueroa</v>
      </c>
      <c r="B687" t="s">
        <v>105</v>
      </c>
      <c r="C687" t="s">
        <v>92</v>
      </c>
      <c r="D687" t="s">
        <v>90</v>
      </c>
      <c r="E687" t="s">
        <v>206</v>
      </c>
      <c r="F687" s="1">
        <v>24339</v>
      </c>
    </row>
    <row r="688" spans="1:6" x14ac:dyDescent="0.3">
      <c r="A688" t="str">
        <f>_xlfn.XLOOKUP(ColombiaClientes[[#This Row],[Client]],VpsClientes[Client],VpsClientes[VP],"",0)</f>
        <v>Carlos Beltran Hernandez</v>
      </c>
      <c r="B688" t="s">
        <v>93</v>
      </c>
      <c r="C688" t="s">
        <v>92</v>
      </c>
      <c r="D688" t="s">
        <v>90</v>
      </c>
      <c r="E688" t="s">
        <v>206</v>
      </c>
      <c r="F688" s="1">
        <v>23965</v>
      </c>
    </row>
    <row r="689" spans="1:6" x14ac:dyDescent="0.3">
      <c r="A689" t="str">
        <f>_xlfn.XLOOKUP(ColombiaClientes[[#This Row],[Client]],VpsClientes[Client],VpsClientes[VP],"",0)</f>
        <v>Martha Guzman Arango</v>
      </c>
      <c r="B689" t="s">
        <v>96</v>
      </c>
      <c r="C689" t="s">
        <v>92</v>
      </c>
      <c r="D689" t="s">
        <v>90</v>
      </c>
      <c r="E689" t="s">
        <v>206</v>
      </c>
      <c r="F689" s="1">
        <v>21935</v>
      </c>
    </row>
    <row r="690" spans="1:6" x14ac:dyDescent="0.3">
      <c r="A690" t="str">
        <f>_xlfn.XLOOKUP(ColombiaClientes[[#This Row],[Client]],VpsClientes[Client],VpsClientes[VP],"",0)</f>
        <v>Moises Saavedra Garcia</v>
      </c>
      <c r="B690" t="s">
        <v>99</v>
      </c>
      <c r="C690" t="s">
        <v>92</v>
      </c>
      <c r="D690" t="s">
        <v>90</v>
      </c>
      <c r="E690" t="s">
        <v>206</v>
      </c>
      <c r="F690" s="1">
        <v>17928</v>
      </c>
    </row>
    <row r="691" spans="1:6" x14ac:dyDescent="0.3">
      <c r="A691" t="str">
        <f>_xlfn.XLOOKUP(ColombiaClientes[[#This Row],[Client]],VpsClientes[Client],VpsClientes[VP],"",0)</f>
        <v>Martha Guzman Arango</v>
      </c>
      <c r="B691" t="s">
        <v>100</v>
      </c>
      <c r="C691" t="s">
        <v>92</v>
      </c>
      <c r="D691" t="s">
        <v>90</v>
      </c>
      <c r="E691" t="s">
        <v>206</v>
      </c>
      <c r="F691" s="1">
        <v>16976</v>
      </c>
    </row>
    <row r="692" spans="1:6" x14ac:dyDescent="0.3">
      <c r="A692" t="str">
        <f>_xlfn.XLOOKUP(ColombiaClientes[[#This Row],[Client]],VpsClientes[Client],VpsClientes[VP],"",0)</f>
        <v>Martha Guzman Arango</v>
      </c>
      <c r="B692" t="s">
        <v>98</v>
      </c>
      <c r="C692" t="s">
        <v>92</v>
      </c>
      <c r="D692" t="s">
        <v>90</v>
      </c>
      <c r="E692" t="s">
        <v>206</v>
      </c>
      <c r="F692" s="1">
        <v>15138</v>
      </c>
    </row>
    <row r="693" spans="1:6" x14ac:dyDescent="0.3">
      <c r="A693" t="str">
        <f>_xlfn.XLOOKUP(ColombiaClientes[[#This Row],[Client]],VpsClientes[Client],VpsClientes[VP],"",0)</f>
        <v>Maria Forero Jara</v>
      </c>
      <c r="B693" t="s">
        <v>101</v>
      </c>
      <c r="C693" t="s">
        <v>92</v>
      </c>
      <c r="D693" t="s">
        <v>90</v>
      </c>
      <c r="E693" t="s">
        <v>206</v>
      </c>
      <c r="F693" s="1">
        <v>13622</v>
      </c>
    </row>
    <row r="694" spans="1:6" x14ac:dyDescent="0.3">
      <c r="A694" t="str">
        <f>_xlfn.XLOOKUP(ColombiaClientes[[#This Row],[Client]],VpsClientes[Client],VpsClientes[VP],"",0)</f>
        <v>Jhonatan Izquierdo Rico</v>
      </c>
      <c r="B694" t="s">
        <v>128</v>
      </c>
      <c r="C694" t="s">
        <v>92</v>
      </c>
      <c r="D694" t="s">
        <v>90</v>
      </c>
      <c r="E694" t="s">
        <v>206</v>
      </c>
      <c r="F694" s="1">
        <v>12870</v>
      </c>
    </row>
    <row r="695" spans="1:6" x14ac:dyDescent="0.3">
      <c r="A695" t="str">
        <f>_xlfn.XLOOKUP(ColombiaClientes[[#This Row],[Client]],VpsClientes[Client],VpsClientes[VP],"",0)</f>
        <v>Sandra Romero Zuluaga</v>
      </c>
      <c r="B695" t="s">
        <v>113</v>
      </c>
      <c r="C695" t="s">
        <v>92</v>
      </c>
      <c r="D695" t="s">
        <v>90</v>
      </c>
      <c r="E695" t="s">
        <v>206</v>
      </c>
      <c r="F695" s="1">
        <v>11698</v>
      </c>
    </row>
    <row r="696" spans="1:6" x14ac:dyDescent="0.3">
      <c r="A696" t="str">
        <f>_xlfn.XLOOKUP(ColombiaClientes[[#This Row],[Client]],VpsClientes[Client],VpsClientes[VP],"",0)</f>
        <v>Jhonatan Izquierdo Rico</v>
      </c>
      <c r="B696" t="s">
        <v>112</v>
      </c>
      <c r="C696" t="s">
        <v>92</v>
      </c>
      <c r="D696" t="s">
        <v>90</v>
      </c>
      <c r="E696" t="s">
        <v>206</v>
      </c>
      <c r="F696" s="1">
        <v>8445</v>
      </c>
    </row>
    <row r="697" spans="1:6" x14ac:dyDescent="0.3">
      <c r="A697" t="str">
        <f>_xlfn.XLOOKUP(ColombiaClientes[[#This Row],[Client]],VpsClientes[Client],VpsClientes[VP],"",0)</f>
        <v>Carlos Beltran Hernandez</v>
      </c>
      <c r="B697" t="s">
        <v>102</v>
      </c>
      <c r="C697" t="s">
        <v>92</v>
      </c>
      <c r="D697" t="s">
        <v>90</v>
      </c>
      <c r="E697" t="s">
        <v>206</v>
      </c>
      <c r="F697" s="1">
        <v>7563</v>
      </c>
    </row>
    <row r="698" spans="1:6" x14ac:dyDescent="0.3">
      <c r="A698" t="str">
        <f>_xlfn.XLOOKUP(ColombiaClientes[[#This Row],[Client]],VpsClientes[Client],VpsClientes[VP],"",0)</f>
        <v>Ludy Torres Benitez</v>
      </c>
      <c r="B698" t="s">
        <v>95</v>
      </c>
      <c r="C698" t="s">
        <v>92</v>
      </c>
      <c r="D698" t="s">
        <v>90</v>
      </c>
      <c r="E698" t="s">
        <v>206</v>
      </c>
      <c r="F698" s="1">
        <v>7190</v>
      </c>
    </row>
    <row r="699" spans="1:6" x14ac:dyDescent="0.3">
      <c r="A699" t="str">
        <f>_xlfn.XLOOKUP(ColombiaClientes[[#This Row],[Client]],VpsClientes[Client],VpsClientes[VP],"",0)</f>
        <v>Jhonatan Izquierdo Rico</v>
      </c>
      <c r="B699" t="s">
        <v>107</v>
      </c>
      <c r="C699" t="s">
        <v>92</v>
      </c>
      <c r="D699" t="s">
        <v>90</v>
      </c>
      <c r="E699" t="s">
        <v>206</v>
      </c>
      <c r="F699" s="1">
        <v>7060</v>
      </c>
    </row>
    <row r="700" spans="1:6" x14ac:dyDescent="0.3">
      <c r="A700" t="str">
        <f>_xlfn.XLOOKUP(ColombiaClientes[[#This Row],[Client]],VpsClientes[Client],VpsClientes[VP],"",0)</f>
        <v>Maria Forero Jara</v>
      </c>
      <c r="B700" t="s">
        <v>106</v>
      </c>
      <c r="C700" t="s">
        <v>92</v>
      </c>
      <c r="D700" t="s">
        <v>90</v>
      </c>
      <c r="E700" t="s">
        <v>206</v>
      </c>
      <c r="F700" s="1">
        <v>5344</v>
      </c>
    </row>
    <row r="701" spans="1:6" x14ac:dyDescent="0.3">
      <c r="A701" t="str">
        <f>_xlfn.XLOOKUP(ColombiaClientes[[#This Row],[Client]],VpsClientes[Client],VpsClientes[VP],"",0)</f>
        <v>Martha Guzman Arango</v>
      </c>
      <c r="B701" t="s">
        <v>122</v>
      </c>
      <c r="C701" t="s">
        <v>92</v>
      </c>
      <c r="D701" t="s">
        <v>90</v>
      </c>
      <c r="E701" t="s">
        <v>206</v>
      </c>
      <c r="F701" s="1">
        <v>4891</v>
      </c>
    </row>
    <row r="702" spans="1:6" x14ac:dyDescent="0.3">
      <c r="A702" t="str">
        <f>_xlfn.XLOOKUP(ColombiaClientes[[#This Row],[Client]],VpsClientes[Client],VpsClientes[VP],"",0)</f>
        <v>Martha Guzman Arango</v>
      </c>
      <c r="B702" t="s">
        <v>114</v>
      </c>
      <c r="C702" t="s">
        <v>92</v>
      </c>
      <c r="D702" t="s">
        <v>90</v>
      </c>
      <c r="E702" t="s">
        <v>206</v>
      </c>
      <c r="F702" s="1">
        <v>4801</v>
      </c>
    </row>
    <row r="703" spans="1:6" x14ac:dyDescent="0.3">
      <c r="A703" t="str">
        <f>_xlfn.XLOOKUP(ColombiaClientes[[#This Row],[Client]],VpsClientes[Client],VpsClientes[VP],"",0)</f>
        <v>Martha Guzman Arango</v>
      </c>
      <c r="B703" t="s">
        <v>97</v>
      </c>
      <c r="C703" t="s">
        <v>92</v>
      </c>
      <c r="D703" t="s">
        <v>90</v>
      </c>
      <c r="E703" t="s">
        <v>206</v>
      </c>
      <c r="F703" s="1">
        <v>4650</v>
      </c>
    </row>
    <row r="704" spans="1:6" x14ac:dyDescent="0.3">
      <c r="A704" t="str">
        <f>_xlfn.XLOOKUP(ColombiaClientes[[#This Row],[Client]],VpsClientes[Client],VpsClientes[VP],"",0)</f>
        <v>Felipe Izquierdo Rico</v>
      </c>
      <c r="B704" t="s">
        <v>177</v>
      </c>
      <c r="C704" t="s">
        <v>92</v>
      </c>
      <c r="D704" t="s">
        <v>90</v>
      </c>
      <c r="E704" t="s">
        <v>206</v>
      </c>
      <c r="F704" s="1">
        <v>554</v>
      </c>
    </row>
    <row r="705" spans="1:6" x14ac:dyDescent="0.3">
      <c r="A705" t="str">
        <f>_xlfn.XLOOKUP(ColombiaClientes[[#This Row],[Client]],VpsClientes[Client],VpsClientes[VP],"",0)</f>
        <v>Martha Guzman Arango</v>
      </c>
      <c r="B705" t="s">
        <v>103</v>
      </c>
      <c r="C705" t="s">
        <v>92</v>
      </c>
      <c r="D705" t="s">
        <v>90</v>
      </c>
      <c r="E705" t="s">
        <v>206</v>
      </c>
      <c r="F705" s="1">
        <v>4430</v>
      </c>
    </row>
    <row r="706" spans="1:6" x14ac:dyDescent="0.3">
      <c r="A706" t="str">
        <f>_xlfn.XLOOKUP(ColombiaClientes[[#This Row],[Client]],VpsClientes[Client],VpsClientes[VP],"",0)</f>
        <v>Carlos Beltran Hernandez</v>
      </c>
      <c r="B706" t="s">
        <v>119</v>
      </c>
      <c r="C706" t="s">
        <v>92</v>
      </c>
      <c r="D706" t="s">
        <v>90</v>
      </c>
      <c r="E706" t="s">
        <v>206</v>
      </c>
      <c r="F706" s="1">
        <v>4123</v>
      </c>
    </row>
    <row r="707" spans="1:6" x14ac:dyDescent="0.3">
      <c r="A707" t="str">
        <f>_xlfn.XLOOKUP(ColombiaClientes[[#This Row],[Client]],VpsClientes[Client],VpsClientes[VP],"",0)</f>
        <v>Jhonatan Izquierdo Rico</v>
      </c>
      <c r="B707" t="s">
        <v>126</v>
      </c>
      <c r="C707" t="s">
        <v>92</v>
      </c>
      <c r="D707" t="s">
        <v>90</v>
      </c>
      <c r="E707" t="s">
        <v>206</v>
      </c>
      <c r="F707" s="1">
        <v>3698</v>
      </c>
    </row>
    <row r="708" spans="1:6" x14ac:dyDescent="0.3">
      <c r="A708" t="str">
        <f>_xlfn.XLOOKUP(ColombiaClientes[[#This Row],[Client]],VpsClientes[Client],VpsClientes[VP],"",0)</f>
        <v>Hector Muraira Garza</v>
      </c>
      <c r="B708" t="s">
        <v>137</v>
      </c>
      <c r="C708" t="s">
        <v>92</v>
      </c>
      <c r="D708" t="s">
        <v>90</v>
      </c>
      <c r="E708" t="s">
        <v>206</v>
      </c>
      <c r="F708" s="1">
        <v>3130</v>
      </c>
    </row>
    <row r="709" spans="1:6" x14ac:dyDescent="0.3">
      <c r="A709" t="str">
        <f>_xlfn.XLOOKUP(ColombiaClientes[[#This Row],[Client]],VpsClientes[Client],VpsClientes[VP],"",0)</f>
        <v>Maria Forero Jara</v>
      </c>
      <c r="B709" t="s">
        <v>125</v>
      </c>
      <c r="C709" t="s">
        <v>92</v>
      </c>
      <c r="D709" t="s">
        <v>90</v>
      </c>
      <c r="E709" t="s">
        <v>206</v>
      </c>
      <c r="F709" s="1">
        <v>2945</v>
      </c>
    </row>
    <row r="710" spans="1:6" x14ac:dyDescent="0.3">
      <c r="A710" t="str">
        <f>_xlfn.XLOOKUP(ColombiaClientes[[#This Row],[Client]],VpsClientes[Client],VpsClientes[VP],"",0)</f>
        <v>Martha Guzman Arango</v>
      </c>
      <c r="B710" t="s">
        <v>143</v>
      </c>
      <c r="C710" t="s">
        <v>92</v>
      </c>
      <c r="D710" t="s">
        <v>90</v>
      </c>
      <c r="E710" t="s">
        <v>206</v>
      </c>
      <c r="F710" s="1">
        <v>2914</v>
      </c>
    </row>
    <row r="711" spans="1:6" x14ac:dyDescent="0.3">
      <c r="A711" t="str">
        <f>_xlfn.XLOOKUP(ColombiaClientes[[#This Row],[Client]],VpsClientes[Client],VpsClientes[VP],"",0)</f>
        <v>Juan Granados Castillo</v>
      </c>
      <c r="B711" t="s">
        <v>136</v>
      </c>
      <c r="C711" t="s">
        <v>92</v>
      </c>
      <c r="D711" t="s">
        <v>90</v>
      </c>
      <c r="E711" t="s">
        <v>206</v>
      </c>
      <c r="F711" s="1">
        <v>2906</v>
      </c>
    </row>
    <row r="712" spans="1:6" x14ac:dyDescent="0.3">
      <c r="A712" t="str">
        <f>_xlfn.XLOOKUP(ColombiaClientes[[#This Row],[Client]],VpsClientes[Client],VpsClientes[VP],"",0)</f>
        <v>Moises Saavedra Garcia</v>
      </c>
      <c r="B712" t="s">
        <v>115</v>
      </c>
      <c r="C712" t="s">
        <v>92</v>
      </c>
      <c r="D712" t="s">
        <v>90</v>
      </c>
      <c r="E712" t="s">
        <v>206</v>
      </c>
      <c r="F712" s="1">
        <v>2795</v>
      </c>
    </row>
    <row r="713" spans="1:6" x14ac:dyDescent="0.3">
      <c r="A713" t="str">
        <f>_xlfn.XLOOKUP(ColombiaClientes[[#This Row],[Client]],VpsClientes[Client],VpsClientes[VP],"",0)</f>
        <v>Jhonatan Izquierdo Rico</v>
      </c>
      <c r="B713" t="s">
        <v>197</v>
      </c>
      <c r="C713" t="s">
        <v>92</v>
      </c>
      <c r="D713" t="s">
        <v>90</v>
      </c>
      <c r="E713" t="s">
        <v>206</v>
      </c>
      <c r="F713" s="1">
        <v>2643</v>
      </c>
    </row>
    <row r="714" spans="1:6" x14ac:dyDescent="0.3">
      <c r="A714" t="str">
        <f>_xlfn.XLOOKUP(ColombiaClientes[[#This Row],[Client]],VpsClientes[Client],VpsClientes[VP],"",0)</f>
        <v>Jhonatan Izquierdo Rico</v>
      </c>
      <c r="B714" t="s">
        <v>138</v>
      </c>
      <c r="C714" t="s">
        <v>92</v>
      </c>
      <c r="D714" t="s">
        <v>90</v>
      </c>
      <c r="E714" t="s">
        <v>206</v>
      </c>
      <c r="F714" s="1">
        <v>2471</v>
      </c>
    </row>
    <row r="715" spans="1:6" x14ac:dyDescent="0.3">
      <c r="A715" t="str">
        <f>_xlfn.XLOOKUP(ColombiaClientes[[#This Row],[Client]],VpsClientes[Client],VpsClientes[VP],"",0)</f>
        <v>Maria Forero Jara</v>
      </c>
      <c r="B715" t="s">
        <v>108</v>
      </c>
      <c r="C715" t="s">
        <v>92</v>
      </c>
      <c r="D715" t="s">
        <v>90</v>
      </c>
      <c r="E715" t="s">
        <v>206</v>
      </c>
      <c r="F715" s="1">
        <v>2330</v>
      </c>
    </row>
    <row r="716" spans="1:6" x14ac:dyDescent="0.3">
      <c r="A716" t="str">
        <f>_xlfn.XLOOKUP(ColombiaClientes[[#This Row],[Client]],VpsClientes[Client],VpsClientes[VP],"",0)</f>
        <v>Maria Forero Jara</v>
      </c>
      <c r="B716" t="s">
        <v>139</v>
      </c>
      <c r="C716" t="s">
        <v>92</v>
      </c>
      <c r="D716" t="s">
        <v>90</v>
      </c>
      <c r="E716" t="s">
        <v>206</v>
      </c>
      <c r="F716" s="1">
        <v>2257</v>
      </c>
    </row>
    <row r="717" spans="1:6" x14ac:dyDescent="0.3">
      <c r="A717" t="str">
        <f>_xlfn.XLOOKUP(ColombiaClientes[[#This Row],[Client]],VpsClientes[Client],VpsClientes[VP],"",0)</f>
        <v>Martha Guzman Arango</v>
      </c>
      <c r="B717" t="s">
        <v>135</v>
      </c>
      <c r="C717" t="s">
        <v>92</v>
      </c>
      <c r="D717" t="s">
        <v>90</v>
      </c>
      <c r="E717" t="s">
        <v>206</v>
      </c>
      <c r="F717" s="1">
        <v>2218</v>
      </c>
    </row>
    <row r="718" spans="1:6" x14ac:dyDescent="0.3">
      <c r="A718" t="str">
        <f>_xlfn.XLOOKUP(ColombiaClientes[[#This Row],[Client]],VpsClientes[Client],VpsClientes[VP],"",0)</f>
        <v>Moises Saavedra Garcia</v>
      </c>
      <c r="B718" t="s">
        <v>150</v>
      </c>
      <c r="C718" t="s">
        <v>92</v>
      </c>
      <c r="D718" t="s">
        <v>90</v>
      </c>
      <c r="E718" t="s">
        <v>206</v>
      </c>
      <c r="F718" s="1">
        <v>1987</v>
      </c>
    </row>
    <row r="719" spans="1:6" x14ac:dyDescent="0.3">
      <c r="A719" t="str">
        <f>_xlfn.XLOOKUP(ColombiaClientes[[#This Row],[Client]],VpsClientes[Client],VpsClientes[VP],"",0)</f>
        <v>Martha Guzman Arango</v>
      </c>
      <c r="B719" t="s">
        <v>118</v>
      </c>
      <c r="C719" t="s">
        <v>92</v>
      </c>
      <c r="D719" t="s">
        <v>90</v>
      </c>
      <c r="E719" t="s">
        <v>206</v>
      </c>
      <c r="F719" s="1">
        <v>1976</v>
      </c>
    </row>
    <row r="720" spans="1:6" x14ac:dyDescent="0.3">
      <c r="A720" t="str">
        <f>_xlfn.XLOOKUP(ColombiaClientes[[#This Row],[Client]],VpsClientes[Client],VpsClientes[VP],"",0)</f>
        <v>Moises Saavedra Garcia</v>
      </c>
      <c r="B720" t="s">
        <v>120</v>
      </c>
      <c r="C720" t="s">
        <v>92</v>
      </c>
      <c r="D720" t="s">
        <v>90</v>
      </c>
      <c r="E720" t="s">
        <v>206</v>
      </c>
      <c r="F720" s="1">
        <v>1876</v>
      </c>
    </row>
    <row r="721" spans="1:6" x14ac:dyDescent="0.3">
      <c r="A721" t="str">
        <f>_xlfn.XLOOKUP(ColombiaClientes[[#This Row],[Client]],VpsClientes[Client],VpsClientes[VP],"",0)</f>
        <v>Maria Forero Jara</v>
      </c>
      <c r="B721" t="s">
        <v>111</v>
      </c>
      <c r="C721" t="s">
        <v>92</v>
      </c>
      <c r="D721" t="s">
        <v>90</v>
      </c>
      <c r="E721" t="s">
        <v>206</v>
      </c>
      <c r="F721" s="1">
        <v>1830</v>
      </c>
    </row>
    <row r="722" spans="1:6" x14ac:dyDescent="0.3">
      <c r="A722" t="str">
        <f>_xlfn.XLOOKUP(ColombiaClientes[[#This Row],[Client]],VpsClientes[Client],VpsClientes[VP],"",0)</f>
        <v>Martha Guzman Arango</v>
      </c>
      <c r="B722" t="s">
        <v>109</v>
      </c>
      <c r="C722" t="s">
        <v>92</v>
      </c>
      <c r="D722" t="s">
        <v>90</v>
      </c>
      <c r="E722" t="s">
        <v>206</v>
      </c>
      <c r="F722" s="1">
        <v>1810</v>
      </c>
    </row>
    <row r="723" spans="1:6" x14ac:dyDescent="0.3">
      <c r="A723" t="str">
        <f>_xlfn.XLOOKUP(ColombiaClientes[[#This Row],[Client]],VpsClientes[Client],VpsClientes[VP],"",0)</f>
        <v>Martha Guzman Arango</v>
      </c>
      <c r="B723" t="s">
        <v>152</v>
      </c>
      <c r="C723" t="s">
        <v>92</v>
      </c>
      <c r="D723" t="s">
        <v>90</v>
      </c>
      <c r="E723" t="s">
        <v>206</v>
      </c>
      <c r="F723" s="1">
        <v>1781</v>
      </c>
    </row>
    <row r="724" spans="1:6" x14ac:dyDescent="0.3">
      <c r="A724" t="str">
        <f>_xlfn.XLOOKUP(ColombiaClientes[[#This Row],[Client]],VpsClientes[Client],VpsClientes[VP],"",0)</f>
        <v>Felipe Izquierdo Rico</v>
      </c>
      <c r="B724" t="s">
        <v>177</v>
      </c>
      <c r="C724" t="s">
        <v>191</v>
      </c>
      <c r="D724" t="s">
        <v>90</v>
      </c>
      <c r="E724" t="s">
        <v>206</v>
      </c>
      <c r="F724" s="1">
        <v>293</v>
      </c>
    </row>
    <row r="725" spans="1:6" x14ac:dyDescent="0.3">
      <c r="A725" t="str">
        <f>_xlfn.XLOOKUP(ColombiaClientes[[#This Row],[Client]],VpsClientes[Client],VpsClientes[VP],"",0)</f>
        <v>Felipe Izquierdo Rico</v>
      </c>
      <c r="B725" t="s">
        <v>177</v>
      </c>
      <c r="C725" t="s">
        <v>192</v>
      </c>
      <c r="D725" t="s">
        <v>90</v>
      </c>
      <c r="E725" t="s">
        <v>206</v>
      </c>
      <c r="F725" s="1">
        <v>292</v>
      </c>
    </row>
    <row r="726" spans="1:6" x14ac:dyDescent="0.3">
      <c r="A726" t="str">
        <f>_xlfn.XLOOKUP(ColombiaClientes[[#This Row],[Client]],VpsClientes[Client],VpsClientes[VP],"",0)</f>
        <v>Jhonatan Izquierdo Rico</v>
      </c>
      <c r="B726" t="s">
        <v>129</v>
      </c>
      <c r="C726" t="s">
        <v>92</v>
      </c>
      <c r="D726" t="s">
        <v>90</v>
      </c>
      <c r="E726" t="s">
        <v>206</v>
      </c>
      <c r="F726" s="1">
        <v>1560</v>
      </c>
    </row>
    <row r="727" spans="1:6" x14ac:dyDescent="0.3">
      <c r="A727" t="str">
        <f>_xlfn.XLOOKUP(ColombiaClientes[[#This Row],[Client]],VpsClientes[Client],VpsClientes[VP],"",0)</f>
        <v>Hector Muraira Garza</v>
      </c>
      <c r="B727" t="s">
        <v>130</v>
      </c>
      <c r="C727" t="s">
        <v>92</v>
      </c>
      <c r="D727" t="s">
        <v>90</v>
      </c>
      <c r="E727" t="s">
        <v>206</v>
      </c>
      <c r="F727" s="1">
        <v>1511</v>
      </c>
    </row>
    <row r="728" spans="1:6" x14ac:dyDescent="0.3">
      <c r="A728" t="str">
        <f>_xlfn.XLOOKUP(ColombiaClientes[[#This Row],[Client]],VpsClientes[Client],VpsClientes[VP],"",0)</f>
        <v>Hector Muraira Garza</v>
      </c>
      <c r="B728" t="s">
        <v>132</v>
      </c>
      <c r="C728" t="s">
        <v>92</v>
      </c>
      <c r="D728" t="s">
        <v>90</v>
      </c>
      <c r="E728" t="s">
        <v>206</v>
      </c>
      <c r="F728" s="1">
        <v>1491</v>
      </c>
    </row>
    <row r="729" spans="1:6" x14ac:dyDescent="0.3">
      <c r="A729" t="str">
        <f>_xlfn.XLOOKUP(ColombiaClientes[[#This Row],[Client]],VpsClientes[Client],VpsClientes[VP],"",0)</f>
        <v>Ernesto Rico Zuluaga</v>
      </c>
      <c r="B729" t="s">
        <v>116</v>
      </c>
      <c r="C729" t="s">
        <v>92</v>
      </c>
      <c r="D729" t="s">
        <v>90</v>
      </c>
      <c r="E729" t="s">
        <v>206</v>
      </c>
      <c r="F729" s="1">
        <v>1439</v>
      </c>
    </row>
    <row r="730" spans="1:6" x14ac:dyDescent="0.3">
      <c r="A730" t="str">
        <f>_xlfn.XLOOKUP(ColombiaClientes[[#This Row],[Client]],VpsClientes[Client],VpsClientes[VP],"",0)</f>
        <v>Moises Saavedra Garcia</v>
      </c>
      <c r="B730" t="s">
        <v>110</v>
      </c>
      <c r="C730" t="s">
        <v>92</v>
      </c>
      <c r="D730" t="s">
        <v>90</v>
      </c>
      <c r="E730" t="s">
        <v>206</v>
      </c>
      <c r="F730" s="1">
        <v>1371</v>
      </c>
    </row>
    <row r="731" spans="1:6" x14ac:dyDescent="0.3">
      <c r="A731" t="str">
        <f>_xlfn.XLOOKUP(ColombiaClientes[[#This Row],[Client]],VpsClientes[Client],VpsClientes[VP],"",0)</f>
        <v>Martha Guzman Arango</v>
      </c>
      <c r="B731" t="s">
        <v>166</v>
      </c>
      <c r="C731" t="s">
        <v>92</v>
      </c>
      <c r="D731" t="s">
        <v>90</v>
      </c>
      <c r="E731" t="s">
        <v>206</v>
      </c>
      <c r="F731" s="1">
        <v>1367</v>
      </c>
    </row>
    <row r="732" spans="1:6" x14ac:dyDescent="0.3">
      <c r="A732" t="str">
        <f>_xlfn.XLOOKUP(ColombiaClientes[[#This Row],[Client]],VpsClientes[Client],VpsClientes[VP],"",0)</f>
        <v>Maria Forero Jara</v>
      </c>
      <c r="B732" t="s">
        <v>144</v>
      </c>
      <c r="C732" t="s">
        <v>92</v>
      </c>
      <c r="D732" t="s">
        <v>90</v>
      </c>
      <c r="E732" t="s">
        <v>206</v>
      </c>
      <c r="F732" s="1">
        <v>1300</v>
      </c>
    </row>
    <row r="733" spans="1:6" x14ac:dyDescent="0.3">
      <c r="A733" t="str">
        <f>_xlfn.XLOOKUP(ColombiaClientes[[#This Row],[Client]],VpsClientes[Client],VpsClientes[VP],"",0)</f>
        <v>Maria Forero Jara</v>
      </c>
      <c r="B733" t="s">
        <v>182</v>
      </c>
      <c r="C733" t="s">
        <v>92</v>
      </c>
      <c r="D733" t="s">
        <v>90</v>
      </c>
      <c r="E733" t="s">
        <v>206</v>
      </c>
      <c r="F733" s="1">
        <v>1243</v>
      </c>
    </row>
    <row r="734" spans="1:6" x14ac:dyDescent="0.3">
      <c r="A734" t="str">
        <f>_xlfn.XLOOKUP(ColombiaClientes[[#This Row],[Client]],VpsClientes[Client],VpsClientes[VP],"",0)</f>
        <v>Jhonatan Izquierdo Rico</v>
      </c>
      <c r="B734" t="s">
        <v>117</v>
      </c>
      <c r="C734" t="s">
        <v>92</v>
      </c>
      <c r="D734" t="s">
        <v>90</v>
      </c>
      <c r="E734" t="s">
        <v>206</v>
      </c>
      <c r="F734" s="1">
        <v>1188</v>
      </c>
    </row>
    <row r="735" spans="1:6" x14ac:dyDescent="0.3">
      <c r="A735" t="str">
        <f>_xlfn.XLOOKUP(ColombiaClientes[[#This Row],[Client]],VpsClientes[Client],VpsClientes[VP],"",0)</f>
        <v>Jhonatan Izquierdo Rico</v>
      </c>
      <c r="B735" t="s">
        <v>157</v>
      </c>
      <c r="C735" t="s">
        <v>92</v>
      </c>
      <c r="D735" t="s">
        <v>90</v>
      </c>
      <c r="E735" t="s">
        <v>206</v>
      </c>
      <c r="F735" s="1">
        <v>1142</v>
      </c>
    </row>
    <row r="736" spans="1:6" x14ac:dyDescent="0.3">
      <c r="A736" t="str">
        <f>_xlfn.XLOOKUP(ColombiaClientes[[#This Row],[Client]],VpsClientes[Client],VpsClientes[VP],"",0)</f>
        <v>Martha Guzman Arango</v>
      </c>
      <c r="B736" t="s">
        <v>168</v>
      </c>
      <c r="C736" t="s">
        <v>92</v>
      </c>
      <c r="D736" t="s">
        <v>90</v>
      </c>
      <c r="E736" t="s">
        <v>206</v>
      </c>
      <c r="F736" s="1">
        <v>1062</v>
      </c>
    </row>
    <row r="737" spans="1:6" x14ac:dyDescent="0.3">
      <c r="A737" t="str">
        <f>_xlfn.XLOOKUP(ColombiaClientes[[#This Row],[Client]],VpsClientes[Client],VpsClientes[VP],"",0)</f>
        <v>Martha Guzman Arango</v>
      </c>
      <c r="B737" t="s">
        <v>146</v>
      </c>
      <c r="C737" t="s">
        <v>92</v>
      </c>
      <c r="D737" t="s">
        <v>90</v>
      </c>
      <c r="E737" t="s">
        <v>206</v>
      </c>
      <c r="F737" s="1">
        <v>973</v>
      </c>
    </row>
    <row r="738" spans="1:6" x14ac:dyDescent="0.3">
      <c r="A738" t="str">
        <f>_xlfn.XLOOKUP(ColombiaClientes[[#This Row],[Client]],VpsClientes[Client],VpsClientes[VP],"",0)</f>
        <v>Martha Guzman Arango</v>
      </c>
      <c r="B738" t="s">
        <v>162</v>
      </c>
      <c r="C738" t="s">
        <v>92</v>
      </c>
      <c r="D738" t="s">
        <v>90</v>
      </c>
      <c r="E738" t="s">
        <v>206</v>
      </c>
      <c r="F738" s="1">
        <v>857</v>
      </c>
    </row>
    <row r="739" spans="1:6" x14ac:dyDescent="0.3">
      <c r="A739" t="str">
        <f>_xlfn.XLOOKUP(ColombiaClientes[[#This Row],[Client]],VpsClientes[Client],VpsClientes[VP],"",0)</f>
        <v>Maria Forero Jara</v>
      </c>
      <c r="B739" t="s">
        <v>123</v>
      </c>
      <c r="C739" t="s">
        <v>92</v>
      </c>
      <c r="D739" t="s">
        <v>90</v>
      </c>
      <c r="E739" t="s">
        <v>206</v>
      </c>
      <c r="F739" s="1">
        <v>833</v>
      </c>
    </row>
    <row r="740" spans="1:6" x14ac:dyDescent="0.3">
      <c r="A740" t="str">
        <f>_xlfn.XLOOKUP(ColombiaClientes[[#This Row],[Client]],VpsClientes[Client],VpsClientes[VP],"",0)</f>
        <v>Juan Granados Castillo</v>
      </c>
      <c r="B740" t="s">
        <v>134</v>
      </c>
      <c r="C740" t="s">
        <v>92</v>
      </c>
      <c r="D740" t="s">
        <v>90</v>
      </c>
      <c r="E740" t="s">
        <v>206</v>
      </c>
      <c r="F740" s="1">
        <v>771</v>
      </c>
    </row>
    <row r="741" spans="1:6" x14ac:dyDescent="0.3">
      <c r="A741" t="str">
        <f>_xlfn.XLOOKUP(ColombiaClientes[[#This Row],[Client]],VpsClientes[Client],VpsClientes[VP],"",0)</f>
        <v>Ernesto Rico Zuluaga</v>
      </c>
      <c r="B741" t="s">
        <v>121</v>
      </c>
      <c r="C741" t="s">
        <v>92</v>
      </c>
      <c r="D741" t="s">
        <v>90</v>
      </c>
      <c r="E741" t="s">
        <v>206</v>
      </c>
      <c r="F741" s="1">
        <v>732</v>
      </c>
    </row>
    <row r="742" spans="1:6" x14ac:dyDescent="0.3">
      <c r="A742" t="str">
        <f>_xlfn.XLOOKUP(ColombiaClientes[[#This Row],[Client]],VpsClientes[Client],VpsClientes[VP],"",0)</f>
        <v>Martha Guzman Arango</v>
      </c>
      <c r="B742" t="s">
        <v>124</v>
      </c>
      <c r="C742" t="s">
        <v>92</v>
      </c>
      <c r="D742" t="s">
        <v>90</v>
      </c>
      <c r="E742" t="s">
        <v>206</v>
      </c>
      <c r="F742" s="1">
        <v>686</v>
      </c>
    </row>
    <row r="743" spans="1:6" x14ac:dyDescent="0.3">
      <c r="A743" t="str">
        <f>_xlfn.XLOOKUP(ColombiaClientes[[#This Row],[Client]],VpsClientes[Client],VpsClientes[VP],"",0)</f>
        <v>Martha Guzman Arango</v>
      </c>
      <c r="B743" t="s">
        <v>170</v>
      </c>
      <c r="C743" t="s">
        <v>92</v>
      </c>
      <c r="D743" t="s">
        <v>90</v>
      </c>
      <c r="E743" t="s">
        <v>206</v>
      </c>
      <c r="F743" s="1">
        <v>659</v>
      </c>
    </row>
    <row r="744" spans="1:6" x14ac:dyDescent="0.3">
      <c r="A744" t="str">
        <f>_xlfn.XLOOKUP(ColombiaClientes[[#This Row],[Client]],VpsClientes[Client],VpsClientes[VP],"",0)</f>
        <v>Martha Guzman Arango</v>
      </c>
      <c r="B744" t="s">
        <v>185</v>
      </c>
      <c r="C744" t="s">
        <v>92</v>
      </c>
      <c r="D744" t="s">
        <v>90</v>
      </c>
      <c r="E744" t="s">
        <v>206</v>
      </c>
      <c r="F744" s="1">
        <v>615</v>
      </c>
    </row>
    <row r="745" spans="1:6" x14ac:dyDescent="0.3">
      <c r="A745" t="str">
        <f>_xlfn.XLOOKUP(ColombiaClientes[[#This Row],[Client]],VpsClientes[Client],VpsClientes[VP],"",0)</f>
        <v>Carlos Beltran Hernandez</v>
      </c>
      <c r="B745" t="s">
        <v>173</v>
      </c>
      <c r="C745" t="s">
        <v>92</v>
      </c>
      <c r="D745" t="s">
        <v>90</v>
      </c>
      <c r="E745" t="s">
        <v>206</v>
      </c>
      <c r="F745" s="1">
        <v>596</v>
      </c>
    </row>
    <row r="746" spans="1:6" x14ac:dyDescent="0.3">
      <c r="A746" t="str">
        <f>_xlfn.XLOOKUP(ColombiaClientes[[#This Row],[Client]],VpsClientes[Client],VpsClientes[VP],"",0)</f>
        <v>Martha Guzman Arango</v>
      </c>
      <c r="B746" t="s">
        <v>148</v>
      </c>
      <c r="C746" t="s">
        <v>92</v>
      </c>
      <c r="D746" t="s">
        <v>90</v>
      </c>
      <c r="E746" t="s">
        <v>206</v>
      </c>
      <c r="F746" s="1">
        <v>591</v>
      </c>
    </row>
    <row r="747" spans="1:6" x14ac:dyDescent="0.3">
      <c r="A747" t="str">
        <f>_xlfn.XLOOKUP(ColombiaClientes[[#This Row],[Client]],VpsClientes[Client],VpsClientes[VP],"",0)</f>
        <v>Maria Forero Jara</v>
      </c>
      <c r="B747" t="s">
        <v>179</v>
      </c>
      <c r="C747" t="s">
        <v>92</v>
      </c>
      <c r="D747" t="s">
        <v>90</v>
      </c>
      <c r="E747" t="s">
        <v>206</v>
      </c>
      <c r="F747" s="1">
        <v>569</v>
      </c>
    </row>
    <row r="748" spans="1:6" x14ac:dyDescent="0.3">
      <c r="A748" t="str">
        <f>_xlfn.XLOOKUP(ColombiaClientes[[#This Row],[Client]],VpsClientes[Client],VpsClientes[VP],"",0)</f>
        <v>Martha Guzman Arango</v>
      </c>
      <c r="B748" t="s">
        <v>153</v>
      </c>
      <c r="C748" t="s">
        <v>92</v>
      </c>
      <c r="D748" t="s">
        <v>90</v>
      </c>
      <c r="E748" t="s">
        <v>206</v>
      </c>
      <c r="F748" s="1">
        <v>566</v>
      </c>
    </row>
    <row r="749" spans="1:6" x14ac:dyDescent="0.3">
      <c r="A749" t="str">
        <f>_xlfn.XLOOKUP(ColombiaClientes[[#This Row],[Client]],VpsClientes[Client],VpsClientes[VP],"",0)</f>
        <v>Felipe Izquierdo Rico</v>
      </c>
      <c r="B749" t="s">
        <v>177</v>
      </c>
      <c r="C749" t="s">
        <v>194</v>
      </c>
      <c r="D749" t="s">
        <v>90</v>
      </c>
      <c r="E749" t="s">
        <v>206</v>
      </c>
      <c r="F749" s="1">
        <v>297</v>
      </c>
    </row>
    <row r="750" spans="1:6" x14ac:dyDescent="0.3">
      <c r="A750" t="str">
        <f>_xlfn.XLOOKUP(ColombiaClientes[[#This Row],[Client]],VpsClientes[Client],VpsClientes[VP],"",0)</f>
        <v>Martha Guzman Arango</v>
      </c>
      <c r="B750" t="s">
        <v>156</v>
      </c>
      <c r="C750" t="s">
        <v>92</v>
      </c>
      <c r="D750" t="s">
        <v>90</v>
      </c>
      <c r="E750" t="s">
        <v>206</v>
      </c>
      <c r="F750" s="1">
        <v>553</v>
      </c>
    </row>
    <row r="751" spans="1:6" x14ac:dyDescent="0.3">
      <c r="A751" t="str">
        <f>_xlfn.XLOOKUP(ColombiaClientes[[#This Row],[Client]],VpsClientes[Client],VpsClientes[VP],"",0)</f>
        <v>Hector Muraira Garza</v>
      </c>
      <c r="B751" t="s">
        <v>154</v>
      </c>
      <c r="C751" t="s">
        <v>92</v>
      </c>
      <c r="D751" t="s">
        <v>90</v>
      </c>
      <c r="E751" t="s">
        <v>206</v>
      </c>
      <c r="F751" s="1">
        <v>480</v>
      </c>
    </row>
    <row r="752" spans="1:6" x14ac:dyDescent="0.3">
      <c r="A752" t="str">
        <f>_xlfn.XLOOKUP(ColombiaClientes[[#This Row],[Client]],VpsClientes[Client],VpsClientes[VP],"",0)</f>
        <v>Martha Guzman Arango</v>
      </c>
      <c r="B752" t="s">
        <v>131</v>
      </c>
      <c r="C752" t="s">
        <v>92</v>
      </c>
      <c r="D752" t="s">
        <v>90</v>
      </c>
      <c r="E752" t="s">
        <v>206</v>
      </c>
      <c r="F752" s="1">
        <v>474</v>
      </c>
    </row>
    <row r="753" spans="1:6" x14ac:dyDescent="0.3">
      <c r="A753" t="str">
        <f>_xlfn.XLOOKUP(ColombiaClientes[[#This Row],[Client]],VpsClientes[Client],VpsClientes[VP],"",0)</f>
        <v>Hector Muraira Garza</v>
      </c>
      <c r="B753" t="s">
        <v>140</v>
      </c>
      <c r="C753" t="s">
        <v>92</v>
      </c>
      <c r="D753" t="s">
        <v>90</v>
      </c>
      <c r="E753" t="s">
        <v>206</v>
      </c>
      <c r="F753" s="1">
        <v>463</v>
      </c>
    </row>
    <row r="754" spans="1:6" x14ac:dyDescent="0.3">
      <c r="A754" t="str">
        <f>_xlfn.XLOOKUP(ColombiaClientes[[#This Row],[Client]],VpsClientes[Client],VpsClientes[VP],"",0)</f>
        <v>Juan Granados Castillo</v>
      </c>
      <c r="B754" t="s">
        <v>142</v>
      </c>
      <c r="C754" t="s">
        <v>92</v>
      </c>
      <c r="D754" t="s">
        <v>90</v>
      </c>
      <c r="E754" t="s">
        <v>206</v>
      </c>
      <c r="F754" s="1">
        <v>411</v>
      </c>
    </row>
    <row r="755" spans="1:6" x14ac:dyDescent="0.3">
      <c r="A755" t="str">
        <f>_xlfn.XLOOKUP(ColombiaClientes[[#This Row],[Client]],VpsClientes[Client],VpsClientes[VP],"",0)</f>
        <v>Maria Forero Jara</v>
      </c>
      <c r="B755" t="s">
        <v>163</v>
      </c>
      <c r="C755" t="s">
        <v>92</v>
      </c>
      <c r="D755" t="s">
        <v>90</v>
      </c>
      <c r="E755" t="s">
        <v>206</v>
      </c>
      <c r="F755" s="1">
        <v>379</v>
      </c>
    </row>
    <row r="756" spans="1:6" x14ac:dyDescent="0.3">
      <c r="A756" t="str">
        <f>_xlfn.XLOOKUP(ColombiaClientes[[#This Row],[Client]],VpsClientes[Client],VpsClientes[VP],"",0)</f>
        <v>Martha Guzman Arango</v>
      </c>
      <c r="B756" t="s">
        <v>145</v>
      </c>
      <c r="C756" t="s">
        <v>92</v>
      </c>
      <c r="D756" t="s">
        <v>90</v>
      </c>
      <c r="E756" t="s">
        <v>206</v>
      </c>
      <c r="F756" s="1">
        <v>331</v>
      </c>
    </row>
    <row r="757" spans="1:6" x14ac:dyDescent="0.3">
      <c r="A757" t="str">
        <f>_xlfn.XLOOKUP(ColombiaClientes[[#This Row],[Client]],VpsClientes[Client],VpsClientes[VP],"",0)</f>
        <v>Hector Muraira Garza</v>
      </c>
      <c r="B757" t="s">
        <v>164</v>
      </c>
      <c r="C757" t="s">
        <v>92</v>
      </c>
      <c r="D757" t="s">
        <v>90</v>
      </c>
      <c r="E757" t="s">
        <v>206</v>
      </c>
      <c r="F757" s="1">
        <v>307</v>
      </c>
    </row>
    <row r="758" spans="1:6" x14ac:dyDescent="0.3">
      <c r="A758" t="str">
        <f>_xlfn.XLOOKUP(ColombiaClientes[[#This Row],[Client]],VpsClientes[Client],VpsClientes[VP],"",0)</f>
        <v>Martha Guzman Arango</v>
      </c>
      <c r="B758" t="s">
        <v>155</v>
      </c>
      <c r="C758" t="s">
        <v>92</v>
      </c>
      <c r="D758" t="s">
        <v>90</v>
      </c>
      <c r="E758" t="s">
        <v>206</v>
      </c>
      <c r="F758" s="1">
        <v>288</v>
      </c>
    </row>
    <row r="759" spans="1:6" x14ac:dyDescent="0.3">
      <c r="A759" t="str">
        <f>_xlfn.XLOOKUP(ColombiaClientes[[#This Row],[Client]],VpsClientes[Client],VpsClientes[VP],"",0)</f>
        <v>Juan Granados Castillo</v>
      </c>
      <c r="B759" t="s">
        <v>149</v>
      </c>
      <c r="C759" t="s">
        <v>92</v>
      </c>
      <c r="D759" t="s">
        <v>90</v>
      </c>
      <c r="E759" t="s">
        <v>206</v>
      </c>
      <c r="F759" s="1">
        <v>285</v>
      </c>
    </row>
    <row r="760" spans="1:6" x14ac:dyDescent="0.3">
      <c r="A760" t="str">
        <f>_xlfn.XLOOKUP(ColombiaClientes[[#This Row],[Client]],VpsClientes[Client],VpsClientes[VP],"",0)</f>
        <v>Martha Guzman Arango</v>
      </c>
      <c r="B760" t="s">
        <v>169</v>
      </c>
      <c r="C760" t="s">
        <v>92</v>
      </c>
      <c r="D760" t="s">
        <v>90</v>
      </c>
      <c r="E760" t="s">
        <v>206</v>
      </c>
      <c r="F760" s="1">
        <v>280</v>
      </c>
    </row>
    <row r="761" spans="1:6" x14ac:dyDescent="0.3">
      <c r="A761" t="str">
        <f>_xlfn.XLOOKUP(ColombiaClientes[[#This Row],[Client]],VpsClientes[Client],VpsClientes[VP],"",0)</f>
        <v>Moises Saavedra Garcia</v>
      </c>
      <c r="B761" t="s">
        <v>175</v>
      </c>
      <c r="C761" t="s">
        <v>92</v>
      </c>
      <c r="D761" t="s">
        <v>90</v>
      </c>
      <c r="E761" t="s">
        <v>206</v>
      </c>
      <c r="F761" s="1">
        <v>244</v>
      </c>
    </row>
    <row r="762" spans="1:6" x14ac:dyDescent="0.3">
      <c r="A762" t="str">
        <f>_xlfn.XLOOKUP(ColombiaClientes[[#This Row],[Client]],VpsClientes[Client],VpsClientes[VP],"",0)</f>
        <v>Hector Muraira Garza</v>
      </c>
      <c r="B762" t="s">
        <v>167</v>
      </c>
      <c r="C762" t="s">
        <v>92</v>
      </c>
      <c r="D762" t="s">
        <v>90</v>
      </c>
      <c r="E762" t="s">
        <v>206</v>
      </c>
      <c r="F762" s="1">
        <v>242</v>
      </c>
    </row>
    <row r="763" spans="1:6" x14ac:dyDescent="0.3">
      <c r="A763" t="str">
        <f>_xlfn.XLOOKUP(ColombiaClientes[[#This Row],[Client]],VpsClientes[Client],VpsClientes[VP],"",0)</f>
        <v>Moises Saavedra Garcia</v>
      </c>
      <c r="B763" t="s">
        <v>172</v>
      </c>
      <c r="C763" t="s">
        <v>92</v>
      </c>
      <c r="D763" t="s">
        <v>90</v>
      </c>
      <c r="E763" t="s">
        <v>206</v>
      </c>
      <c r="F763" s="1">
        <v>225</v>
      </c>
    </row>
    <row r="764" spans="1:6" x14ac:dyDescent="0.3">
      <c r="A764" t="str">
        <f>_xlfn.XLOOKUP(ColombiaClientes[[#This Row],[Client]],VpsClientes[Client],VpsClientes[VP],"",0)</f>
        <v>Martha Guzman Arango</v>
      </c>
      <c r="B764" t="s">
        <v>171</v>
      </c>
      <c r="C764" t="s">
        <v>92</v>
      </c>
      <c r="D764" t="s">
        <v>90</v>
      </c>
      <c r="E764" t="s">
        <v>206</v>
      </c>
      <c r="F764" s="1">
        <v>183</v>
      </c>
    </row>
    <row r="765" spans="1:6" x14ac:dyDescent="0.3">
      <c r="A765" t="str">
        <f>_xlfn.XLOOKUP(ColombiaClientes[[#This Row],[Client]],VpsClientes[Client],VpsClientes[VP],"",0)</f>
        <v>Carlos Beltran Hernandez</v>
      </c>
      <c r="B765" t="s">
        <v>158</v>
      </c>
      <c r="C765" t="s">
        <v>92</v>
      </c>
      <c r="D765" t="s">
        <v>90</v>
      </c>
      <c r="E765" t="s">
        <v>206</v>
      </c>
      <c r="F765" s="1">
        <v>175</v>
      </c>
    </row>
    <row r="766" spans="1:6" x14ac:dyDescent="0.3">
      <c r="A766" t="str">
        <f>_xlfn.XLOOKUP(ColombiaClientes[[#This Row],[Client]],VpsClientes[Client],VpsClientes[VP],"",0)</f>
        <v>Felipe Izquierdo Rico</v>
      </c>
      <c r="B766" t="s">
        <v>177</v>
      </c>
      <c r="C766" t="s">
        <v>202</v>
      </c>
      <c r="D766" t="s">
        <v>90</v>
      </c>
      <c r="E766" t="s">
        <v>206</v>
      </c>
      <c r="F766" s="1">
        <v>160</v>
      </c>
    </row>
    <row r="767" spans="1:6" x14ac:dyDescent="0.3">
      <c r="A767" t="str">
        <f>_xlfn.XLOOKUP(ColombiaClientes[[#This Row],[Client]],VpsClientes[Client],VpsClientes[VP],"",0)</f>
        <v>Jhonatan Izquierdo Rico</v>
      </c>
      <c r="B767" t="s">
        <v>159</v>
      </c>
      <c r="C767" t="s">
        <v>92</v>
      </c>
      <c r="D767" t="s">
        <v>90</v>
      </c>
      <c r="E767" t="s">
        <v>206</v>
      </c>
      <c r="F767" s="1">
        <v>137</v>
      </c>
    </row>
    <row r="768" spans="1:6" x14ac:dyDescent="0.3">
      <c r="A768" t="str">
        <f>_xlfn.XLOOKUP(ColombiaClientes[[#This Row],[Client]],VpsClientes[Client],VpsClientes[VP],"",0)</f>
        <v>Felipe Izquierdo Rico</v>
      </c>
      <c r="B768" t="s">
        <v>177</v>
      </c>
      <c r="C768" t="s">
        <v>203</v>
      </c>
      <c r="D768" t="s">
        <v>90</v>
      </c>
      <c r="E768" t="s">
        <v>206</v>
      </c>
      <c r="F768" s="1">
        <v>93</v>
      </c>
    </row>
    <row r="769" spans="1:6" x14ac:dyDescent="0.3">
      <c r="A769" t="str">
        <f>_xlfn.XLOOKUP(ColombiaClientes[[#This Row],[Client]],VpsClientes[Client],VpsClientes[VP],"",0)</f>
        <v>Martha Guzman Arango</v>
      </c>
      <c r="B769" t="s">
        <v>176</v>
      </c>
      <c r="C769" t="s">
        <v>92</v>
      </c>
      <c r="D769" t="s">
        <v>90</v>
      </c>
      <c r="E769" t="s">
        <v>206</v>
      </c>
      <c r="F769" s="1">
        <v>118</v>
      </c>
    </row>
    <row r="770" spans="1:6" x14ac:dyDescent="0.3">
      <c r="A770" t="str">
        <f>_xlfn.XLOOKUP(ColombiaClientes[[#This Row],[Client]],VpsClientes[Client],VpsClientes[VP],"",0)</f>
        <v>Martha Guzman Arango</v>
      </c>
      <c r="B770" t="s">
        <v>183</v>
      </c>
      <c r="C770" t="s">
        <v>92</v>
      </c>
      <c r="D770" t="s">
        <v>90</v>
      </c>
      <c r="E770" t="s">
        <v>206</v>
      </c>
      <c r="F770" s="1">
        <v>92</v>
      </c>
    </row>
    <row r="771" spans="1:6" x14ac:dyDescent="0.3">
      <c r="A771" t="str">
        <f>_xlfn.XLOOKUP(ColombiaClientes[[#This Row],[Client]],VpsClientes[Client],VpsClientes[VP],"",0)</f>
        <v>Martha Guzman Arango</v>
      </c>
      <c r="B771" t="s">
        <v>186</v>
      </c>
      <c r="C771" t="s">
        <v>92</v>
      </c>
      <c r="D771" t="s">
        <v>90</v>
      </c>
      <c r="E771" t="s">
        <v>206</v>
      </c>
      <c r="F771" s="1">
        <v>84</v>
      </c>
    </row>
    <row r="772" spans="1:6" x14ac:dyDescent="0.3">
      <c r="A772" t="str">
        <f>_xlfn.XLOOKUP(ColombiaClientes[[#This Row],[Client]],VpsClientes[Client],VpsClientes[VP],"",0)</f>
        <v>Martha Guzman Arango</v>
      </c>
      <c r="B772" t="s">
        <v>165</v>
      </c>
      <c r="C772" t="s">
        <v>92</v>
      </c>
      <c r="D772" t="s">
        <v>90</v>
      </c>
      <c r="E772" t="s">
        <v>206</v>
      </c>
      <c r="F772" s="1">
        <v>83</v>
      </c>
    </row>
    <row r="773" spans="1:6" x14ac:dyDescent="0.3">
      <c r="A773" t="str">
        <f>_xlfn.XLOOKUP(ColombiaClientes[[#This Row],[Client]],VpsClientes[Client],VpsClientes[VP],"",0)</f>
        <v>Maria Forero Jara</v>
      </c>
      <c r="B773" t="s">
        <v>161</v>
      </c>
      <c r="C773" t="s">
        <v>92</v>
      </c>
      <c r="D773" t="s">
        <v>90</v>
      </c>
      <c r="E773" t="s">
        <v>206</v>
      </c>
      <c r="F773" s="1">
        <v>73</v>
      </c>
    </row>
    <row r="774" spans="1:6" x14ac:dyDescent="0.3">
      <c r="A774" t="str">
        <f>_xlfn.XLOOKUP(ColombiaClientes[[#This Row],[Client]],VpsClientes[Client],VpsClientes[VP],"",0)</f>
        <v>Moises Saavedra Garcia</v>
      </c>
      <c r="B774" t="s">
        <v>187</v>
      </c>
      <c r="C774" t="s">
        <v>92</v>
      </c>
      <c r="D774" t="s">
        <v>90</v>
      </c>
      <c r="E774" t="s">
        <v>206</v>
      </c>
      <c r="F774" s="1">
        <v>71</v>
      </c>
    </row>
    <row r="775" spans="1:6" x14ac:dyDescent="0.3">
      <c r="A775" t="str">
        <f>_xlfn.XLOOKUP(ColombiaClientes[[#This Row],[Client]],VpsClientes[Client],VpsClientes[VP],"",0)</f>
        <v>Carlos Beltran Hernandez</v>
      </c>
      <c r="B775" t="s">
        <v>151</v>
      </c>
      <c r="C775" t="s">
        <v>92</v>
      </c>
      <c r="D775" t="s">
        <v>90</v>
      </c>
      <c r="E775" t="s">
        <v>206</v>
      </c>
      <c r="F775" s="1">
        <v>71</v>
      </c>
    </row>
    <row r="776" spans="1:6" x14ac:dyDescent="0.3">
      <c r="A776" t="str">
        <f>_xlfn.XLOOKUP(ColombiaClientes[[#This Row],[Client]],VpsClientes[Client],VpsClientes[VP],"",0)</f>
        <v>Felipe Izquierdo Rico</v>
      </c>
      <c r="B776" t="s">
        <v>177</v>
      </c>
      <c r="C776" t="s">
        <v>92</v>
      </c>
      <c r="D776" t="s">
        <v>219</v>
      </c>
      <c r="E776" t="s">
        <v>91</v>
      </c>
      <c r="F776" s="1">
        <v>125</v>
      </c>
    </row>
    <row r="777" spans="1:6" x14ac:dyDescent="0.3">
      <c r="A777" t="str">
        <f>_xlfn.XLOOKUP(ColombiaClientes[[#This Row],[Client]],VpsClientes[Client],VpsClientes[VP],"",0)</f>
        <v>Martha Guzman Arango</v>
      </c>
      <c r="B777" t="s">
        <v>174</v>
      </c>
      <c r="C777" t="s">
        <v>92</v>
      </c>
      <c r="D777" t="s">
        <v>90</v>
      </c>
      <c r="E777" t="s">
        <v>206</v>
      </c>
      <c r="F777" s="1">
        <v>36</v>
      </c>
    </row>
    <row r="778" spans="1:6" x14ac:dyDescent="0.3">
      <c r="A778" t="str">
        <f>_xlfn.XLOOKUP(ColombiaClientes[[#This Row],[Client]],VpsClientes[Client],VpsClientes[VP],"",0)</f>
        <v>Martha Guzman Arango</v>
      </c>
      <c r="B778" t="s">
        <v>180</v>
      </c>
      <c r="C778" t="s">
        <v>92</v>
      </c>
      <c r="D778" t="s">
        <v>90</v>
      </c>
      <c r="E778" t="s">
        <v>206</v>
      </c>
      <c r="F778" s="1">
        <v>32</v>
      </c>
    </row>
    <row r="779" spans="1:6" x14ac:dyDescent="0.3">
      <c r="A779" t="str">
        <f>_xlfn.XLOOKUP(ColombiaClientes[[#This Row],[Client]],VpsClientes[Client],VpsClientes[VP],"",0)</f>
        <v>Martha Guzman Arango</v>
      </c>
      <c r="B779" t="s">
        <v>188</v>
      </c>
      <c r="C779" t="s">
        <v>92</v>
      </c>
      <c r="D779" t="s">
        <v>90</v>
      </c>
      <c r="E779" t="s">
        <v>206</v>
      </c>
      <c r="F779" s="1">
        <v>20</v>
      </c>
    </row>
    <row r="780" spans="1:6" x14ac:dyDescent="0.3">
      <c r="A780" t="str">
        <f>_xlfn.XLOOKUP(ColombiaClientes[[#This Row],[Client]],VpsClientes[Client],VpsClientes[VP],"",0)</f>
        <v>Martha Guzman Arango</v>
      </c>
      <c r="B780" t="s">
        <v>189</v>
      </c>
      <c r="C780" t="s">
        <v>92</v>
      </c>
      <c r="D780" t="s">
        <v>90</v>
      </c>
      <c r="E780" t="s">
        <v>206</v>
      </c>
      <c r="F780" s="1">
        <v>9</v>
      </c>
    </row>
    <row r="781" spans="1:6" x14ac:dyDescent="0.3">
      <c r="A781" t="str">
        <f>_xlfn.XLOOKUP(ColombiaClientes[[#This Row],[Client]],VpsClientes[Client],VpsClientes[VP],"",0)</f>
        <v>Carlos Beltran Hernandez</v>
      </c>
      <c r="B781" t="s">
        <v>94</v>
      </c>
      <c r="C781" t="s">
        <v>191</v>
      </c>
      <c r="D781" t="s">
        <v>90</v>
      </c>
      <c r="E781" t="s">
        <v>206</v>
      </c>
      <c r="F781" s="1">
        <v>21919</v>
      </c>
    </row>
    <row r="782" spans="1:6" x14ac:dyDescent="0.3">
      <c r="A782" t="str">
        <f>_xlfn.XLOOKUP(ColombiaClientes[[#This Row],[Client]],VpsClientes[Client],VpsClientes[VP],"",0)</f>
        <v>Carlos Beltran Hernandez</v>
      </c>
      <c r="B782" t="s">
        <v>93</v>
      </c>
      <c r="C782" t="s">
        <v>191</v>
      </c>
      <c r="D782" t="s">
        <v>90</v>
      </c>
      <c r="E782" t="s">
        <v>206</v>
      </c>
      <c r="F782" s="1">
        <v>20647</v>
      </c>
    </row>
    <row r="783" spans="1:6" x14ac:dyDescent="0.3">
      <c r="A783" t="str">
        <f>_xlfn.XLOOKUP(ColombiaClientes[[#This Row],[Client]],VpsClientes[Client],VpsClientes[VP],"",0)</f>
        <v>Jhonatan Izquierdo Rico</v>
      </c>
      <c r="B783" t="s">
        <v>104</v>
      </c>
      <c r="C783" t="s">
        <v>191</v>
      </c>
      <c r="D783" t="s">
        <v>90</v>
      </c>
      <c r="E783" t="s">
        <v>206</v>
      </c>
      <c r="F783" s="1">
        <v>18302</v>
      </c>
    </row>
    <row r="784" spans="1:6" x14ac:dyDescent="0.3">
      <c r="A784" t="str">
        <f>_xlfn.XLOOKUP(ColombiaClientes[[#This Row],[Client]],VpsClientes[Client],VpsClientes[VP],"",0)</f>
        <v>Moises Saavedra Garcia</v>
      </c>
      <c r="B784" t="s">
        <v>99</v>
      </c>
      <c r="C784" t="s">
        <v>191</v>
      </c>
      <c r="D784" t="s">
        <v>90</v>
      </c>
      <c r="E784" t="s">
        <v>206</v>
      </c>
      <c r="F784" s="1">
        <v>16914</v>
      </c>
    </row>
    <row r="785" spans="1:6" x14ac:dyDescent="0.3">
      <c r="A785" t="str">
        <f>_xlfn.XLOOKUP(ColombiaClientes[[#This Row],[Client]],VpsClientes[Client],VpsClientes[VP],"",0)</f>
        <v>Martha Guzman Arango</v>
      </c>
      <c r="B785" t="s">
        <v>100</v>
      </c>
      <c r="C785" t="s">
        <v>191</v>
      </c>
      <c r="D785" t="s">
        <v>90</v>
      </c>
      <c r="E785" t="s">
        <v>206</v>
      </c>
      <c r="F785" s="1">
        <v>15273</v>
      </c>
    </row>
    <row r="786" spans="1:6" x14ac:dyDescent="0.3">
      <c r="A786" t="str">
        <f>_xlfn.XLOOKUP(ColombiaClientes[[#This Row],[Client]],VpsClientes[Client],VpsClientes[VP],"",0)</f>
        <v>Martha Guzman Arango</v>
      </c>
      <c r="B786" t="s">
        <v>96</v>
      </c>
      <c r="C786" t="s">
        <v>191</v>
      </c>
      <c r="D786" t="s">
        <v>90</v>
      </c>
      <c r="E786" t="s">
        <v>206</v>
      </c>
      <c r="F786" s="1">
        <v>14371</v>
      </c>
    </row>
    <row r="787" spans="1:6" x14ac:dyDescent="0.3">
      <c r="A787" t="str">
        <f>_xlfn.XLOOKUP(ColombiaClientes[[#This Row],[Client]],VpsClientes[Client],VpsClientes[VP],"",0)</f>
        <v>Jhonatan Izquierdo Rico</v>
      </c>
      <c r="B787" t="s">
        <v>128</v>
      </c>
      <c r="C787" t="s">
        <v>191</v>
      </c>
      <c r="D787" t="s">
        <v>90</v>
      </c>
      <c r="E787" t="s">
        <v>206</v>
      </c>
      <c r="F787" s="1">
        <v>12955</v>
      </c>
    </row>
    <row r="788" spans="1:6" x14ac:dyDescent="0.3">
      <c r="A788" t="str">
        <f>_xlfn.XLOOKUP(ColombiaClientes[[#This Row],[Client]],VpsClientes[Client],VpsClientes[VP],"",0)</f>
        <v>Carlos Castillo Figueroa</v>
      </c>
      <c r="B788" t="s">
        <v>105</v>
      </c>
      <c r="C788" t="s">
        <v>191</v>
      </c>
      <c r="D788" t="s">
        <v>90</v>
      </c>
      <c r="E788" t="s">
        <v>206</v>
      </c>
      <c r="F788" s="1">
        <v>12316</v>
      </c>
    </row>
    <row r="789" spans="1:6" x14ac:dyDescent="0.3">
      <c r="A789" t="str">
        <f>_xlfn.XLOOKUP(ColombiaClientes[[#This Row],[Client]],VpsClientes[Client],VpsClientes[VP],"",0)</f>
        <v>Martha Guzman Arango</v>
      </c>
      <c r="B789" t="s">
        <v>98</v>
      </c>
      <c r="C789" t="s">
        <v>191</v>
      </c>
      <c r="D789" t="s">
        <v>90</v>
      </c>
      <c r="E789" t="s">
        <v>206</v>
      </c>
      <c r="F789" s="1">
        <v>11358</v>
      </c>
    </row>
    <row r="790" spans="1:6" x14ac:dyDescent="0.3">
      <c r="A790" t="str">
        <f>_xlfn.XLOOKUP(ColombiaClientes[[#This Row],[Client]],VpsClientes[Client],VpsClientes[VP],"",0)</f>
        <v>Maria Forero Jara</v>
      </c>
      <c r="B790" t="s">
        <v>101</v>
      </c>
      <c r="C790" t="s">
        <v>191</v>
      </c>
      <c r="D790" t="s">
        <v>90</v>
      </c>
      <c r="E790" t="s">
        <v>206</v>
      </c>
      <c r="F790" s="1">
        <v>10854</v>
      </c>
    </row>
    <row r="791" spans="1:6" x14ac:dyDescent="0.3">
      <c r="A791" t="str">
        <f>_xlfn.XLOOKUP(ColombiaClientes[[#This Row],[Client]],VpsClientes[Client],VpsClientes[VP],"",0)</f>
        <v>Sandra Romero Zuluaga</v>
      </c>
      <c r="B791" t="s">
        <v>113</v>
      </c>
      <c r="C791" t="s">
        <v>191</v>
      </c>
      <c r="D791" t="s">
        <v>90</v>
      </c>
      <c r="E791" t="s">
        <v>206</v>
      </c>
      <c r="F791" s="1">
        <v>6848</v>
      </c>
    </row>
    <row r="792" spans="1:6" x14ac:dyDescent="0.3">
      <c r="A792" t="str">
        <f>_xlfn.XLOOKUP(ColombiaClientes[[#This Row],[Client]],VpsClientes[Client],VpsClientes[VP],"",0)</f>
        <v>Jhonatan Izquierdo Rico</v>
      </c>
      <c r="B792" t="s">
        <v>112</v>
      </c>
      <c r="C792" t="s">
        <v>191</v>
      </c>
      <c r="D792" t="s">
        <v>90</v>
      </c>
      <c r="E792" t="s">
        <v>206</v>
      </c>
      <c r="F792" s="1">
        <v>6151</v>
      </c>
    </row>
    <row r="793" spans="1:6" x14ac:dyDescent="0.3">
      <c r="A793" t="str">
        <f>_xlfn.XLOOKUP(ColombiaClientes[[#This Row],[Client]],VpsClientes[Client],VpsClientes[VP],"",0)</f>
        <v>Jhonatan Izquierdo Rico</v>
      </c>
      <c r="B793" t="s">
        <v>107</v>
      </c>
      <c r="C793" t="s">
        <v>191</v>
      </c>
      <c r="D793" t="s">
        <v>90</v>
      </c>
      <c r="E793" t="s">
        <v>206</v>
      </c>
      <c r="F793" s="1">
        <v>6119</v>
      </c>
    </row>
    <row r="794" spans="1:6" x14ac:dyDescent="0.3">
      <c r="A794" t="str">
        <f>_xlfn.XLOOKUP(ColombiaClientes[[#This Row],[Client]],VpsClientes[Client],VpsClientes[VP],"",0)</f>
        <v>Carlos Beltran Hernandez</v>
      </c>
      <c r="B794" t="s">
        <v>102</v>
      </c>
      <c r="C794" t="s">
        <v>191</v>
      </c>
      <c r="D794" t="s">
        <v>90</v>
      </c>
      <c r="E794" t="s">
        <v>206</v>
      </c>
      <c r="F794" s="1">
        <v>6059</v>
      </c>
    </row>
    <row r="795" spans="1:6" x14ac:dyDescent="0.3">
      <c r="A795" t="str">
        <f>_xlfn.XLOOKUP(ColombiaClientes[[#This Row],[Client]],VpsClientes[Client],VpsClientes[VP],"",0)</f>
        <v>Ludy Torres Benitez</v>
      </c>
      <c r="B795" t="s">
        <v>95</v>
      </c>
      <c r="C795" t="s">
        <v>191</v>
      </c>
      <c r="D795" t="s">
        <v>90</v>
      </c>
      <c r="E795" t="s">
        <v>206</v>
      </c>
      <c r="F795" s="1">
        <v>5707</v>
      </c>
    </row>
    <row r="796" spans="1:6" x14ac:dyDescent="0.3">
      <c r="A796" t="str">
        <f>_xlfn.XLOOKUP(ColombiaClientes[[#This Row],[Client]],VpsClientes[Client],VpsClientes[VP],"",0)</f>
        <v>Martha Guzman Arango</v>
      </c>
      <c r="B796" t="s">
        <v>122</v>
      </c>
      <c r="C796" t="s">
        <v>191</v>
      </c>
      <c r="D796" t="s">
        <v>90</v>
      </c>
      <c r="E796" t="s">
        <v>206</v>
      </c>
      <c r="F796" s="1">
        <v>4709</v>
      </c>
    </row>
    <row r="797" spans="1:6" x14ac:dyDescent="0.3">
      <c r="A797" t="str">
        <f>_xlfn.XLOOKUP(ColombiaClientes[[#This Row],[Client]],VpsClientes[Client],VpsClientes[VP],"",0)</f>
        <v>Martha Guzman Arango</v>
      </c>
      <c r="B797" t="s">
        <v>97</v>
      </c>
      <c r="C797" t="s">
        <v>191</v>
      </c>
      <c r="D797" t="s">
        <v>90</v>
      </c>
      <c r="E797" t="s">
        <v>206</v>
      </c>
      <c r="F797" s="1">
        <v>4269</v>
      </c>
    </row>
    <row r="798" spans="1:6" x14ac:dyDescent="0.3">
      <c r="A798" t="str">
        <f>_xlfn.XLOOKUP(ColombiaClientes[[#This Row],[Client]],VpsClientes[Client],VpsClientes[VP],"",0)</f>
        <v>Martha Guzman Arango</v>
      </c>
      <c r="B798" t="s">
        <v>103</v>
      </c>
      <c r="C798" t="s">
        <v>191</v>
      </c>
      <c r="D798" t="s">
        <v>90</v>
      </c>
      <c r="E798" t="s">
        <v>206</v>
      </c>
      <c r="F798" s="1">
        <v>3857</v>
      </c>
    </row>
    <row r="799" spans="1:6" x14ac:dyDescent="0.3">
      <c r="A799" t="str">
        <f>_xlfn.XLOOKUP(ColombiaClientes[[#This Row],[Client]],VpsClientes[Client],VpsClientes[VP],"",0)</f>
        <v>Jhonatan Izquierdo Rico</v>
      </c>
      <c r="B799" t="s">
        <v>138</v>
      </c>
      <c r="C799" t="s">
        <v>191</v>
      </c>
      <c r="D799" t="s">
        <v>90</v>
      </c>
      <c r="E799" t="s">
        <v>206</v>
      </c>
      <c r="F799" s="1">
        <v>3337</v>
      </c>
    </row>
    <row r="800" spans="1:6" x14ac:dyDescent="0.3">
      <c r="A800" t="str">
        <f>_xlfn.XLOOKUP(ColombiaClientes[[#This Row],[Client]],VpsClientes[Client],VpsClientes[VP],"",0)</f>
        <v>Carlos Beltran Hernandez</v>
      </c>
      <c r="B800" t="s">
        <v>119</v>
      </c>
      <c r="C800" t="s">
        <v>191</v>
      </c>
      <c r="D800" t="s">
        <v>90</v>
      </c>
      <c r="E800" t="s">
        <v>206</v>
      </c>
      <c r="F800" s="1">
        <v>3143</v>
      </c>
    </row>
    <row r="801" spans="1:6" x14ac:dyDescent="0.3">
      <c r="A801" t="str">
        <f>_xlfn.XLOOKUP(ColombiaClientes[[#This Row],[Client]],VpsClientes[Client],VpsClientes[VP],"",0)</f>
        <v>Martha Guzman Arango</v>
      </c>
      <c r="B801" t="s">
        <v>114</v>
      </c>
      <c r="C801" t="s">
        <v>191</v>
      </c>
      <c r="D801" t="s">
        <v>90</v>
      </c>
      <c r="E801" t="s">
        <v>206</v>
      </c>
      <c r="F801" s="1">
        <v>3124</v>
      </c>
    </row>
    <row r="802" spans="1:6" x14ac:dyDescent="0.3">
      <c r="A802" t="str">
        <f>_xlfn.XLOOKUP(ColombiaClientes[[#This Row],[Client]],VpsClientes[Client],VpsClientes[VP],"",0)</f>
        <v>Hector Muraira Garza</v>
      </c>
      <c r="B802" t="s">
        <v>137</v>
      </c>
      <c r="C802" t="s">
        <v>191</v>
      </c>
      <c r="D802" t="s">
        <v>90</v>
      </c>
      <c r="E802" t="s">
        <v>206</v>
      </c>
      <c r="F802" s="1">
        <v>2973</v>
      </c>
    </row>
    <row r="803" spans="1:6" x14ac:dyDescent="0.3">
      <c r="A803" t="str">
        <f>_xlfn.XLOOKUP(ColombiaClientes[[#This Row],[Client]],VpsClientes[Client],VpsClientes[VP],"",0)</f>
        <v>Juan Granados Castillo</v>
      </c>
      <c r="B803" t="s">
        <v>136</v>
      </c>
      <c r="C803" t="s">
        <v>191</v>
      </c>
      <c r="D803" t="s">
        <v>90</v>
      </c>
      <c r="E803" t="s">
        <v>206</v>
      </c>
      <c r="F803" s="1">
        <v>2819</v>
      </c>
    </row>
    <row r="804" spans="1:6" x14ac:dyDescent="0.3">
      <c r="A804" t="str">
        <f>_xlfn.XLOOKUP(ColombiaClientes[[#This Row],[Client]],VpsClientes[Client],VpsClientes[VP],"",0)</f>
        <v>Maria Forero Jara</v>
      </c>
      <c r="B804" t="s">
        <v>106</v>
      </c>
      <c r="C804" t="s">
        <v>191</v>
      </c>
      <c r="D804" t="s">
        <v>90</v>
      </c>
      <c r="E804" t="s">
        <v>206</v>
      </c>
      <c r="F804" s="1">
        <v>2729</v>
      </c>
    </row>
    <row r="805" spans="1:6" x14ac:dyDescent="0.3">
      <c r="A805" t="str">
        <f>_xlfn.XLOOKUP(ColombiaClientes[[#This Row],[Client]],VpsClientes[Client],VpsClientes[VP],"",0)</f>
        <v>Martha Guzman Arango</v>
      </c>
      <c r="B805" t="s">
        <v>143</v>
      </c>
      <c r="C805" t="s">
        <v>191</v>
      </c>
      <c r="D805" t="s">
        <v>90</v>
      </c>
      <c r="E805" t="s">
        <v>206</v>
      </c>
      <c r="F805" s="1">
        <v>2684</v>
      </c>
    </row>
    <row r="806" spans="1:6" x14ac:dyDescent="0.3">
      <c r="A806" t="str">
        <f>_xlfn.XLOOKUP(ColombiaClientes[[#This Row],[Client]],VpsClientes[Client],VpsClientes[VP],"",0)</f>
        <v>Jhonatan Izquierdo Rico</v>
      </c>
      <c r="B806" t="s">
        <v>126</v>
      </c>
      <c r="C806" t="s">
        <v>191</v>
      </c>
      <c r="D806" t="s">
        <v>90</v>
      </c>
      <c r="E806" t="s">
        <v>206</v>
      </c>
      <c r="F806" s="1">
        <v>2641</v>
      </c>
    </row>
    <row r="807" spans="1:6" x14ac:dyDescent="0.3">
      <c r="A807" t="str">
        <f>_xlfn.XLOOKUP(ColombiaClientes[[#This Row],[Client]],VpsClientes[Client],VpsClientes[VP],"",0)</f>
        <v>Maria Forero Jara</v>
      </c>
      <c r="B807" t="s">
        <v>108</v>
      </c>
      <c r="C807" t="s">
        <v>191</v>
      </c>
      <c r="D807" t="s">
        <v>90</v>
      </c>
      <c r="E807" t="s">
        <v>206</v>
      </c>
      <c r="F807" s="1">
        <v>2609</v>
      </c>
    </row>
    <row r="808" spans="1:6" x14ac:dyDescent="0.3">
      <c r="A808" t="str">
        <f>_xlfn.XLOOKUP(ColombiaClientes[[#This Row],[Client]],VpsClientes[Client],VpsClientes[VP],"",0)</f>
        <v>Martha Guzman Arango</v>
      </c>
      <c r="B808" t="s">
        <v>135</v>
      </c>
      <c r="C808" t="s">
        <v>191</v>
      </c>
      <c r="D808" t="s">
        <v>90</v>
      </c>
      <c r="E808" t="s">
        <v>206</v>
      </c>
      <c r="F808" s="1">
        <v>2140</v>
      </c>
    </row>
    <row r="809" spans="1:6" x14ac:dyDescent="0.3">
      <c r="A809" t="str">
        <f>_xlfn.XLOOKUP(ColombiaClientes[[#This Row],[Client]],VpsClientes[Client],VpsClientes[VP],"",0)</f>
        <v>Carlos Beltran Hernandez</v>
      </c>
      <c r="B809" t="s">
        <v>151</v>
      </c>
      <c r="C809" t="s">
        <v>191</v>
      </c>
      <c r="D809" t="s">
        <v>90</v>
      </c>
      <c r="E809" t="s">
        <v>206</v>
      </c>
      <c r="F809" s="1">
        <v>2094</v>
      </c>
    </row>
    <row r="810" spans="1:6" x14ac:dyDescent="0.3">
      <c r="A810" t="str">
        <f>_xlfn.XLOOKUP(ColombiaClientes[[#This Row],[Client]],VpsClientes[Client],VpsClientes[VP],"",0)</f>
        <v>Maria Forero Jara</v>
      </c>
      <c r="B810" t="s">
        <v>125</v>
      </c>
      <c r="C810" t="s">
        <v>191</v>
      </c>
      <c r="D810" t="s">
        <v>90</v>
      </c>
      <c r="E810" t="s">
        <v>206</v>
      </c>
      <c r="F810" s="1">
        <v>1942</v>
      </c>
    </row>
    <row r="811" spans="1:6" x14ac:dyDescent="0.3">
      <c r="A811" t="str">
        <f>_xlfn.XLOOKUP(ColombiaClientes[[#This Row],[Client]],VpsClientes[Client],VpsClientes[VP],"",0)</f>
        <v>Moises Saavedra Garcia</v>
      </c>
      <c r="B811" t="s">
        <v>115</v>
      </c>
      <c r="C811" t="s">
        <v>191</v>
      </c>
      <c r="D811" t="s">
        <v>90</v>
      </c>
      <c r="E811" t="s">
        <v>206</v>
      </c>
      <c r="F811" s="1">
        <v>1592</v>
      </c>
    </row>
    <row r="812" spans="1:6" x14ac:dyDescent="0.3">
      <c r="A812" t="str">
        <f>_xlfn.XLOOKUP(ColombiaClientes[[#This Row],[Client]],VpsClientes[Client],VpsClientes[VP],"",0)</f>
        <v>Martha Guzman Arango</v>
      </c>
      <c r="B812" t="s">
        <v>109</v>
      </c>
      <c r="C812" t="s">
        <v>191</v>
      </c>
      <c r="D812" t="s">
        <v>90</v>
      </c>
      <c r="E812" t="s">
        <v>206</v>
      </c>
      <c r="F812" s="1">
        <v>1567</v>
      </c>
    </row>
    <row r="813" spans="1:6" x14ac:dyDescent="0.3">
      <c r="A813" t="str">
        <f>_xlfn.XLOOKUP(ColombiaClientes[[#This Row],[Client]],VpsClientes[Client],VpsClientes[VP],"",0)</f>
        <v>Martha Guzman Arango</v>
      </c>
      <c r="B813" t="s">
        <v>118</v>
      </c>
      <c r="C813" t="s">
        <v>191</v>
      </c>
      <c r="D813" t="s">
        <v>90</v>
      </c>
      <c r="E813" t="s">
        <v>206</v>
      </c>
      <c r="F813" s="1">
        <v>1467</v>
      </c>
    </row>
    <row r="814" spans="1:6" x14ac:dyDescent="0.3">
      <c r="A814" t="str">
        <f>_xlfn.XLOOKUP(ColombiaClientes[[#This Row],[Client]],VpsClientes[Client],VpsClientes[VP],"",0)</f>
        <v>Felipe Izquierdo Rico</v>
      </c>
      <c r="B814" t="s">
        <v>177</v>
      </c>
      <c r="C814" t="s">
        <v>191</v>
      </c>
      <c r="D814" t="s">
        <v>219</v>
      </c>
      <c r="E814" t="s">
        <v>91</v>
      </c>
      <c r="F814" s="1">
        <v>79</v>
      </c>
    </row>
    <row r="815" spans="1:6" x14ac:dyDescent="0.3">
      <c r="A815" t="str">
        <f>_xlfn.XLOOKUP(ColombiaClientes[[#This Row],[Client]],VpsClientes[Client],VpsClientes[VP],"",0)</f>
        <v>Moises Saavedra Garcia</v>
      </c>
      <c r="B815" t="s">
        <v>120</v>
      </c>
      <c r="C815" t="s">
        <v>191</v>
      </c>
      <c r="D815" t="s">
        <v>90</v>
      </c>
      <c r="E815" t="s">
        <v>206</v>
      </c>
      <c r="F815" s="1">
        <v>1313</v>
      </c>
    </row>
    <row r="816" spans="1:6" x14ac:dyDescent="0.3">
      <c r="A816" t="str">
        <f>_xlfn.XLOOKUP(ColombiaClientes[[#This Row],[Client]],VpsClientes[Client],VpsClientes[VP],"",0)</f>
        <v>Maria Forero Jara</v>
      </c>
      <c r="B816" t="s">
        <v>139</v>
      </c>
      <c r="C816" t="s">
        <v>191</v>
      </c>
      <c r="D816" t="s">
        <v>90</v>
      </c>
      <c r="E816" t="s">
        <v>206</v>
      </c>
      <c r="F816" s="1">
        <v>1282</v>
      </c>
    </row>
    <row r="817" spans="1:6" x14ac:dyDescent="0.3">
      <c r="A817" t="str">
        <f>_xlfn.XLOOKUP(ColombiaClientes[[#This Row],[Client]],VpsClientes[Client],VpsClientes[VP],"",0)</f>
        <v>Ernesto Rico Zuluaga</v>
      </c>
      <c r="B817" t="s">
        <v>116</v>
      </c>
      <c r="C817" t="s">
        <v>191</v>
      </c>
      <c r="D817" t="s">
        <v>90</v>
      </c>
      <c r="E817" t="s">
        <v>206</v>
      </c>
      <c r="F817" s="1">
        <v>1187</v>
      </c>
    </row>
    <row r="818" spans="1:6" x14ac:dyDescent="0.3">
      <c r="A818" t="str">
        <f>_xlfn.XLOOKUP(ColombiaClientes[[#This Row],[Client]],VpsClientes[Client],VpsClientes[VP],"",0)</f>
        <v>Martha Guzman Arango</v>
      </c>
      <c r="B818" t="s">
        <v>152</v>
      </c>
      <c r="C818" t="s">
        <v>191</v>
      </c>
      <c r="D818" t="s">
        <v>90</v>
      </c>
      <c r="E818" t="s">
        <v>206</v>
      </c>
      <c r="F818" s="1">
        <v>1183</v>
      </c>
    </row>
    <row r="819" spans="1:6" x14ac:dyDescent="0.3">
      <c r="A819" t="str">
        <f>_xlfn.XLOOKUP(ColombiaClientes[[#This Row],[Client]],VpsClientes[Client],VpsClientes[VP],"",0)</f>
        <v>Jhonatan Izquierdo Rico</v>
      </c>
      <c r="B819" t="s">
        <v>157</v>
      </c>
      <c r="C819" t="s">
        <v>191</v>
      </c>
      <c r="D819" t="s">
        <v>90</v>
      </c>
      <c r="E819" t="s">
        <v>206</v>
      </c>
      <c r="F819" s="1">
        <v>1150</v>
      </c>
    </row>
    <row r="820" spans="1:6" x14ac:dyDescent="0.3">
      <c r="A820" t="str">
        <f>_xlfn.XLOOKUP(ColombiaClientes[[#This Row],[Client]],VpsClientes[Client],VpsClientes[VP],"",0)</f>
        <v>Maria Forero Jara</v>
      </c>
      <c r="B820" t="s">
        <v>111</v>
      </c>
      <c r="C820" t="s">
        <v>191</v>
      </c>
      <c r="D820" t="s">
        <v>90</v>
      </c>
      <c r="E820" t="s">
        <v>206</v>
      </c>
      <c r="F820" s="1">
        <v>978</v>
      </c>
    </row>
    <row r="821" spans="1:6" x14ac:dyDescent="0.3">
      <c r="A821" t="str">
        <f>_xlfn.XLOOKUP(ColombiaClientes[[#This Row],[Client]],VpsClientes[Client],VpsClientes[VP],"",0)</f>
        <v>Martha Guzman Arango</v>
      </c>
      <c r="B821" t="s">
        <v>168</v>
      </c>
      <c r="C821" t="s">
        <v>191</v>
      </c>
      <c r="D821" t="s">
        <v>90</v>
      </c>
      <c r="E821" t="s">
        <v>206</v>
      </c>
      <c r="F821" s="1">
        <v>977</v>
      </c>
    </row>
    <row r="822" spans="1:6" x14ac:dyDescent="0.3">
      <c r="A822" t="str">
        <f>_xlfn.XLOOKUP(ColombiaClientes[[#This Row],[Client]],VpsClientes[Client],VpsClientes[VP],"",0)</f>
        <v>Moises Saavedra Garcia</v>
      </c>
      <c r="B822" t="s">
        <v>150</v>
      </c>
      <c r="C822" t="s">
        <v>191</v>
      </c>
      <c r="D822" t="s">
        <v>90</v>
      </c>
      <c r="E822" t="s">
        <v>206</v>
      </c>
      <c r="F822" s="1">
        <v>959</v>
      </c>
    </row>
    <row r="823" spans="1:6" x14ac:dyDescent="0.3">
      <c r="A823" t="str">
        <f>_xlfn.XLOOKUP(ColombiaClientes[[#This Row],[Client]],VpsClientes[Client],VpsClientes[VP],"",0)</f>
        <v>Hector Muraira Garza</v>
      </c>
      <c r="B823" t="s">
        <v>130</v>
      </c>
      <c r="C823" t="s">
        <v>191</v>
      </c>
      <c r="D823" t="s">
        <v>90</v>
      </c>
      <c r="E823" t="s">
        <v>206</v>
      </c>
      <c r="F823" s="1">
        <v>957</v>
      </c>
    </row>
    <row r="824" spans="1:6" x14ac:dyDescent="0.3">
      <c r="A824" t="str">
        <f>_xlfn.XLOOKUP(ColombiaClientes[[#This Row],[Client]],VpsClientes[Client],VpsClientes[VP],"",0)</f>
        <v>Maria Forero Jara</v>
      </c>
      <c r="B824" t="s">
        <v>123</v>
      </c>
      <c r="C824" t="s">
        <v>191</v>
      </c>
      <c r="D824" t="s">
        <v>90</v>
      </c>
      <c r="E824" t="s">
        <v>206</v>
      </c>
      <c r="F824" s="1">
        <v>956</v>
      </c>
    </row>
    <row r="825" spans="1:6" x14ac:dyDescent="0.3">
      <c r="A825" t="str">
        <f>_xlfn.XLOOKUP(ColombiaClientes[[#This Row],[Client]],VpsClientes[Client],VpsClientes[VP],"",0)</f>
        <v>Hector Muraira Garza</v>
      </c>
      <c r="B825" t="s">
        <v>132</v>
      </c>
      <c r="C825" t="s">
        <v>191</v>
      </c>
      <c r="D825" t="s">
        <v>90</v>
      </c>
      <c r="E825" t="s">
        <v>206</v>
      </c>
      <c r="F825" s="1">
        <v>836</v>
      </c>
    </row>
    <row r="826" spans="1:6" x14ac:dyDescent="0.3">
      <c r="A826" t="str">
        <f>_xlfn.XLOOKUP(ColombiaClientes[[#This Row],[Client]],VpsClientes[Client],VpsClientes[VP],"",0)</f>
        <v>Jhonatan Izquierdo Rico</v>
      </c>
      <c r="B826" t="s">
        <v>117</v>
      </c>
      <c r="C826" t="s">
        <v>191</v>
      </c>
      <c r="D826" t="s">
        <v>90</v>
      </c>
      <c r="E826" t="s">
        <v>206</v>
      </c>
      <c r="F826" s="1">
        <v>809</v>
      </c>
    </row>
    <row r="827" spans="1:6" x14ac:dyDescent="0.3">
      <c r="A827" t="str">
        <f>_xlfn.XLOOKUP(ColombiaClientes[[#This Row],[Client]],VpsClientes[Client],VpsClientes[VP],"",0)</f>
        <v>Hector Muraira Garza</v>
      </c>
      <c r="B827" t="s">
        <v>154</v>
      </c>
      <c r="C827" t="s">
        <v>191</v>
      </c>
      <c r="D827" t="s">
        <v>90</v>
      </c>
      <c r="E827" t="s">
        <v>206</v>
      </c>
      <c r="F827" s="1">
        <v>802</v>
      </c>
    </row>
    <row r="828" spans="1:6" x14ac:dyDescent="0.3">
      <c r="A828" t="str">
        <f>_xlfn.XLOOKUP(ColombiaClientes[[#This Row],[Client]],VpsClientes[Client],VpsClientes[VP],"",0)</f>
        <v>Juan Granados Castillo</v>
      </c>
      <c r="B828" t="s">
        <v>134</v>
      </c>
      <c r="C828" t="s">
        <v>191</v>
      </c>
      <c r="D828" t="s">
        <v>90</v>
      </c>
      <c r="E828" t="s">
        <v>206</v>
      </c>
      <c r="F828" s="1">
        <v>740</v>
      </c>
    </row>
    <row r="829" spans="1:6" x14ac:dyDescent="0.3">
      <c r="A829" t="str">
        <f>_xlfn.XLOOKUP(ColombiaClientes[[#This Row],[Client]],VpsClientes[Client],VpsClientes[VP],"",0)</f>
        <v>Martha Guzman Arango</v>
      </c>
      <c r="B829" t="s">
        <v>166</v>
      </c>
      <c r="C829" t="s">
        <v>191</v>
      </c>
      <c r="D829" t="s">
        <v>90</v>
      </c>
      <c r="E829" t="s">
        <v>206</v>
      </c>
      <c r="F829" s="1">
        <v>735</v>
      </c>
    </row>
    <row r="830" spans="1:6" x14ac:dyDescent="0.3">
      <c r="A830" t="str">
        <f>_xlfn.XLOOKUP(ColombiaClientes[[#This Row],[Client]],VpsClientes[Client],VpsClientes[VP],"",0)</f>
        <v>Martha Guzman Arango</v>
      </c>
      <c r="B830" t="s">
        <v>124</v>
      </c>
      <c r="C830" t="s">
        <v>191</v>
      </c>
      <c r="D830" t="s">
        <v>90</v>
      </c>
      <c r="E830" t="s">
        <v>206</v>
      </c>
      <c r="F830" s="1">
        <v>726</v>
      </c>
    </row>
    <row r="831" spans="1:6" x14ac:dyDescent="0.3">
      <c r="A831" t="str">
        <f>_xlfn.XLOOKUP(ColombiaClientes[[#This Row],[Client]],VpsClientes[Client],VpsClientes[VP],"",0)</f>
        <v>Martha Guzman Arango</v>
      </c>
      <c r="B831" t="s">
        <v>185</v>
      </c>
      <c r="C831" t="s">
        <v>191</v>
      </c>
      <c r="D831" t="s">
        <v>90</v>
      </c>
      <c r="E831" t="s">
        <v>206</v>
      </c>
      <c r="F831" s="1">
        <v>697</v>
      </c>
    </row>
    <row r="832" spans="1:6" x14ac:dyDescent="0.3">
      <c r="A832" t="str">
        <f>_xlfn.XLOOKUP(ColombiaClientes[[#This Row],[Client]],VpsClientes[Client],VpsClientes[VP],"",0)</f>
        <v>Moises Saavedra Garcia</v>
      </c>
      <c r="B832" t="s">
        <v>110</v>
      </c>
      <c r="C832" t="s">
        <v>191</v>
      </c>
      <c r="D832" t="s">
        <v>90</v>
      </c>
      <c r="E832" t="s">
        <v>206</v>
      </c>
      <c r="F832" s="1">
        <v>687</v>
      </c>
    </row>
    <row r="833" spans="1:6" x14ac:dyDescent="0.3">
      <c r="A833" t="str">
        <f>_xlfn.XLOOKUP(ColombiaClientes[[#This Row],[Client]],VpsClientes[Client],VpsClientes[VP],"",0)</f>
        <v>Maria Forero Jara</v>
      </c>
      <c r="B833" t="s">
        <v>179</v>
      </c>
      <c r="C833" t="s">
        <v>191</v>
      </c>
      <c r="D833" t="s">
        <v>90</v>
      </c>
      <c r="E833" t="s">
        <v>206</v>
      </c>
      <c r="F833" s="1">
        <v>686</v>
      </c>
    </row>
    <row r="834" spans="1:6" x14ac:dyDescent="0.3">
      <c r="A834" t="str">
        <f>_xlfn.XLOOKUP(ColombiaClientes[[#This Row],[Client]],VpsClientes[Client],VpsClientes[VP],"",0)</f>
        <v>Jhonatan Izquierdo Rico</v>
      </c>
      <c r="B834" t="s">
        <v>129</v>
      </c>
      <c r="C834" t="s">
        <v>191</v>
      </c>
      <c r="D834" t="s">
        <v>90</v>
      </c>
      <c r="E834" t="s">
        <v>206</v>
      </c>
      <c r="F834" s="1">
        <v>661</v>
      </c>
    </row>
    <row r="835" spans="1:6" x14ac:dyDescent="0.3">
      <c r="A835" t="str">
        <f>_xlfn.XLOOKUP(ColombiaClientes[[#This Row],[Client]],VpsClientes[Client],VpsClientes[VP],"",0)</f>
        <v>Juan Granados Castillo</v>
      </c>
      <c r="B835" t="s">
        <v>142</v>
      </c>
      <c r="C835" t="s">
        <v>191</v>
      </c>
      <c r="D835" t="s">
        <v>90</v>
      </c>
      <c r="E835" t="s">
        <v>206</v>
      </c>
      <c r="F835" s="1">
        <v>628</v>
      </c>
    </row>
    <row r="836" spans="1:6" x14ac:dyDescent="0.3">
      <c r="A836" t="str">
        <f>_xlfn.XLOOKUP(ColombiaClientes[[#This Row],[Client]],VpsClientes[Client],VpsClientes[VP],"",0)</f>
        <v>Martha Guzman Arango</v>
      </c>
      <c r="B836" t="s">
        <v>146</v>
      </c>
      <c r="C836" t="s">
        <v>191</v>
      </c>
      <c r="D836" t="s">
        <v>90</v>
      </c>
      <c r="E836" t="s">
        <v>206</v>
      </c>
      <c r="F836" s="1">
        <v>611</v>
      </c>
    </row>
    <row r="837" spans="1:6" x14ac:dyDescent="0.3">
      <c r="A837" t="str">
        <f>_xlfn.XLOOKUP(ColombiaClientes[[#This Row],[Client]],VpsClientes[Client],VpsClientes[VP],"",0)</f>
        <v>Felipe Izquierdo Rico</v>
      </c>
      <c r="B837" t="s">
        <v>177</v>
      </c>
      <c r="C837" t="s">
        <v>192</v>
      </c>
      <c r="D837" t="s">
        <v>219</v>
      </c>
      <c r="E837" t="s">
        <v>91</v>
      </c>
      <c r="F837" s="1">
        <v>109</v>
      </c>
    </row>
    <row r="838" spans="1:6" x14ac:dyDescent="0.3">
      <c r="A838" t="str">
        <f>_xlfn.XLOOKUP(ColombiaClientes[[#This Row],[Client]],VpsClientes[Client],VpsClientes[VP],"",0)</f>
        <v>Ernesto Rico Zuluaga</v>
      </c>
      <c r="B838" t="s">
        <v>121</v>
      </c>
      <c r="C838" t="s">
        <v>191</v>
      </c>
      <c r="D838" t="s">
        <v>90</v>
      </c>
      <c r="E838" t="s">
        <v>206</v>
      </c>
      <c r="F838" s="1">
        <v>508</v>
      </c>
    </row>
    <row r="839" spans="1:6" x14ac:dyDescent="0.3">
      <c r="A839" t="str">
        <f>_xlfn.XLOOKUP(ColombiaClientes[[#This Row],[Client]],VpsClientes[Client],VpsClientes[VP],"",0)</f>
        <v>Maria Forero Jara</v>
      </c>
      <c r="B839" t="s">
        <v>144</v>
      </c>
      <c r="C839" t="s">
        <v>191</v>
      </c>
      <c r="D839" t="s">
        <v>90</v>
      </c>
      <c r="E839" t="s">
        <v>206</v>
      </c>
      <c r="F839" s="1">
        <v>483</v>
      </c>
    </row>
    <row r="840" spans="1:6" x14ac:dyDescent="0.3">
      <c r="A840" t="str">
        <f>_xlfn.XLOOKUP(ColombiaClientes[[#This Row],[Client]],VpsClientes[Client],VpsClientes[VP],"",0)</f>
        <v>Martha Guzman Arango</v>
      </c>
      <c r="B840" t="s">
        <v>170</v>
      </c>
      <c r="C840" t="s">
        <v>191</v>
      </c>
      <c r="D840" t="s">
        <v>90</v>
      </c>
      <c r="E840" t="s">
        <v>206</v>
      </c>
      <c r="F840" s="1">
        <v>477</v>
      </c>
    </row>
    <row r="841" spans="1:6" x14ac:dyDescent="0.3">
      <c r="A841" t="str">
        <f>_xlfn.XLOOKUP(ColombiaClientes[[#This Row],[Client]],VpsClientes[Client],VpsClientes[VP],"",0)</f>
        <v>Martha Guzman Arango</v>
      </c>
      <c r="B841" t="s">
        <v>156</v>
      </c>
      <c r="C841" t="s">
        <v>191</v>
      </c>
      <c r="D841" t="s">
        <v>90</v>
      </c>
      <c r="E841" t="s">
        <v>206</v>
      </c>
      <c r="F841" s="1">
        <v>469</v>
      </c>
    </row>
    <row r="842" spans="1:6" x14ac:dyDescent="0.3">
      <c r="A842" t="str">
        <f>_xlfn.XLOOKUP(ColombiaClientes[[#This Row],[Client]],VpsClientes[Client],VpsClientes[VP],"",0)</f>
        <v>Carlos Beltran Hernandez</v>
      </c>
      <c r="B842" t="s">
        <v>173</v>
      </c>
      <c r="C842" t="s">
        <v>191</v>
      </c>
      <c r="D842" t="s">
        <v>90</v>
      </c>
      <c r="E842" t="s">
        <v>206</v>
      </c>
      <c r="F842" s="1">
        <v>456</v>
      </c>
    </row>
    <row r="843" spans="1:6" x14ac:dyDescent="0.3">
      <c r="A843" t="str">
        <f>_xlfn.XLOOKUP(ColombiaClientes[[#This Row],[Client]],VpsClientes[Client],VpsClientes[VP],"",0)</f>
        <v>Martha Guzman Arango</v>
      </c>
      <c r="B843" t="s">
        <v>148</v>
      </c>
      <c r="C843" t="s">
        <v>191</v>
      </c>
      <c r="D843" t="s">
        <v>90</v>
      </c>
      <c r="E843" t="s">
        <v>206</v>
      </c>
      <c r="F843" s="1">
        <v>395</v>
      </c>
    </row>
    <row r="844" spans="1:6" x14ac:dyDescent="0.3">
      <c r="A844" t="str">
        <f>_xlfn.XLOOKUP(ColombiaClientes[[#This Row],[Client]],VpsClientes[Client],VpsClientes[VP],"",0)</f>
        <v>Juan Granados Castillo</v>
      </c>
      <c r="B844" t="s">
        <v>149</v>
      </c>
      <c r="C844" t="s">
        <v>191</v>
      </c>
      <c r="D844" t="s">
        <v>90</v>
      </c>
      <c r="E844" t="s">
        <v>206</v>
      </c>
      <c r="F844" s="1">
        <v>379</v>
      </c>
    </row>
    <row r="845" spans="1:6" x14ac:dyDescent="0.3">
      <c r="A845" t="str">
        <f>_xlfn.XLOOKUP(ColombiaClientes[[#This Row],[Client]],VpsClientes[Client],VpsClientes[VP],"",0)</f>
        <v>Martha Guzman Arango</v>
      </c>
      <c r="B845" t="s">
        <v>162</v>
      </c>
      <c r="C845" t="s">
        <v>191</v>
      </c>
      <c r="D845" t="s">
        <v>90</v>
      </c>
      <c r="E845" t="s">
        <v>206</v>
      </c>
      <c r="F845" s="1">
        <v>332</v>
      </c>
    </row>
    <row r="846" spans="1:6" x14ac:dyDescent="0.3">
      <c r="A846" t="str">
        <f>_xlfn.XLOOKUP(ColombiaClientes[[#This Row],[Client]],VpsClientes[Client],VpsClientes[VP],"",0)</f>
        <v>Martha Guzman Arango</v>
      </c>
      <c r="B846" t="s">
        <v>145</v>
      </c>
      <c r="C846" t="s">
        <v>191</v>
      </c>
      <c r="D846" t="s">
        <v>90</v>
      </c>
      <c r="E846" t="s">
        <v>206</v>
      </c>
      <c r="F846" s="1">
        <v>327</v>
      </c>
    </row>
    <row r="847" spans="1:6" x14ac:dyDescent="0.3">
      <c r="A847" t="str">
        <f>_xlfn.XLOOKUP(ColombiaClientes[[#This Row],[Client]],VpsClientes[Client],VpsClientes[VP],"",0)</f>
        <v>Martha Guzman Arango</v>
      </c>
      <c r="B847" t="s">
        <v>171</v>
      </c>
      <c r="C847" t="s">
        <v>191</v>
      </c>
      <c r="D847" t="s">
        <v>90</v>
      </c>
      <c r="E847" t="s">
        <v>206</v>
      </c>
      <c r="F847" s="1">
        <v>322</v>
      </c>
    </row>
    <row r="848" spans="1:6" x14ac:dyDescent="0.3">
      <c r="A848" t="str">
        <f>_xlfn.XLOOKUP(ColombiaClientes[[#This Row],[Client]],VpsClientes[Client],VpsClientes[VP],"",0)</f>
        <v>Jhonatan Izquierdo Rico</v>
      </c>
      <c r="B848" t="s">
        <v>159</v>
      </c>
      <c r="C848" t="s">
        <v>191</v>
      </c>
      <c r="D848" t="s">
        <v>90</v>
      </c>
      <c r="E848" t="s">
        <v>206</v>
      </c>
      <c r="F848" s="1">
        <v>310</v>
      </c>
    </row>
    <row r="849" spans="1:6" x14ac:dyDescent="0.3">
      <c r="A849" t="str">
        <f>_xlfn.XLOOKUP(ColombiaClientes[[#This Row],[Client]],VpsClientes[Client],VpsClientes[VP],"",0)</f>
        <v>Martha Guzman Arango</v>
      </c>
      <c r="B849" t="s">
        <v>153</v>
      </c>
      <c r="C849" t="s">
        <v>191</v>
      </c>
      <c r="D849" t="s">
        <v>90</v>
      </c>
      <c r="E849" t="s">
        <v>206</v>
      </c>
      <c r="F849" s="1">
        <v>306</v>
      </c>
    </row>
    <row r="850" spans="1:6" x14ac:dyDescent="0.3">
      <c r="A850" t="str">
        <f>_xlfn.XLOOKUP(ColombiaClientes[[#This Row],[Client]],VpsClientes[Client],VpsClientes[VP],"",0)</f>
        <v>Felipe Izquierdo Rico</v>
      </c>
      <c r="B850" t="s">
        <v>177</v>
      </c>
      <c r="C850" t="s">
        <v>194</v>
      </c>
      <c r="D850" t="s">
        <v>219</v>
      </c>
      <c r="E850" t="s">
        <v>91</v>
      </c>
      <c r="F850" s="1">
        <v>144</v>
      </c>
    </row>
    <row r="851" spans="1:6" x14ac:dyDescent="0.3">
      <c r="A851" t="str">
        <f>_xlfn.XLOOKUP(ColombiaClientes[[#This Row],[Client]],VpsClientes[Client],VpsClientes[VP],"",0)</f>
        <v>Maria Forero Jara</v>
      </c>
      <c r="B851" t="s">
        <v>182</v>
      </c>
      <c r="C851" t="s">
        <v>191</v>
      </c>
      <c r="D851" t="s">
        <v>90</v>
      </c>
      <c r="E851" t="s">
        <v>206</v>
      </c>
      <c r="F851" s="1">
        <v>286</v>
      </c>
    </row>
    <row r="852" spans="1:6" x14ac:dyDescent="0.3">
      <c r="A852" t="str">
        <f>_xlfn.XLOOKUP(ColombiaClientes[[#This Row],[Client]],VpsClientes[Client],VpsClientes[VP],"",0)</f>
        <v>Moises Saavedra Garcia</v>
      </c>
      <c r="B852" t="s">
        <v>172</v>
      </c>
      <c r="C852" t="s">
        <v>191</v>
      </c>
      <c r="D852" t="s">
        <v>90</v>
      </c>
      <c r="E852" t="s">
        <v>206</v>
      </c>
      <c r="F852" s="1">
        <v>272</v>
      </c>
    </row>
    <row r="853" spans="1:6" x14ac:dyDescent="0.3">
      <c r="A853" t="str">
        <f>_xlfn.XLOOKUP(ColombiaClientes[[#This Row],[Client]],VpsClientes[Client],VpsClientes[VP],"",0)</f>
        <v>Moises Saavedra Garcia</v>
      </c>
      <c r="B853" t="s">
        <v>190</v>
      </c>
      <c r="C853" t="s">
        <v>191</v>
      </c>
      <c r="D853" t="s">
        <v>90</v>
      </c>
      <c r="E853" t="s">
        <v>206</v>
      </c>
      <c r="F853" s="1">
        <v>245</v>
      </c>
    </row>
    <row r="854" spans="1:6" x14ac:dyDescent="0.3">
      <c r="A854" t="str">
        <f>_xlfn.XLOOKUP(ColombiaClientes[[#This Row],[Client]],VpsClientes[Client],VpsClientes[VP],"",0)</f>
        <v>Hector Muraira Garza</v>
      </c>
      <c r="B854" t="s">
        <v>140</v>
      </c>
      <c r="C854" t="s">
        <v>191</v>
      </c>
      <c r="D854" t="s">
        <v>90</v>
      </c>
      <c r="E854" t="s">
        <v>206</v>
      </c>
      <c r="F854" s="1">
        <v>241</v>
      </c>
    </row>
    <row r="855" spans="1:6" x14ac:dyDescent="0.3">
      <c r="A855" t="str">
        <f>_xlfn.XLOOKUP(ColombiaClientes[[#This Row],[Client]],VpsClientes[Client],VpsClientes[VP],"",0)</f>
        <v>Martha Guzman Arango</v>
      </c>
      <c r="B855" t="s">
        <v>131</v>
      </c>
      <c r="C855" t="s">
        <v>191</v>
      </c>
      <c r="D855" t="s">
        <v>90</v>
      </c>
      <c r="E855" t="s">
        <v>206</v>
      </c>
      <c r="F855" s="1">
        <v>232</v>
      </c>
    </row>
    <row r="856" spans="1:6" x14ac:dyDescent="0.3">
      <c r="A856" t="str">
        <f>_xlfn.XLOOKUP(ColombiaClientes[[#This Row],[Client]],VpsClientes[Client],VpsClientes[VP],"",0)</f>
        <v>Moises Saavedra Garcia</v>
      </c>
      <c r="B856" t="s">
        <v>175</v>
      </c>
      <c r="C856" t="s">
        <v>191</v>
      </c>
      <c r="D856" t="s">
        <v>90</v>
      </c>
      <c r="E856" t="s">
        <v>206</v>
      </c>
      <c r="F856" s="1">
        <v>227</v>
      </c>
    </row>
    <row r="857" spans="1:6" x14ac:dyDescent="0.3">
      <c r="A857" t="str">
        <f>_xlfn.XLOOKUP(ColombiaClientes[[#This Row],[Client]],VpsClientes[Client],VpsClientes[VP],"",0)</f>
        <v>Maria Forero Jara</v>
      </c>
      <c r="B857" t="s">
        <v>163</v>
      </c>
      <c r="C857" t="s">
        <v>191</v>
      </c>
      <c r="D857" t="s">
        <v>90</v>
      </c>
      <c r="E857" t="s">
        <v>206</v>
      </c>
      <c r="F857" s="1">
        <v>217</v>
      </c>
    </row>
    <row r="858" spans="1:6" x14ac:dyDescent="0.3">
      <c r="A858" t="str">
        <f>_xlfn.XLOOKUP(ColombiaClientes[[#This Row],[Client]],VpsClientes[Client],VpsClientes[VP],"",0)</f>
        <v>Martha Guzman Arango</v>
      </c>
      <c r="B858" t="s">
        <v>155</v>
      </c>
      <c r="C858" t="s">
        <v>191</v>
      </c>
      <c r="D858" t="s">
        <v>90</v>
      </c>
      <c r="E858" t="s">
        <v>206</v>
      </c>
      <c r="F858" s="1">
        <v>180</v>
      </c>
    </row>
    <row r="859" spans="1:6" x14ac:dyDescent="0.3">
      <c r="A859" t="str">
        <f>_xlfn.XLOOKUP(ColombiaClientes[[#This Row],[Client]],VpsClientes[Client],VpsClientes[VP],"",0)</f>
        <v>Felipe Izquierdo Rico</v>
      </c>
      <c r="B859" t="s">
        <v>177</v>
      </c>
      <c r="C859" t="s">
        <v>202</v>
      </c>
      <c r="D859" t="s">
        <v>219</v>
      </c>
      <c r="E859" t="s">
        <v>91</v>
      </c>
      <c r="F859" s="1">
        <v>71</v>
      </c>
    </row>
    <row r="860" spans="1:6" x14ac:dyDescent="0.3">
      <c r="A860" t="str">
        <f>_xlfn.XLOOKUP(ColombiaClientes[[#This Row],[Client]],VpsClientes[Client],VpsClientes[VP],"",0)</f>
        <v>Martha Guzman Arango</v>
      </c>
      <c r="B860" t="s">
        <v>165</v>
      </c>
      <c r="C860" t="s">
        <v>191</v>
      </c>
      <c r="D860" t="s">
        <v>90</v>
      </c>
      <c r="E860" t="s">
        <v>206</v>
      </c>
      <c r="F860" s="1">
        <v>151</v>
      </c>
    </row>
    <row r="861" spans="1:6" x14ac:dyDescent="0.3">
      <c r="A861" t="str">
        <f>_xlfn.XLOOKUP(ColombiaClientes[[#This Row],[Client]],VpsClientes[Client],VpsClientes[VP],"",0)</f>
        <v>Jhonatan Izquierdo Rico</v>
      </c>
      <c r="B861" t="s">
        <v>196</v>
      </c>
      <c r="C861" t="s">
        <v>191</v>
      </c>
      <c r="D861" t="s">
        <v>90</v>
      </c>
      <c r="E861" t="s">
        <v>206</v>
      </c>
      <c r="F861" s="1">
        <v>140</v>
      </c>
    </row>
    <row r="862" spans="1:6" x14ac:dyDescent="0.3">
      <c r="A862" t="str">
        <f>_xlfn.XLOOKUP(ColombiaClientes[[#This Row],[Client]],VpsClientes[Client],VpsClientes[VP],"",0)</f>
        <v>Martha Guzman Arango</v>
      </c>
      <c r="B862" t="s">
        <v>169</v>
      </c>
      <c r="C862" t="s">
        <v>191</v>
      </c>
      <c r="D862" t="s">
        <v>90</v>
      </c>
      <c r="E862" t="s">
        <v>206</v>
      </c>
      <c r="F862" s="1">
        <v>139</v>
      </c>
    </row>
    <row r="863" spans="1:6" x14ac:dyDescent="0.3">
      <c r="A863" t="str">
        <f>_xlfn.XLOOKUP(ColombiaClientes[[#This Row],[Client]],VpsClientes[Client],VpsClientes[VP],"",0)</f>
        <v>Felipe Izquierdo Rico</v>
      </c>
      <c r="B863" t="s">
        <v>177</v>
      </c>
      <c r="C863" t="s">
        <v>203</v>
      </c>
      <c r="D863" t="s">
        <v>219</v>
      </c>
      <c r="E863" t="s">
        <v>91</v>
      </c>
      <c r="F863" s="1">
        <v>61</v>
      </c>
    </row>
    <row r="864" spans="1:6" x14ac:dyDescent="0.3">
      <c r="A864" t="str">
        <f>_xlfn.XLOOKUP(ColombiaClientes[[#This Row],[Client]],VpsClientes[Client],VpsClientes[VP],"",0)</f>
        <v>Felipe Izquierdo Rico</v>
      </c>
      <c r="B864" t="s">
        <v>177</v>
      </c>
      <c r="C864" t="s">
        <v>205</v>
      </c>
      <c r="D864" t="s">
        <v>219</v>
      </c>
      <c r="E864" t="s">
        <v>91</v>
      </c>
      <c r="F864" s="1">
        <v>61</v>
      </c>
    </row>
    <row r="865" spans="1:6" x14ac:dyDescent="0.3">
      <c r="A865" t="str">
        <f>_xlfn.XLOOKUP(ColombiaClientes[[#This Row],[Client]],VpsClientes[Client],VpsClientes[VP],"",0)</f>
        <v>Martha Guzman Arango</v>
      </c>
      <c r="B865" t="s">
        <v>186</v>
      </c>
      <c r="C865" t="s">
        <v>191</v>
      </c>
      <c r="D865" t="s">
        <v>90</v>
      </c>
      <c r="E865" t="s">
        <v>206</v>
      </c>
      <c r="F865" s="1">
        <v>85</v>
      </c>
    </row>
    <row r="866" spans="1:6" x14ac:dyDescent="0.3">
      <c r="A866" t="str">
        <f>_xlfn.XLOOKUP(ColombiaClientes[[#This Row],[Client]],VpsClientes[Client],VpsClientes[VP],"",0)</f>
        <v>Maria Forero Jara</v>
      </c>
      <c r="B866" t="s">
        <v>161</v>
      </c>
      <c r="C866" t="s">
        <v>191</v>
      </c>
      <c r="D866" t="s">
        <v>90</v>
      </c>
      <c r="E866" t="s">
        <v>206</v>
      </c>
      <c r="F866" s="1">
        <v>81</v>
      </c>
    </row>
    <row r="867" spans="1:6" x14ac:dyDescent="0.3">
      <c r="A867" t="str">
        <f>_xlfn.XLOOKUP(ColombiaClientes[[#This Row],[Client]],VpsClientes[Client],VpsClientes[VP],"",0)</f>
        <v>Martha Guzman Arango</v>
      </c>
      <c r="B867" t="s">
        <v>180</v>
      </c>
      <c r="C867" t="s">
        <v>191</v>
      </c>
      <c r="D867" t="s">
        <v>90</v>
      </c>
      <c r="E867" t="s">
        <v>206</v>
      </c>
      <c r="F867" s="1">
        <v>66</v>
      </c>
    </row>
    <row r="868" spans="1:6" x14ac:dyDescent="0.3">
      <c r="A868" t="str">
        <f>_xlfn.XLOOKUP(ColombiaClientes[[#This Row],[Client]],VpsClientes[Client],VpsClientes[VP],"",0)</f>
        <v>Martha Guzman Arango</v>
      </c>
      <c r="B868" t="s">
        <v>183</v>
      </c>
      <c r="C868" t="s">
        <v>191</v>
      </c>
      <c r="D868" t="s">
        <v>90</v>
      </c>
      <c r="E868" t="s">
        <v>206</v>
      </c>
      <c r="F868" s="1">
        <v>64</v>
      </c>
    </row>
    <row r="869" spans="1:6" x14ac:dyDescent="0.3">
      <c r="A869" t="str">
        <f>_xlfn.XLOOKUP(ColombiaClientes[[#This Row],[Client]],VpsClientes[Client],VpsClientes[VP],"",0)</f>
        <v>Carlos Beltran Hernandez</v>
      </c>
      <c r="B869" t="s">
        <v>158</v>
      </c>
      <c r="C869" t="s">
        <v>191</v>
      </c>
      <c r="D869" t="s">
        <v>90</v>
      </c>
      <c r="E869" t="s">
        <v>206</v>
      </c>
      <c r="F869" s="1">
        <v>58</v>
      </c>
    </row>
    <row r="870" spans="1:6" x14ac:dyDescent="0.3">
      <c r="A870" t="str">
        <f>_xlfn.XLOOKUP(ColombiaClientes[[#This Row],[Client]],VpsClientes[Client],VpsClientes[VP],"",0)</f>
        <v>Hector Muraira Garza</v>
      </c>
      <c r="B870" t="s">
        <v>164</v>
      </c>
      <c r="C870" t="s">
        <v>191</v>
      </c>
      <c r="D870" t="s">
        <v>90</v>
      </c>
      <c r="E870" t="s">
        <v>206</v>
      </c>
      <c r="F870" s="1">
        <v>54</v>
      </c>
    </row>
    <row r="871" spans="1:6" x14ac:dyDescent="0.3">
      <c r="A871" t="str">
        <f>_xlfn.XLOOKUP(ColombiaClientes[[#This Row],[Client]],VpsClientes[Client],VpsClientes[VP],"",0)</f>
        <v>Martha Guzman Arango</v>
      </c>
      <c r="B871" t="s">
        <v>188</v>
      </c>
      <c r="C871" t="s">
        <v>191</v>
      </c>
      <c r="D871" t="s">
        <v>90</v>
      </c>
      <c r="E871" t="s">
        <v>206</v>
      </c>
      <c r="F871" s="1">
        <v>52</v>
      </c>
    </row>
    <row r="872" spans="1:6" x14ac:dyDescent="0.3">
      <c r="A872" t="str">
        <f>_xlfn.XLOOKUP(ColombiaClientes[[#This Row],[Client]],VpsClientes[Client],VpsClientes[VP],"",0)</f>
        <v>Martha Guzman Arango</v>
      </c>
      <c r="B872" t="s">
        <v>174</v>
      </c>
      <c r="C872" t="s">
        <v>191</v>
      </c>
      <c r="D872" t="s">
        <v>90</v>
      </c>
      <c r="E872" t="s">
        <v>206</v>
      </c>
      <c r="F872" s="1">
        <v>50</v>
      </c>
    </row>
    <row r="873" spans="1:6" x14ac:dyDescent="0.3">
      <c r="A873" t="str">
        <f>_xlfn.XLOOKUP(ColombiaClientes[[#This Row],[Client]],VpsClientes[Client],VpsClientes[VP],"",0)</f>
        <v>Martha Guzman Arango</v>
      </c>
      <c r="B873" t="s">
        <v>176</v>
      </c>
      <c r="C873" t="s">
        <v>191</v>
      </c>
      <c r="D873" t="s">
        <v>90</v>
      </c>
      <c r="E873" t="s">
        <v>206</v>
      </c>
      <c r="F873" s="1">
        <v>48</v>
      </c>
    </row>
    <row r="874" spans="1:6" x14ac:dyDescent="0.3">
      <c r="A874" t="str">
        <f>_xlfn.XLOOKUP(ColombiaClientes[[#This Row],[Client]],VpsClientes[Client],VpsClientes[VP],"",0)</f>
        <v>Felipe Izquierdo Rico</v>
      </c>
      <c r="B874" t="s">
        <v>177</v>
      </c>
      <c r="C874" t="s">
        <v>92</v>
      </c>
      <c r="D874" t="s">
        <v>219</v>
      </c>
      <c r="E874" t="s">
        <v>206</v>
      </c>
      <c r="F874" s="1">
        <v>61</v>
      </c>
    </row>
    <row r="875" spans="1:6" x14ac:dyDescent="0.3">
      <c r="A875" t="str">
        <f>_xlfn.XLOOKUP(ColombiaClientes[[#This Row],[Client]],VpsClientes[Client],VpsClientes[VP],"",0)</f>
        <v>Hector Muraira Garza</v>
      </c>
      <c r="B875" t="s">
        <v>167</v>
      </c>
      <c r="C875" t="s">
        <v>191</v>
      </c>
      <c r="D875" t="s">
        <v>90</v>
      </c>
      <c r="E875" t="s">
        <v>206</v>
      </c>
      <c r="F875" s="1">
        <v>40</v>
      </c>
    </row>
    <row r="876" spans="1:6" x14ac:dyDescent="0.3">
      <c r="A876" t="str">
        <f>_xlfn.XLOOKUP(ColombiaClientes[[#This Row],[Client]],VpsClientes[Client],VpsClientes[VP],"",0)</f>
        <v>Felipe Izquierdo Rico</v>
      </c>
      <c r="B876" t="s">
        <v>177</v>
      </c>
      <c r="C876" t="s">
        <v>191</v>
      </c>
      <c r="D876" t="s">
        <v>219</v>
      </c>
      <c r="E876" t="s">
        <v>206</v>
      </c>
      <c r="F876" s="1">
        <v>5</v>
      </c>
    </row>
    <row r="877" spans="1:6" x14ac:dyDescent="0.3">
      <c r="A877" t="str">
        <f>_xlfn.XLOOKUP(ColombiaClientes[[#This Row],[Client]],VpsClientes[Client],VpsClientes[VP],"",0)</f>
        <v>Moises Saavedra Garcia</v>
      </c>
      <c r="B877" t="s">
        <v>187</v>
      </c>
      <c r="C877" t="s">
        <v>191</v>
      </c>
      <c r="D877" t="s">
        <v>90</v>
      </c>
      <c r="E877" t="s">
        <v>206</v>
      </c>
      <c r="F877" s="1">
        <v>17</v>
      </c>
    </row>
    <row r="878" spans="1:6" x14ac:dyDescent="0.3">
      <c r="A878" t="str">
        <f>_xlfn.XLOOKUP(ColombiaClientes[[#This Row],[Client]],VpsClientes[Client],VpsClientes[VP],"",0)</f>
        <v>Martha Guzman Arango</v>
      </c>
      <c r="B878" t="s">
        <v>189</v>
      </c>
      <c r="C878" t="s">
        <v>191</v>
      </c>
      <c r="D878" t="s">
        <v>90</v>
      </c>
      <c r="E878" t="s">
        <v>206</v>
      </c>
      <c r="F878" s="1">
        <v>0</v>
      </c>
    </row>
    <row r="879" spans="1:6" x14ac:dyDescent="0.3">
      <c r="A879" t="str">
        <f>_xlfn.XLOOKUP(ColombiaClientes[[#This Row],[Client]],VpsClientes[Client],VpsClientes[VP],"",0)</f>
        <v>Moises Saavedra Garcia</v>
      </c>
      <c r="B879" t="s">
        <v>99</v>
      </c>
      <c r="C879" t="s">
        <v>192</v>
      </c>
      <c r="D879" t="s">
        <v>90</v>
      </c>
      <c r="E879" t="s">
        <v>206</v>
      </c>
      <c r="F879" s="1">
        <v>28650</v>
      </c>
    </row>
    <row r="880" spans="1:6" x14ac:dyDescent="0.3">
      <c r="A880" t="str">
        <f>_xlfn.XLOOKUP(ColombiaClientes[[#This Row],[Client]],VpsClientes[Client],VpsClientes[VP],"",0)</f>
        <v>Carlos Beltran Hernandez</v>
      </c>
      <c r="B880" t="s">
        <v>94</v>
      </c>
      <c r="C880" t="s">
        <v>192</v>
      </c>
      <c r="D880" t="s">
        <v>90</v>
      </c>
      <c r="E880" t="s">
        <v>206</v>
      </c>
      <c r="F880" s="1">
        <v>24233</v>
      </c>
    </row>
    <row r="881" spans="1:6" x14ac:dyDescent="0.3">
      <c r="A881" t="str">
        <f>_xlfn.XLOOKUP(ColombiaClientes[[#This Row],[Client]],VpsClientes[Client],VpsClientes[VP],"",0)</f>
        <v>Carlos Beltran Hernandez</v>
      </c>
      <c r="B881" t="s">
        <v>93</v>
      </c>
      <c r="C881" t="s">
        <v>192</v>
      </c>
      <c r="D881" t="s">
        <v>90</v>
      </c>
      <c r="E881" t="s">
        <v>206</v>
      </c>
      <c r="F881" s="1">
        <v>20690</v>
      </c>
    </row>
    <row r="882" spans="1:6" x14ac:dyDescent="0.3">
      <c r="A882" t="str">
        <f>_xlfn.XLOOKUP(ColombiaClientes[[#This Row],[Client]],VpsClientes[Client],VpsClientes[VP],"",0)</f>
        <v>Jhonatan Izquierdo Rico</v>
      </c>
      <c r="B882" t="s">
        <v>104</v>
      </c>
      <c r="C882" t="s">
        <v>192</v>
      </c>
      <c r="D882" t="s">
        <v>90</v>
      </c>
      <c r="E882" t="s">
        <v>206</v>
      </c>
      <c r="F882" s="1">
        <v>20573</v>
      </c>
    </row>
    <row r="883" spans="1:6" x14ac:dyDescent="0.3">
      <c r="A883" t="str">
        <f>_xlfn.XLOOKUP(ColombiaClientes[[#This Row],[Client]],VpsClientes[Client],VpsClientes[VP],"",0)</f>
        <v>Jhonatan Izquierdo Rico</v>
      </c>
      <c r="B883" t="s">
        <v>128</v>
      </c>
      <c r="C883" t="s">
        <v>192</v>
      </c>
      <c r="D883" t="s">
        <v>90</v>
      </c>
      <c r="E883" t="s">
        <v>206</v>
      </c>
      <c r="F883" s="1">
        <v>17480</v>
      </c>
    </row>
    <row r="884" spans="1:6" x14ac:dyDescent="0.3">
      <c r="A884" t="str">
        <f>_xlfn.XLOOKUP(ColombiaClientes[[#This Row],[Client]],VpsClientes[Client],VpsClientes[VP],"",0)</f>
        <v>Martha Guzman Arango</v>
      </c>
      <c r="B884" t="s">
        <v>96</v>
      </c>
      <c r="C884" t="s">
        <v>192</v>
      </c>
      <c r="D884" t="s">
        <v>90</v>
      </c>
      <c r="E884" t="s">
        <v>206</v>
      </c>
      <c r="F884" s="1">
        <v>17134</v>
      </c>
    </row>
    <row r="885" spans="1:6" x14ac:dyDescent="0.3">
      <c r="A885" t="str">
        <f>_xlfn.XLOOKUP(ColombiaClientes[[#This Row],[Client]],VpsClientes[Client],VpsClientes[VP],"",0)</f>
        <v>Martha Guzman Arango</v>
      </c>
      <c r="B885" t="s">
        <v>98</v>
      </c>
      <c r="C885" t="s">
        <v>192</v>
      </c>
      <c r="D885" t="s">
        <v>90</v>
      </c>
      <c r="E885" t="s">
        <v>206</v>
      </c>
      <c r="F885" s="1">
        <v>16459</v>
      </c>
    </row>
    <row r="886" spans="1:6" x14ac:dyDescent="0.3">
      <c r="A886" t="str">
        <f>_xlfn.XLOOKUP(ColombiaClientes[[#This Row],[Client]],VpsClientes[Client],VpsClientes[VP],"",0)</f>
        <v>Martha Guzman Arango</v>
      </c>
      <c r="B886" t="s">
        <v>100</v>
      </c>
      <c r="C886" t="s">
        <v>192</v>
      </c>
      <c r="D886" t="s">
        <v>90</v>
      </c>
      <c r="E886" t="s">
        <v>206</v>
      </c>
      <c r="F886" s="1">
        <v>14994</v>
      </c>
    </row>
    <row r="887" spans="1:6" x14ac:dyDescent="0.3">
      <c r="A887" t="str">
        <f>_xlfn.XLOOKUP(ColombiaClientes[[#This Row],[Client]],VpsClientes[Client],VpsClientes[VP],"",0)</f>
        <v>Carlos Castillo Figueroa</v>
      </c>
      <c r="B887" t="s">
        <v>105</v>
      </c>
      <c r="C887" t="s">
        <v>192</v>
      </c>
      <c r="D887" t="s">
        <v>90</v>
      </c>
      <c r="E887" t="s">
        <v>206</v>
      </c>
      <c r="F887" s="1">
        <v>14105</v>
      </c>
    </row>
    <row r="888" spans="1:6" x14ac:dyDescent="0.3">
      <c r="A888" t="str">
        <f>_xlfn.XLOOKUP(ColombiaClientes[[#This Row],[Client]],VpsClientes[Client],VpsClientes[VP],"",0)</f>
        <v>Maria Forero Jara</v>
      </c>
      <c r="B888" t="s">
        <v>101</v>
      </c>
      <c r="C888" t="s">
        <v>192</v>
      </c>
      <c r="D888" t="s">
        <v>90</v>
      </c>
      <c r="E888" t="s">
        <v>206</v>
      </c>
      <c r="F888" s="1">
        <v>11400</v>
      </c>
    </row>
    <row r="889" spans="1:6" x14ac:dyDescent="0.3">
      <c r="A889" t="str">
        <f>_xlfn.XLOOKUP(ColombiaClientes[[#This Row],[Client]],VpsClientes[Client],VpsClientes[VP],"",0)</f>
        <v>Jhonatan Izquierdo Rico</v>
      </c>
      <c r="B889" t="s">
        <v>107</v>
      </c>
      <c r="C889" t="s">
        <v>192</v>
      </c>
      <c r="D889" t="s">
        <v>90</v>
      </c>
      <c r="E889" t="s">
        <v>206</v>
      </c>
      <c r="F889" s="1">
        <v>9671</v>
      </c>
    </row>
    <row r="890" spans="1:6" x14ac:dyDescent="0.3">
      <c r="A890" t="str">
        <f>_xlfn.XLOOKUP(ColombiaClientes[[#This Row],[Client]],VpsClientes[Client],VpsClientes[VP],"",0)</f>
        <v>Martha Guzman Arango</v>
      </c>
      <c r="B890" t="s">
        <v>103</v>
      </c>
      <c r="C890" t="s">
        <v>192</v>
      </c>
      <c r="D890" t="s">
        <v>90</v>
      </c>
      <c r="E890" t="s">
        <v>206</v>
      </c>
      <c r="F890" s="1">
        <v>8357</v>
      </c>
    </row>
    <row r="891" spans="1:6" x14ac:dyDescent="0.3">
      <c r="A891" t="str">
        <f>_xlfn.XLOOKUP(ColombiaClientes[[#This Row],[Client]],VpsClientes[Client],VpsClientes[VP],"",0)</f>
        <v>Ludy Torres Benitez</v>
      </c>
      <c r="B891" t="s">
        <v>95</v>
      </c>
      <c r="C891" t="s">
        <v>192</v>
      </c>
      <c r="D891" t="s">
        <v>90</v>
      </c>
      <c r="E891" t="s">
        <v>206</v>
      </c>
      <c r="F891" s="1">
        <v>8066</v>
      </c>
    </row>
    <row r="892" spans="1:6" x14ac:dyDescent="0.3">
      <c r="A892" t="str">
        <f>_xlfn.XLOOKUP(ColombiaClientes[[#This Row],[Client]],VpsClientes[Client],VpsClientes[VP],"",0)</f>
        <v>Carlos Beltran Hernandez</v>
      </c>
      <c r="B892" t="s">
        <v>102</v>
      </c>
      <c r="C892" t="s">
        <v>192</v>
      </c>
      <c r="D892" t="s">
        <v>90</v>
      </c>
      <c r="E892" t="s">
        <v>206</v>
      </c>
      <c r="F892" s="1">
        <v>8065</v>
      </c>
    </row>
    <row r="893" spans="1:6" x14ac:dyDescent="0.3">
      <c r="A893" t="str">
        <f>_xlfn.XLOOKUP(ColombiaClientes[[#This Row],[Client]],VpsClientes[Client],VpsClientes[VP],"",0)</f>
        <v>Jhonatan Izquierdo Rico</v>
      </c>
      <c r="B893" t="s">
        <v>112</v>
      </c>
      <c r="C893" t="s">
        <v>192</v>
      </c>
      <c r="D893" t="s">
        <v>90</v>
      </c>
      <c r="E893" t="s">
        <v>206</v>
      </c>
      <c r="F893" s="1">
        <v>7784</v>
      </c>
    </row>
    <row r="894" spans="1:6" x14ac:dyDescent="0.3">
      <c r="A894" t="str">
        <f>_xlfn.XLOOKUP(ColombiaClientes[[#This Row],[Client]],VpsClientes[Client],VpsClientes[VP],"",0)</f>
        <v>Sandra Romero Zuluaga</v>
      </c>
      <c r="B894" t="s">
        <v>113</v>
      </c>
      <c r="C894" t="s">
        <v>192</v>
      </c>
      <c r="D894" t="s">
        <v>90</v>
      </c>
      <c r="E894" t="s">
        <v>206</v>
      </c>
      <c r="F894" s="1">
        <v>7531</v>
      </c>
    </row>
    <row r="895" spans="1:6" x14ac:dyDescent="0.3">
      <c r="A895" t="str">
        <f>_xlfn.XLOOKUP(ColombiaClientes[[#This Row],[Client]],VpsClientes[Client],VpsClientes[VP],"",0)</f>
        <v>Martha Guzman Arango</v>
      </c>
      <c r="B895" t="s">
        <v>97</v>
      </c>
      <c r="C895" t="s">
        <v>192</v>
      </c>
      <c r="D895" t="s">
        <v>90</v>
      </c>
      <c r="E895" t="s">
        <v>206</v>
      </c>
      <c r="F895" s="1">
        <v>5744</v>
      </c>
    </row>
    <row r="896" spans="1:6" x14ac:dyDescent="0.3">
      <c r="A896" t="str">
        <f>_xlfn.XLOOKUP(ColombiaClientes[[#This Row],[Client]],VpsClientes[Client],VpsClientes[VP],"",0)</f>
        <v>Martha Guzman Arango</v>
      </c>
      <c r="B896" t="s">
        <v>114</v>
      </c>
      <c r="C896" t="s">
        <v>192</v>
      </c>
      <c r="D896" t="s">
        <v>90</v>
      </c>
      <c r="E896" t="s">
        <v>206</v>
      </c>
      <c r="F896" s="1">
        <v>4781</v>
      </c>
    </row>
    <row r="897" spans="1:6" x14ac:dyDescent="0.3">
      <c r="A897" t="str">
        <f>_xlfn.XLOOKUP(ColombiaClientes[[#This Row],[Client]],VpsClientes[Client],VpsClientes[VP],"",0)</f>
        <v>Maria Forero Jara</v>
      </c>
      <c r="B897" t="s">
        <v>125</v>
      </c>
      <c r="C897" t="s">
        <v>192</v>
      </c>
      <c r="D897" t="s">
        <v>90</v>
      </c>
      <c r="E897" t="s">
        <v>206</v>
      </c>
      <c r="F897" s="1">
        <v>4354</v>
      </c>
    </row>
    <row r="898" spans="1:6" x14ac:dyDescent="0.3">
      <c r="A898" t="str">
        <f>_xlfn.XLOOKUP(ColombiaClientes[[#This Row],[Client]],VpsClientes[Client],VpsClientes[VP],"",0)</f>
        <v>Carlos Beltran Hernandez</v>
      </c>
      <c r="B898" t="s">
        <v>119</v>
      </c>
      <c r="C898" t="s">
        <v>192</v>
      </c>
      <c r="D898" t="s">
        <v>90</v>
      </c>
      <c r="E898" t="s">
        <v>206</v>
      </c>
      <c r="F898" s="1">
        <v>3823</v>
      </c>
    </row>
    <row r="899" spans="1:6" x14ac:dyDescent="0.3">
      <c r="A899" t="str">
        <f>_xlfn.XLOOKUP(ColombiaClientes[[#This Row],[Client]],VpsClientes[Client],VpsClientes[VP],"",0)</f>
        <v>Martha Guzman Arango</v>
      </c>
      <c r="B899" t="s">
        <v>122</v>
      </c>
      <c r="C899" t="s">
        <v>192</v>
      </c>
      <c r="D899" t="s">
        <v>90</v>
      </c>
      <c r="E899" t="s">
        <v>206</v>
      </c>
      <c r="F899" s="1">
        <v>3806</v>
      </c>
    </row>
    <row r="900" spans="1:6" x14ac:dyDescent="0.3">
      <c r="A900" t="str">
        <f>_xlfn.XLOOKUP(ColombiaClientes[[#This Row],[Client]],VpsClientes[Client],VpsClientes[VP],"",0)</f>
        <v>Juan Granados Castillo</v>
      </c>
      <c r="B900" t="s">
        <v>136</v>
      </c>
      <c r="C900" t="s">
        <v>192</v>
      </c>
      <c r="D900" t="s">
        <v>90</v>
      </c>
      <c r="E900" t="s">
        <v>206</v>
      </c>
      <c r="F900" s="1">
        <v>3572</v>
      </c>
    </row>
    <row r="901" spans="1:6" x14ac:dyDescent="0.3">
      <c r="A901" t="str">
        <f>_xlfn.XLOOKUP(ColombiaClientes[[#This Row],[Client]],VpsClientes[Client],VpsClientes[VP],"",0)</f>
        <v>Hector Muraira Garza</v>
      </c>
      <c r="B901" t="s">
        <v>137</v>
      </c>
      <c r="C901" t="s">
        <v>192</v>
      </c>
      <c r="D901" t="s">
        <v>90</v>
      </c>
      <c r="E901" t="s">
        <v>206</v>
      </c>
      <c r="F901" s="1">
        <v>3334</v>
      </c>
    </row>
    <row r="902" spans="1:6" x14ac:dyDescent="0.3">
      <c r="A902" t="str">
        <f>_xlfn.XLOOKUP(ColombiaClientes[[#This Row],[Client]],VpsClientes[Client],VpsClientes[VP],"",0)</f>
        <v>Maria Forero Jara</v>
      </c>
      <c r="B902" t="s">
        <v>106</v>
      </c>
      <c r="C902" t="s">
        <v>192</v>
      </c>
      <c r="D902" t="s">
        <v>90</v>
      </c>
      <c r="E902" t="s">
        <v>206</v>
      </c>
      <c r="F902" s="1">
        <v>3145</v>
      </c>
    </row>
    <row r="903" spans="1:6" x14ac:dyDescent="0.3">
      <c r="A903" t="str">
        <f>_xlfn.XLOOKUP(ColombiaClientes[[#This Row],[Client]],VpsClientes[Client],VpsClientes[VP],"",0)</f>
        <v>Martha Guzman Arango</v>
      </c>
      <c r="B903" t="s">
        <v>143</v>
      </c>
      <c r="C903" t="s">
        <v>192</v>
      </c>
      <c r="D903" t="s">
        <v>90</v>
      </c>
      <c r="E903" t="s">
        <v>206</v>
      </c>
      <c r="F903" s="1">
        <v>3098</v>
      </c>
    </row>
    <row r="904" spans="1:6" x14ac:dyDescent="0.3">
      <c r="A904" t="str">
        <f>_xlfn.XLOOKUP(ColombiaClientes[[#This Row],[Client]],VpsClientes[Client],VpsClientes[VP],"",0)</f>
        <v>Martha Guzman Arango</v>
      </c>
      <c r="B904" t="s">
        <v>135</v>
      </c>
      <c r="C904" t="s">
        <v>192</v>
      </c>
      <c r="D904" t="s">
        <v>90</v>
      </c>
      <c r="E904" t="s">
        <v>206</v>
      </c>
      <c r="F904" s="1">
        <v>2931</v>
      </c>
    </row>
    <row r="905" spans="1:6" x14ac:dyDescent="0.3">
      <c r="A905" t="str">
        <f>_xlfn.XLOOKUP(ColombiaClientes[[#This Row],[Client]],VpsClientes[Client],VpsClientes[VP],"",0)</f>
        <v>Carlos Beltran Hernandez</v>
      </c>
      <c r="B905" t="s">
        <v>151</v>
      </c>
      <c r="C905" t="s">
        <v>192</v>
      </c>
      <c r="D905" t="s">
        <v>90</v>
      </c>
      <c r="E905" t="s">
        <v>206</v>
      </c>
      <c r="F905" s="1">
        <v>2864</v>
      </c>
    </row>
    <row r="906" spans="1:6" x14ac:dyDescent="0.3">
      <c r="A906" t="str">
        <f>_xlfn.XLOOKUP(ColombiaClientes[[#This Row],[Client]],VpsClientes[Client],VpsClientes[VP],"",0)</f>
        <v>Jhonatan Izquierdo Rico</v>
      </c>
      <c r="B906" t="s">
        <v>126</v>
      </c>
      <c r="C906" t="s">
        <v>192</v>
      </c>
      <c r="D906" t="s">
        <v>90</v>
      </c>
      <c r="E906" t="s">
        <v>206</v>
      </c>
      <c r="F906" s="1">
        <v>2819</v>
      </c>
    </row>
    <row r="907" spans="1:6" x14ac:dyDescent="0.3">
      <c r="A907" t="str">
        <f>_xlfn.XLOOKUP(ColombiaClientes[[#This Row],[Client]],VpsClientes[Client],VpsClientes[VP],"",0)</f>
        <v>Maria Forero Jara</v>
      </c>
      <c r="B907" t="s">
        <v>108</v>
      </c>
      <c r="C907" t="s">
        <v>192</v>
      </c>
      <c r="D907" t="s">
        <v>90</v>
      </c>
      <c r="E907" t="s">
        <v>206</v>
      </c>
      <c r="F907" s="1">
        <v>2783</v>
      </c>
    </row>
    <row r="908" spans="1:6" x14ac:dyDescent="0.3">
      <c r="A908" t="str">
        <f>_xlfn.XLOOKUP(ColombiaClientes[[#This Row],[Client]],VpsClientes[Client],VpsClientes[VP],"",0)</f>
        <v>Jhonatan Izquierdo Rico</v>
      </c>
      <c r="B908" t="s">
        <v>138</v>
      </c>
      <c r="C908" t="s">
        <v>192</v>
      </c>
      <c r="D908" t="s">
        <v>90</v>
      </c>
      <c r="E908" t="s">
        <v>206</v>
      </c>
      <c r="F908" s="1">
        <v>2536</v>
      </c>
    </row>
    <row r="909" spans="1:6" x14ac:dyDescent="0.3">
      <c r="A909" t="str">
        <f>_xlfn.XLOOKUP(ColombiaClientes[[#This Row],[Client]],VpsClientes[Client],VpsClientes[VP],"",0)</f>
        <v>Martha Guzman Arango</v>
      </c>
      <c r="B909" t="s">
        <v>118</v>
      </c>
      <c r="C909" t="s">
        <v>192</v>
      </c>
      <c r="D909" t="s">
        <v>90</v>
      </c>
      <c r="E909" t="s">
        <v>206</v>
      </c>
      <c r="F909" s="1">
        <v>2253</v>
      </c>
    </row>
    <row r="910" spans="1:6" x14ac:dyDescent="0.3">
      <c r="A910" t="str">
        <f>_xlfn.XLOOKUP(ColombiaClientes[[#This Row],[Client]],VpsClientes[Client],VpsClientes[VP],"",0)</f>
        <v>Moises Saavedra Garcia</v>
      </c>
      <c r="B910" t="s">
        <v>115</v>
      </c>
      <c r="C910" t="s">
        <v>192</v>
      </c>
      <c r="D910" t="s">
        <v>90</v>
      </c>
      <c r="E910" t="s">
        <v>206</v>
      </c>
      <c r="F910" s="1">
        <v>2200</v>
      </c>
    </row>
    <row r="911" spans="1:6" x14ac:dyDescent="0.3">
      <c r="A911" t="str">
        <f>_xlfn.XLOOKUP(ColombiaClientes[[#This Row],[Client]],VpsClientes[Client],VpsClientes[VP],"",0)</f>
        <v>Maria Forero Jara</v>
      </c>
      <c r="B911" t="s">
        <v>139</v>
      </c>
      <c r="C911" t="s">
        <v>192</v>
      </c>
      <c r="D911" t="s">
        <v>90</v>
      </c>
      <c r="E911" t="s">
        <v>206</v>
      </c>
      <c r="F911" s="1">
        <v>1813</v>
      </c>
    </row>
    <row r="912" spans="1:6" x14ac:dyDescent="0.3">
      <c r="A912" t="str">
        <f>_xlfn.XLOOKUP(ColombiaClientes[[#This Row],[Client]],VpsClientes[Client],VpsClientes[VP],"",0)</f>
        <v>Martha Guzman Arango</v>
      </c>
      <c r="B912" t="s">
        <v>109</v>
      </c>
      <c r="C912" t="s">
        <v>192</v>
      </c>
      <c r="D912" t="s">
        <v>90</v>
      </c>
      <c r="E912" t="s">
        <v>206</v>
      </c>
      <c r="F912" s="1">
        <v>1794</v>
      </c>
    </row>
    <row r="913" spans="1:6" x14ac:dyDescent="0.3">
      <c r="A913" t="str">
        <f>_xlfn.XLOOKUP(ColombiaClientes[[#This Row],[Client]],VpsClientes[Client],VpsClientes[VP],"",0)</f>
        <v>Martha Guzman Arango</v>
      </c>
      <c r="B913" t="s">
        <v>152</v>
      </c>
      <c r="C913" t="s">
        <v>192</v>
      </c>
      <c r="D913" t="s">
        <v>90</v>
      </c>
      <c r="E913" t="s">
        <v>206</v>
      </c>
      <c r="F913" s="1">
        <v>1693</v>
      </c>
    </row>
    <row r="914" spans="1:6" x14ac:dyDescent="0.3">
      <c r="A914" t="str">
        <f>_xlfn.XLOOKUP(ColombiaClientes[[#This Row],[Client]],VpsClientes[Client],VpsClientes[VP],"",0)</f>
        <v>Jhonatan Izquierdo Rico</v>
      </c>
      <c r="B914" t="s">
        <v>117</v>
      </c>
      <c r="C914" t="s">
        <v>192</v>
      </c>
      <c r="D914" t="s">
        <v>90</v>
      </c>
      <c r="E914" t="s">
        <v>206</v>
      </c>
      <c r="F914" s="1">
        <v>1642</v>
      </c>
    </row>
    <row r="915" spans="1:6" x14ac:dyDescent="0.3">
      <c r="A915" t="str">
        <f>_xlfn.XLOOKUP(ColombiaClientes[[#This Row],[Client]],VpsClientes[Client],VpsClientes[VP],"",0)</f>
        <v>Jhonatan Izquierdo Rico</v>
      </c>
      <c r="B915" t="s">
        <v>157</v>
      </c>
      <c r="C915" t="s">
        <v>192</v>
      </c>
      <c r="D915" t="s">
        <v>90</v>
      </c>
      <c r="E915" t="s">
        <v>206</v>
      </c>
      <c r="F915" s="1">
        <v>1637</v>
      </c>
    </row>
    <row r="916" spans="1:6" x14ac:dyDescent="0.3">
      <c r="A916" t="str">
        <f>_xlfn.XLOOKUP(ColombiaClientes[[#This Row],[Client]],VpsClientes[Client],VpsClientes[VP],"",0)</f>
        <v>Martha Guzman Arango</v>
      </c>
      <c r="B916" t="s">
        <v>168</v>
      </c>
      <c r="C916" t="s">
        <v>192</v>
      </c>
      <c r="D916" t="s">
        <v>90</v>
      </c>
      <c r="E916" t="s">
        <v>206</v>
      </c>
      <c r="F916" s="1">
        <v>1636</v>
      </c>
    </row>
    <row r="917" spans="1:6" x14ac:dyDescent="0.3">
      <c r="A917" t="str">
        <f>_xlfn.XLOOKUP(ColombiaClientes[[#This Row],[Client]],VpsClientes[Client],VpsClientes[VP],"",0)</f>
        <v>Moises Saavedra Garcia</v>
      </c>
      <c r="B917" t="s">
        <v>120</v>
      </c>
      <c r="C917" t="s">
        <v>192</v>
      </c>
      <c r="D917" t="s">
        <v>90</v>
      </c>
      <c r="E917" t="s">
        <v>206</v>
      </c>
      <c r="F917" s="1">
        <v>1618</v>
      </c>
    </row>
    <row r="918" spans="1:6" x14ac:dyDescent="0.3">
      <c r="A918" t="str">
        <f>_xlfn.XLOOKUP(ColombiaClientes[[#This Row],[Client]],VpsClientes[Client],VpsClientes[VP],"",0)</f>
        <v>Maria Forero Jara</v>
      </c>
      <c r="B918" t="s">
        <v>123</v>
      </c>
      <c r="C918" t="s">
        <v>192</v>
      </c>
      <c r="D918" t="s">
        <v>90</v>
      </c>
      <c r="E918" t="s">
        <v>206</v>
      </c>
      <c r="F918" s="1">
        <v>1596</v>
      </c>
    </row>
    <row r="919" spans="1:6" x14ac:dyDescent="0.3">
      <c r="A919" t="str">
        <f>_xlfn.XLOOKUP(ColombiaClientes[[#This Row],[Client]],VpsClientes[Client],VpsClientes[VP],"",0)</f>
        <v>Hector Muraira Garza</v>
      </c>
      <c r="B919" t="s">
        <v>130</v>
      </c>
      <c r="C919" t="s">
        <v>192</v>
      </c>
      <c r="D919" t="s">
        <v>90</v>
      </c>
      <c r="E919" t="s">
        <v>206</v>
      </c>
      <c r="F919" s="1">
        <v>1438</v>
      </c>
    </row>
    <row r="920" spans="1:6" x14ac:dyDescent="0.3">
      <c r="A920" t="str">
        <f>_xlfn.XLOOKUP(ColombiaClientes[[#This Row],[Client]],VpsClientes[Client],VpsClientes[VP],"",0)</f>
        <v>Ernesto Rico Zuluaga</v>
      </c>
      <c r="B920" t="s">
        <v>116</v>
      </c>
      <c r="C920" t="s">
        <v>192</v>
      </c>
      <c r="D920" t="s">
        <v>90</v>
      </c>
      <c r="E920" t="s">
        <v>206</v>
      </c>
      <c r="F920" s="1">
        <v>1407</v>
      </c>
    </row>
    <row r="921" spans="1:6" x14ac:dyDescent="0.3">
      <c r="A921" t="str">
        <f>_xlfn.XLOOKUP(ColombiaClientes[[#This Row],[Client]],VpsClientes[Client],VpsClientes[VP],"",0)</f>
        <v>Maria Forero Jara</v>
      </c>
      <c r="B921" t="s">
        <v>111</v>
      </c>
      <c r="C921" t="s">
        <v>192</v>
      </c>
      <c r="D921" t="s">
        <v>90</v>
      </c>
      <c r="E921" t="s">
        <v>206</v>
      </c>
      <c r="F921" s="1">
        <v>1371</v>
      </c>
    </row>
    <row r="922" spans="1:6" x14ac:dyDescent="0.3">
      <c r="A922" t="str">
        <f>_xlfn.XLOOKUP(ColombiaClientes[[#This Row],[Client]],VpsClientes[Client],VpsClientes[VP],"",0)</f>
        <v>Juan Granados Castillo</v>
      </c>
      <c r="B922" t="s">
        <v>134</v>
      </c>
      <c r="C922" t="s">
        <v>192</v>
      </c>
      <c r="D922" t="s">
        <v>90</v>
      </c>
      <c r="E922" t="s">
        <v>206</v>
      </c>
      <c r="F922" s="1">
        <v>1352</v>
      </c>
    </row>
    <row r="923" spans="1:6" x14ac:dyDescent="0.3">
      <c r="A923" t="str">
        <f>_xlfn.XLOOKUP(ColombiaClientes[[#This Row],[Client]],VpsClientes[Client],VpsClientes[VP],"",0)</f>
        <v>Martha Guzman Arango</v>
      </c>
      <c r="B923" t="s">
        <v>166</v>
      </c>
      <c r="C923" t="s">
        <v>192</v>
      </c>
      <c r="D923" t="s">
        <v>90</v>
      </c>
      <c r="E923" t="s">
        <v>206</v>
      </c>
      <c r="F923" s="1">
        <v>1224</v>
      </c>
    </row>
    <row r="924" spans="1:6" x14ac:dyDescent="0.3">
      <c r="A924" t="str">
        <f>_xlfn.XLOOKUP(ColombiaClientes[[#This Row],[Client]],VpsClientes[Client],VpsClientes[VP],"",0)</f>
        <v>Moises Saavedra Garcia</v>
      </c>
      <c r="B924" t="s">
        <v>150</v>
      </c>
      <c r="C924" t="s">
        <v>192</v>
      </c>
      <c r="D924" t="s">
        <v>90</v>
      </c>
      <c r="E924" t="s">
        <v>206</v>
      </c>
      <c r="F924" s="1">
        <v>1197</v>
      </c>
    </row>
    <row r="925" spans="1:6" x14ac:dyDescent="0.3">
      <c r="A925" t="str">
        <f>_xlfn.XLOOKUP(ColombiaClientes[[#This Row],[Client]],VpsClientes[Client],VpsClientes[VP],"",0)</f>
        <v>Hector Muraira Garza</v>
      </c>
      <c r="B925" t="s">
        <v>132</v>
      </c>
      <c r="C925" t="s">
        <v>192</v>
      </c>
      <c r="D925" t="s">
        <v>90</v>
      </c>
      <c r="E925" t="s">
        <v>206</v>
      </c>
      <c r="F925" s="1">
        <v>968</v>
      </c>
    </row>
    <row r="926" spans="1:6" x14ac:dyDescent="0.3">
      <c r="A926" t="str">
        <f>_xlfn.XLOOKUP(ColombiaClientes[[#This Row],[Client]],VpsClientes[Client],VpsClientes[VP],"",0)</f>
        <v>Ernesto Rico Zuluaga</v>
      </c>
      <c r="B926" t="s">
        <v>121</v>
      </c>
      <c r="C926" t="s">
        <v>192</v>
      </c>
      <c r="D926" t="s">
        <v>90</v>
      </c>
      <c r="E926" t="s">
        <v>206</v>
      </c>
      <c r="F926" s="1">
        <v>920</v>
      </c>
    </row>
    <row r="927" spans="1:6" x14ac:dyDescent="0.3">
      <c r="A927" t="str">
        <f>_xlfn.XLOOKUP(ColombiaClientes[[#This Row],[Client]],VpsClientes[Client],VpsClientes[VP],"",0)</f>
        <v>Martha Guzman Arango</v>
      </c>
      <c r="B927" t="s">
        <v>170</v>
      </c>
      <c r="C927" t="s">
        <v>192</v>
      </c>
      <c r="D927" t="s">
        <v>90</v>
      </c>
      <c r="E927" t="s">
        <v>206</v>
      </c>
      <c r="F927" s="1">
        <v>884</v>
      </c>
    </row>
    <row r="928" spans="1:6" x14ac:dyDescent="0.3">
      <c r="A928" t="str">
        <f>_xlfn.XLOOKUP(ColombiaClientes[[#This Row],[Client]],VpsClientes[Client],VpsClientes[VP],"",0)</f>
        <v>Martha Guzman Arango</v>
      </c>
      <c r="B928" t="s">
        <v>162</v>
      </c>
      <c r="C928" t="s">
        <v>192</v>
      </c>
      <c r="D928" t="s">
        <v>90</v>
      </c>
      <c r="E928" t="s">
        <v>206</v>
      </c>
      <c r="F928" s="1">
        <v>822</v>
      </c>
    </row>
    <row r="929" spans="1:6" x14ac:dyDescent="0.3">
      <c r="A929" t="str">
        <f>_xlfn.XLOOKUP(ColombiaClientes[[#This Row],[Client]],VpsClientes[Client],VpsClientes[VP],"",0)</f>
        <v>Hector Muraira Garza</v>
      </c>
      <c r="B929" t="s">
        <v>154</v>
      </c>
      <c r="C929" t="s">
        <v>192</v>
      </c>
      <c r="D929" t="s">
        <v>90</v>
      </c>
      <c r="E929" t="s">
        <v>206</v>
      </c>
      <c r="F929" s="1">
        <v>727</v>
      </c>
    </row>
    <row r="930" spans="1:6" x14ac:dyDescent="0.3">
      <c r="A930" t="str">
        <f>_xlfn.XLOOKUP(ColombiaClientes[[#This Row],[Client]],VpsClientes[Client],VpsClientes[VP],"",0)</f>
        <v>Jhonatan Izquierdo Rico</v>
      </c>
      <c r="B930" t="s">
        <v>129</v>
      </c>
      <c r="C930" t="s">
        <v>192</v>
      </c>
      <c r="D930" t="s">
        <v>90</v>
      </c>
      <c r="E930" t="s">
        <v>206</v>
      </c>
      <c r="F930" s="1">
        <v>707</v>
      </c>
    </row>
    <row r="931" spans="1:6" x14ac:dyDescent="0.3">
      <c r="A931" t="str">
        <f>_xlfn.XLOOKUP(ColombiaClientes[[#This Row],[Client]],VpsClientes[Client],VpsClientes[VP],"",0)</f>
        <v>Moises Saavedra Garcia</v>
      </c>
      <c r="B931" t="s">
        <v>110</v>
      </c>
      <c r="C931" t="s">
        <v>192</v>
      </c>
      <c r="D931" t="s">
        <v>90</v>
      </c>
      <c r="E931" t="s">
        <v>206</v>
      </c>
      <c r="F931" s="1">
        <v>684</v>
      </c>
    </row>
    <row r="932" spans="1:6" x14ac:dyDescent="0.3">
      <c r="A932" t="str">
        <f>_xlfn.XLOOKUP(ColombiaClientes[[#This Row],[Client]],VpsClientes[Client],VpsClientes[VP],"",0)</f>
        <v>Martha Guzman Arango</v>
      </c>
      <c r="B932" t="s">
        <v>124</v>
      </c>
      <c r="C932" t="s">
        <v>192</v>
      </c>
      <c r="D932" t="s">
        <v>90</v>
      </c>
      <c r="E932" t="s">
        <v>206</v>
      </c>
      <c r="F932" s="1">
        <v>678</v>
      </c>
    </row>
    <row r="933" spans="1:6" x14ac:dyDescent="0.3">
      <c r="A933" t="str">
        <f>_xlfn.XLOOKUP(ColombiaClientes[[#This Row],[Client]],VpsClientes[Client],VpsClientes[VP],"",0)</f>
        <v>Martha Guzman Arango</v>
      </c>
      <c r="B933" t="s">
        <v>156</v>
      </c>
      <c r="C933" t="s">
        <v>192</v>
      </c>
      <c r="D933" t="s">
        <v>90</v>
      </c>
      <c r="E933" t="s">
        <v>206</v>
      </c>
      <c r="F933" s="1">
        <v>676</v>
      </c>
    </row>
    <row r="934" spans="1:6" x14ac:dyDescent="0.3">
      <c r="A934" t="str">
        <f>_xlfn.XLOOKUP(ColombiaClientes[[#This Row],[Client]],VpsClientes[Client],VpsClientes[VP],"",0)</f>
        <v>Maria Forero Jara</v>
      </c>
      <c r="B934" t="s">
        <v>179</v>
      </c>
      <c r="C934" t="s">
        <v>192</v>
      </c>
      <c r="D934" t="s">
        <v>90</v>
      </c>
      <c r="E934" t="s">
        <v>206</v>
      </c>
      <c r="F934" s="1">
        <v>657</v>
      </c>
    </row>
    <row r="935" spans="1:6" x14ac:dyDescent="0.3">
      <c r="A935" t="str">
        <f>_xlfn.XLOOKUP(ColombiaClientes[[#This Row],[Client]],VpsClientes[Client],VpsClientes[VP],"",0)</f>
        <v>Martha Guzman Arango</v>
      </c>
      <c r="B935" t="s">
        <v>146</v>
      </c>
      <c r="C935" t="s">
        <v>192</v>
      </c>
      <c r="D935" t="s">
        <v>90</v>
      </c>
      <c r="E935" t="s">
        <v>206</v>
      </c>
      <c r="F935" s="1">
        <v>628</v>
      </c>
    </row>
    <row r="936" spans="1:6" x14ac:dyDescent="0.3">
      <c r="A936" t="str">
        <f>_xlfn.XLOOKUP(ColombiaClientes[[#This Row],[Client]],VpsClientes[Client],VpsClientes[VP],"",0)</f>
        <v>Martha Guzman Arango</v>
      </c>
      <c r="B936" t="s">
        <v>153</v>
      </c>
      <c r="C936" t="s">
        <v>192</v>
      </c>
      <c r="D936" t="s">
        <v>90</v>
      </c>
      <c r="E936" t="s">
        <v>206</v>
      </c>
      <c r="F936" s="1">
        <v>627</v>
      </c>
    </row>
    <row r="937" spans="1:6" x14ac:dyDescent="0.3">
      <c r="A937" t="str">
        <f>_xlfn.XLOOKUP(ColombiaClientes[[#This Row],[Client]],VpsClientes[Client],VpsClientes[VP],"",0)</f>
        <v>Martha Guzman Arango</v>
      </c>
      <c r="B937" t="s">
        <v>171</v>
      </c>
      <c r="C937" t="s">
        <v>192</v>
      </c>
      <c r="D937" t="s">
        <v>90</v>
      </c>
      <c r="E937" t="s">
        <v>206</v>
      </c>
      <c r="F937" s="1">
        <v>557</v>
      </c>
    </row>
    <row r="938" spans="1:6" x14ac:dyDescent="0.3">
      <c r="A938" t="str">
        <f>_xlfn.XLOOKUP(ColombiaClientes[[#This Row],[Client]],VpsClientes[Client],VpsClientes[VP],"",0)</f>
        <v>Maria Forero Jara</v>
      </c>
      <c r="B938" t="s">
        <v>144</v>
      </c>
      <c r="C938" t="s">
        <v>192</v>
      </c>
      <c r="D938" t="s">
        <v>90</v>
      </c>
      <c r="E938" t="s">
        <v>206</v>
      </c>
      <c r="F938" s="1">
        <v>549</v>
      </c>
    </row>
    <row r="939" spans="1:6" x14ac:dyDescent="0.3">
      <c r="A939" t="str">
        <f>_xlfn.XLOOKUP(ColombiaClientes[[#This Row],[Client]],VpsClientes[Client],VpsClientes[VP],"",0)</f>
        <v>Martha Guzman Arango</v>
      </c>
      <c r="B939" t="s">
        <v>185</v>
      </c>
      <c r="C939" t="s">
        <v>192</v>
      </c>
      <c r="D939" t="s">
        <v>90</v>
      </c>
      <c r="E939" t="s">
        <v>206</v>
      </c>
      <c r="F939" s="1">
        <v>525</v>
      </c>
    </row>
    <row r="940" spans="1:6" x14ac:dyDescent="0.3">
      <c r="A940" t="str">
        <f>_xlfn.XLOOKUP(ColombiaClientes[[#This Row],[Client]],VpsClientes[Client],VpsClientes[VP],"",0)</f>
        <v>Carlos Beltran Hernandez</v>
      </c>
      <c r="B940" t="s">
        <v>173</v>
      </c>
      <c r="C940" t="s">
        <v>192</v>
      </c>
      <c r="D940" t="s">
        <v>90</v>
      </c>
      <c r="E940" t="s">
        <v>206</v>
      </c>
      <c r="F940" s="1">
        <v>511</v>
      </c>
    </row>
    <row r="941" spans="1:6" x14ac:dyDescent="0.3">
      <c r="A941" t="str">
        <f>_xlfn.XLOOKUP(ColombiaClientes[[#This Row],[Client]],VpsClientes[Client],VpsClientes[VP],"",0)</f>
        <v>Felipe Izquierdo Rico</v>
      </c>
      <c r="B941" t="s">
        <v>177</v>
      </c>
      <c r="C941" t="s">
        <v>192</v>
      </c>
      <c r="D941" t="s">
        <v>219</v>
      </c>
      <c r="E941" t="s">
        <v>206</v>
      </c>
      <c r="F941" s="1">
        <v>0</v>
      </c>
    </row>
    <row r="942" spans="1:6" x14ac:dyDescent="0.3">
      <c r="A942" t="str">
        <f>_xlfn.XLOOKUP(ColombiaClientes[[#This Row],[Client]],VpsClientes[Client],VpsClientes[VP],"",0)</f>
        <v>Moises Saavedra Garcia</v>
      </c>
      <c r="B942" t="s">
        <v>190</v>
      </c>
      <c r="C942" t="s">
        <v>192</v>
      </c>
      <c r="D942" t="s">
        <v>90</v>
      </c>
      <c r="E942" t="s">
        <v>206</v>
      </c>
      <c r="F942" s="1">
        <v>425</v>
      </c>
    </row>
    <row r="943" spans="1:6" x14ac:dyDescent="0.3">
      <c r="A943" t="str">
        <f>_xlfn.XLOOKUP(ColombiaClientes[[#This Row],[Client]],VpsClientes[Client],VpsClientes[VP],"",0)</f>
        <v>Juan Granados Castillo</v>
      </c>
      <c r="B943" t="s">
        <v>142</v>
      </c>
      <c r="C943" t="s">
        <v>192</v>
      </c>
      <c r="D943" t="s">
        <v>90</v>
      </c>
      <c r="E943" t="s">
        <v>206</v>
      </c>
      <c r="F943" s="1">
        <v>422</v>
      </c>
    </row>
    <row r="944" spans="1:6" x14ac:dyDescent="0.3">
      <c r="A944" t="str">
        <f>_xlfn.XLOOKUP(ColombiaClientes[[#This Row],[Client]],VpsClientes[Client],VpsClientes[VP],"",0)</f>
        <v>Carlos Beltran Hernandez</v>
      </c>
      <c r="B944" t="s">
        <v>158</v>
      </c>
      <c r="C944" t="s">
        <v>192</v>
      </c>
      <c r="D944" t="s">
        <v>90</v>
      </c>
      <c r="E944" t="s">
        <v>206</v>
      </c>
      <c r="F944" s="1">
        <v>415</v>
      </c>
    </row>
    <row r="945" spans="1:6" x14ac:dyDescent="0.3">
      <c r="A945" t="str">
        <f>_xlfn.XLOOKUP(ColombiaClientes[[#This Row],[Client]],VpsClientes[Client],VpsClientes[VP],"",0)</f>
        <v>Martha Guzman Arango</v>
      </c>
      <c r="B945" t="s">
        <v>145</v>
      </c>
      <c r="C945" t="s">
        <v>192</v>
      </c>
      <c r="D945" t="s">
        <v>90</v>
      </c>
      <c r="E945" t="s">
        <v>206</v>
      </c>
      <c r="F945" s="1">
        <v>412</v>
      </c>
    </row>
    <row r="946" spans="1:6" x14ac:dyDescent="0.3">
      <c r="A946" t="str">
        <f>_xlfn.XLOOKUP(ColombiaClientes[[#This Row],[Client]],VpsClientes[Client],VpsClientes[VP],"",0)</f>
        <v>Martha Guzman Arango</v>
      </c>
      <c r="B946" t="s">
        <v>148</v>
      </c>
      <c r="C946" t="s">
        <v>192</v>
      </c>
      <c r="D946" t="s">
        <v>90</v>
      </c>
      <c r="E946" t="s">
        <v>206</v>
      </c>
      <c r="F946" s="1">
        <v>385</v>
      </c>
    </row>
    <row r="947" spans="1:6" x14ac:dyDescent="0.3">
      <c r="A947" t="str">
        <f>_xlfn.XLOOKUP(ColombiaClientes[[#This Row],[Client]],VpsClientes[Client],VpsClientes[VP],"",0)</f>
        <v>Maria Forero Jara</v>
      </c>
      <c r="B947" t="s">
        <v>182</v>
      </c>
      <c r="C947" t="s">
        <v>192</v>
      </c>
      <c r="D947" t="s">
        <v>90</v>
      </c>
      <c r="E947" t="s">
        <v>206</v>
      </c>
      <c r="F947" s="1">
        <v>382</v>
      </c>
    </row>
    <row r="948" spans="1:6" x14ac:dyDescent="0.3">
      <c r="A948" t="str">
        <f>_xlfn.XLOOKUP(ColombiaClientes[[#This Row],[Client]],VpsClientes[Client],VpsClientes[VP],"",0)</f>
        <v>Juan Granados Castillo</v>
      </c>
      <c r="B948" t="s">
        <v>149</v>
      </c>
      <c r="C948" t="s">
        <v>192</v>
      </c>
      <c r="D948" t="s">
        <v>90</v>
      </c>
      <c r="E948" t="s">
        <v>206</v>
      </c>
      <c r="F948" s="1">
        <v>375</v>
      </c>
    </row>
    <row r="949" spans="1:6" x14ac:dyDescent="0.3">
      <c r="A949" t="str">
        <f>_xlfn.XLOOKUP(ColombiaClientes[[#This Row],[Client]],VpsClientes[Client],VpsClientes[VP],"",0)</f>
        <v>Maria Forero Jara</v>
      </c>
      <c r="B949" t="s">
        <v>163</v>
      </c>
      <c r="C949" t="s">
        <v>192</v>
      </c>
      <c r="D949" t="s">
        <v>90</v>
      </c>
      <c r="E949" t="s">
        <v>206</v>
      </c>
      <c r="F949" s="1">
        <v>347</v>
      </c>
    </row>
    <row r="950" spans="1:6" x14ac:dyDescent="0.3">
      <c r="A950" t="str">
        <f>_xlfn.XLOOKUP(ColombiaClientes[[#This Row],[Client]],VpsClientes[Client],VpsClientes[VP],"",0)</f>
        <v>Hector Muraira Garza</v>
      </c>
      <c r="B950" t="s">
        <v>140</v>
      </c>
      <c r="C950" t="s">
        <v>192</v>
      </c>
      <c r="D950" t="s">
        <v>90</v>
      </c>
      <c r="E950" t="s">
        <v>206</v>
      </c>
      <c r="F950" s="1">
        <v>347</v>
      </c>
    </row>
    <row r="951" spans="1:6" x14ac:dyDescent="0.3">
      <c r="A951" t="str">
        <f>_xlfn.XLOOKUP(ColombiaClientes[[#This Row],[Client]],VpsClientes[Client],VpsClientes[VP],"",0)</f>
        <v>Felipe Izquierdo Rico</v>
      </c>
      <c r="B951" t="s">
        <v>177</v>
      </c>
      <c r="C951" t="s">
        <v>203</v>
      </c>
      <c r="D951" t="s">
        <v>219</v>
      </c>
      <c r="E951" t="s">
        <v>206</v>
      </c>
      <c r="F951" s="1">
        <v>13</v>
      </c>
    </row>
    <row r="952" spans="1:6" x14ac:dyDescent="0.3">
      <c r="A952" t="str">
        <f>_xlfn.XLOOKUP(ColombiaClientes[[#This Row],[Client]],VpsClientes[Client],VpsClientes[VP],"",0)</f>
        <v>Martha Guzman Arango</v>
      </c>
      <c r="B952" t="s">
        <v>131</v>
      </c>
      <c r="C952" t="s">
        <v>192</v>
      </c>
      <c r="D952" t="s">
        <v>90</v>
      </c>
      <c r="E952" t="s">
        <v>206</v>
      </c>
      <c r="F952" s="1">
        <v>234</v>
      </c>
    </row>
    <row r="953" spans="1:6" x14ac:dyDescent="0.3">
      <c r="A953" t="str">
        <f>_xlfn.XLOOKUP(ColombiaClientes[[#This Row],[Client]],VpsClientes[Client],VpsClientes[VP],"",0)</f>
        <v>Moises Saavedra Garcia</v>
      </c>
      <c r="B953" t="s">
        <v>172</v>
      </c>
      <c r="C953" t="s">
        <v>192</v>
      </c>
      <c r="D953" t="s">
        <v>90</v>
      </c>
      <c r="E953" t="s">
        <v>206</v>
      </c>
      <c r="F953" s="1">
        <v>228</v>
      </c>
    </row>
    <row r="954" spans="1:6" x14ac:dyDescent="0.3">
      <c r="A954" t="str">
        <f>_xlfn.XLOOKUP(ColombiaClientes[[#This Row],[Client]],VpsClientes[Client],VpsClientes[VP],"",0)</f>
        <v>Jhonatan Izquierdo Rico</v>
      </c>
      <c r="B954" t="s">
        <v>159</v>
      </c>
      <c r="C954" t="s">
        <v>192</v>
      </c>
      <c r="D954" t="s">
        <v>90</v>
      </c>
      <c r="E954" t="s">
        <v>206</v>
      </c>
      <c r="F954" s="1">
        <v>208</v>
      </c>
    </row>
    <row r="955" spans="1:6" x14ac:dyDescent="0.3">
      <c r="A955" t="str">
        <f>_xlfn.XLOOKUP(ColombiaClientes[[#This Row],[Client]],VpsClientes[Client],VpsClientes[VP],"",0)</f>
        <v>Martha Guzman Arango</v>
      </c>
      <c r="B955" t="s">
        <v>165</v>
      </c>
      <c r="C955" t="s">
        <v>192</v>
      </c>
      <c r="D955" t="s">
        <v>90</v>
      </c>
      <c r="E955" t="s">
        <v>206</v>
      </c>
      <c r="F955" s="1">
        <v>205</v>
      </c>
    </row>
    <row r="956" spans="1:6" x14ac:dyDescent="0.3">
      <c r="A956" t="str">
        <f>_xlfn.XLOOKUP(ColombiaClientes[[#This Row],[Client]],VpsClientes[Client],VpsClientes[VP],"",0)</f>
        <v>Martha Guzman Arango</v>
      </c>
      <c r="B956" t="s">
        <v>155</v>
      </c>
      <c r="C956" t="s">
        <v>192</v>
      </c>
      <c r="D956" t="s">
        <v>90</v>
      </c>
      <c r="E956" t="s">
        <v>206</v>
      </c>
      <c r="F956" s="1">
        <v>173</v>
      </c>
    </row>
    <row r="957" spans="1:6" x14ac:dyDescent="0.3">
      <c r="A957" t="str">
        <f>_xlfn.XLOOKUP(ColombiaClientes[[#This Row],[Client]],VpsClientes[Client],VpsClientes[VP],"",0)</f>
        <v>Jhonatan Izquierdo Rico</v>
      </c>
      <c r="B957" t="s">
        <v>196</v>
      </c>
      <c r="C957" t="s">
        <v>192</v>
      </c>
      <c r="D957" t="s">
        <v>90</v>
      </c>
      <c r="E957" t="s">
        <v>206</v>
      </c>
      <c r="F957" s="1">
        <v>169</v>
      </c>
    </row>
    <row r="958" spans="1:6" x14ac:dyDescent="0.3">
      <c r="A958" t="str">
        <f>_xlfn.XLOOKUP(ColombiaClientes[[#This Row],[Client]],VpsClientes[Client],VpsClientes[VP],"",0)</f>
        <v>Martha Guzman Arango</v>
      </c>
      <c r="B958" t="s">
        <v>186</v>
      </c>
      <c r="C958" t="s">
        <v>192</v>
      </c>
      <c r="D958" t="s">
        <v>90</v>
      </c>
      <c r="E958" t="s">
        <v>206</v>
      </c>
      <c r="F958" s="1">
        <v>161</v>
      </c>
    </row>
    <row r="959" spans="1:6" x14ac:dyDescent="0.3">
      <c r="A959">
        <f>_xlfn.XLOOKUP(ColombiaClientes[[#This Row],[Client]],VpsClientes[Client],VpsClientes[VP],"",0)</f>
        <v>0</v>
      </c>
      <c r="B959" t="s">
        <v>147</v>
      </c>
      <c r="C959" t="s">
        <v>92</v>
      </c>
      <c r="D959" t="s">
        <v>90</v>
      </c>
      <c r="E959" t="s">
        <v>91</v>
      </c>
      <c r="F959" s="1">
        <v>499</v>
      </c>
    </row>
    <row r="960" spans="1:6" x14ac:dyDescent="0.3">
      <c r="A960" t="str">
        <f>_xlfn.XLOOKUP(ColombiaClientes[[#This Row],[Client]],VpsClientes[Client],VpsClientes[VP],"",0)</f>
        <v>Hector Muraira Garza</v>
      </c>
      <c r="B960" t="s">
        <v>164</v>
      </c>
      <c r="C960" t="s">
        <v>192</v>
      </c>
      <c r="D960" t="s">
        <v>90</v>
      </c>
      <c r="E960" t="s">
        <v>206</v>
      </c>
      <c r="F960" s="1">
        <v>149</v>
      </c>
    </row>
    <row r="961" spans="1:6" x14ac:dyDescent="0.3">
      <c r="A961" t="str">
        <f>_xlfn.XLOOKUP(ColombiaClientes[[#This Row],[Client]],VpsClientes[Client],VpsClientes[VP],"",0)</f>
        <v>Martha Guzman Arango</v>
      </c>
      <c r="B961" t="s">
        <v>183</v>
      </c>
      <c r="C961" t="s">
        <v>192</v>
      </c>
      <c r="D961" t="s">
        <v>90</v>
      </c>
      <c r="E961" t="s">
        <v>206</v>
      </c>
      <c r="F961" s="1">
        <v>136</v>
      </c>
    </row>
    <row r="962" spans="1:6" x14ac:dyDescent="0.3">
      <c r="A962" t="str">
        <f>_xlfn.XLOOKUP(ColombiaClientes[[#This Row],[Client]],VpsClientes[Client],VpsClientes[VP],"",0)</f>
        <v>Martha Guzman Arango</v>
      </c>
      <c r="B962" t="s">
        <v>169</v>
      </c>
      <c r="C962" t="s">
        <v>192</v>
      </c>
      <c r="D962" t="s">
        <v>90</v>
      </c>
      <c r="E962" t="s">
        <v>206</v>
      </c>
      <c r="F962" s="1">
        <v>128</v>
      </c>
    </row>
    <row r="963" spans="1:6" x14ac:dyDescent="0.3">
      <c r="A963" t="str">
        <f>_xlfn.XLOOKUP(ColombiaClientes[[#This Row],[Client]],VpsClientes[Client],VpsClientes[VP],"",0)</f>
        <v>Martha Guzman Arango</v>
      </c>
      <c r="B963" t="s">
        <v>176</v>
      </c>
      <c r="C963" t="s">
        <v>192</v>
      </c>
      <c r="D963" t="s">
        <v>90</v>
      </c>
      <c r="E963" t="s">
        <v>206</v>
      </c>
      <c r="F963" s="1">
        <v>126</v>
      </c>
    </row>
    <row r="964" spans="1:6" x14ac:dyDescent="0.3">
      <c r="A964">
        <f>_xlfn.XLOOKUP(ColombiaClientes[[#This Row],[Client]],VpsClientes[Client],VpsClientes[VP],"",0)</f>
        <v>0</v>
      </c>
      <c r="B964" t="s">
        <v>147</v>
      </c>
      <c r="C964" t="s">
        <v>191</v>
      </c>
      <c r="D964" t="s">
        <v>90</v>
      </c>
      <c r="E964" t="s">
        <v>91</v>
      </c>
      <c r="F964" s="1">
        <v>429</v>
      </c>
    </row>
    <row r="965" spans="1:6" x14ac:dyDescent="0.3">
      <c r="A965">
        <f>_xlfn.XLOOKUP(ColombiaClientes[[#This Row],[Client]],VpsClientes[Client],VpsClientes[VP],"",0)</f>
        <v>0</v>
      </c>
      <c r="B965" t="s">
        <v>147</v>
      </c>
      <c r="C965" t="s">
        <v>192</v>
      </c>
      <c r="D965" t="s">
        <v>90</v>
      </c>
      <c r="E965" t="s">
        <v>91</v>
      </c>
      <c r="F965" s="1">
        <v>1620</v>
      </c>
    </row>
    <row r="966" spans="1:6" x14ac:dyDescent="0.3">
      <c r="A966" t="str">
        <f>_xlfn.XLOOKUP(ColombiaClientes[[#This Row],[Client]],VpsClientes[Client],VpsClientes[VP],"",0)</f>
        <v>Maria Forero Jara</v>
      </c>
      <c r="B966" t="s">
        <v>161</v>
      </c>
      <c r="C966" t="s">
        <v>192</v>
      </c>
      <c r="D966" t="s">
        <v>90</v>
      </c>
      <c r="E966" t="s">
        <v>206</v>
      </c>
      <c r="F966" s="1">
        <v>104</v>
      </c>
    </row>
    <row r="967" spans="1:6" x14ac:dyDescent="0.3">
      <c r="A967" t="str">
        <f>_xlfn.XLOOKUP(ColombiaClientes[[#This Row],[Client]],VpsClientes[Client],VpsClientes[VP],"",0)</f>
        <v>Martha Guzman Arango</v>
      </c>
      <c r="B967" t="s">
        <v>174</v>
      </c>
      <c r="C967" t="s">
        <v>192</v>
      </c>
      <c r="D967" t="s">
        <v>90</v>
      </c>
      <c r="E967" t="s">
        <v>206</v>
      </c>
      <c r="F967" s="1">
        <v>97</v>
      </c>
    </row>
    <row r="968" spans="1:6" x14ac:dyDescent="0.3">
      <c r="A968" t="str">
        <f>_xlfn.XLOOKUP(ColombiaClientes[[#This Row],[Client]],VpsClientes[Client],VpsClientes[VP],"",0)</f>
        <v>Hector Muraira Garza</v>
      </c>
      <c r="B968" t="s">
        <v>167</v>
      </c>
      <c r="C968" t="s">
        <v>192</v>
      </c>
      <c r="D968" t="s">
        <v>90</v>
      </c>
      <c r="E968" t="s">
        <v>206</v>
      </c>
      <c r="F968" s="1">
        <v>94</v>
      </c>
    </row>
    <row r="969" spans="1:6" x14ac:dyDescent="0.3">
      <c r="A969" t="str">
        <f>_xlfn.XLOOKUP(ColombiaClientes[[#This Row],[Client]],VpsClientes[Client],VpsClientes[VP],"",0)</f>
        <v>Moises Saavedra Garcia</v>
      </c>
      <c r="B969" t="s">
        <v>175</v>
      </c>
      <c r="C969" t="s">
        <v>192</v>
      </c>
      <c r="D969" t="s">
        <v>90</v>
      </c>
      <c r="E969" t="s">
        <v>206</v>
      </c>
      <c r="F969" s="1">
        <v>78</v>
      </c>
    </row>
    <row r="970" spans="1:6" x14ac:dyDescent="0.3">
      <c r="A970" t="str">
        <f>_xlfn.XLOOKUP(ColombiaClientes[[#This Row],[Client]],VpsClientes[Client],VpsClientes[VP],"",0)</f>
        <v>Moises Saavedra Garcia</v>
      </c>
      <c r="B970" t="s">
        <v>187</v>
      </c>
      <c r="C970" t="s">
        <v>192</v>
      </c>
      <c r="D970" t="s">
        <v>90</v>
      </c>
      <c r="E970" t="s">
        <v>206</v>
      </c>
      <c r="F970" s="1">
        <v>77</v>
      </c>
    </row>
    <row r="971" spans="1:6" x14ac:dyDescent="0.3">
      <c r="A971">
        <f>_xlfn.XLOOKUP(ColombiaClientes[[#This Row],[Client]],VpsClientes[Client],VpsClientes[VP],"",0)</f>
        <v>0</v>
      </c>
      <c r="B971" t="s">
        <v>147</v>
      </c>
      <c r="C971" t="s">
        <v>92</v>
      </c>
      <c r="D971" t="s">
        <v>90</v>
      </c>
      <c r="E971" t="s">
        <v>206</v>
      </c>
      <c r="F971" s="1">
        <v>1571</v>
      </c>
    </row>
    <row r="972" spans="1:6" x14ac:dyDescent="0.3">
      <c r="A972" t="str">
        <f>_xlfn.XLOOKUP(ColombiaClientes[[#This Row],[Client]],VpsClientes[Client],VpsClientes[VP],"",0)</f>
        <v>Martha Guzman Arango</v>
      </c>
      <c r="B972" t="s">
        <v>180</v>
      </c>
      <c r="C972" t="s">
        <v>192</v>
      </c>
      <c r="D972" t="s">
        <v>90</v>
      </c>
      <c r="E972" t="s">
        <v>206</v>
      </c>
      <c r="F972" s="1">
        <v>9</v>
      </c>
    </row>
    <row r="973" spans="1:6" x14ac:dyDescent="0.3">
      <c r="A973" t="str">
        <f>_xlfn.XLOOKUP(ColombiaClientes[[#This Row],[Client]],VpsClientes[Client],VpsClientes[VP],"",0)</f>
        <v>Martha Guzman Arango</v>
      </c>
      <c r="B973" t="s">
        <v>189</v>
      </c>
      <c r="C973" t="s">
        <v>192</v>
      </c>
      <c r="D973" t="s">
        <v>90</v>
      </c>
      <c r="E973" t="s">
        <v>206</v>
      </c>
      <c r="F973" s="1">
        <v>9</v>
      </c>
    </row>
    <row r="974" spans="1:6" x14ac:dyDescent="0.3">
      <c r="A974" t="str">
        <f>_xlfn.XLOOKUP(ColombiaClientes[[#This Row],[Client]],VpsClientes[Client],VpsClientes[VP],"",0)</f>
        <v>Martha Guzman Arango</v>
      </c>
      <c r="B974" t="s">
        <v>188</v>
      </c>
      <c r="C974" t="s">
        <v>192</v>
      </c>
      <c r="D974" t="s">
        <v>90</v>
      </c>
      <c r="E974" t="s">
        <v>206</v>
      </c>
      <c r="F974" s="1">
        <v>7</v>
      </c>
    </row>
    <row r="975" spans="1:6" x14ac:dyDescent="0.3">
      <c r="A975" t="str">
        <f>_xlfn.XLOOKUP(ColombiaClientes[[#This Row],[Client]],VpsClientes[Client],VpsClientes[VP],"",0)</f>
        <v>Moises Saavedra Garcia</v>
      </c>
      <c r="B975" t="s">
        <v>99</v>
      </c>
      <c r="C975" t="s">
        <v>194</v>
      </c>
      <c r="D975" t="s">
        <v>90</v>
      </c>
      <c r="E975" t="s">
        <v>206</v>
      </c>
      <c r="F975" s="1">
        <v>31285</v>
      </c>
    </row>
    <row r="976" spans="1:6" x14ac:dyDescent="0.3">
      <c r="A976" t="str">
        <f>_xlfn.XLOOKUP(ColombiaClientes[[#This Row],[Client]],VpsClientes[Client],VpsClientes[VP],"",0)</f>
        <v>Carlos Beltran Hernandez</v>
      </c>
      <c r="B976" t="s">
        <v>94</v>
      </c>
      <c r="C976" t="s">
        <v>194</v>
      </c>
      <c r="D976" t="s">
        <v>90</v>
      </c>
      <c r="E976" t="s">
        <v>206</v>
      </c>
      <c r="F976" s="1">
        <v>24004</v>
      </c>
    </row>
    <row r="977" spans="1:6" x14ac:dyDescent="0.3">
      <c r="A977" t="str">
        <f>_xlfn.XLOOKUP(ColombiaClientes[[#This Row],[Client]],VpsClientes[Client],VpsClientes[VP],"",0)</f>
        <v>Jhonatan Izquierdo Rico</v>
      </c>
      <c r="B977" t="s">
        <v>104</v>
      </c>
      <c r="C977" t="s">
        <v>194</v>
      </c>
      <c r="D977" t="s">
        <v>90</v>
      </c>
      <c r="E977" t="s">
        <v>206</v>
      </c>
      <c r="F977" s="1">
        <v>21153</v>
      </c>
    </row>
    <row r="978" spans="1:6" x14ac:dyDescent="0.3">
      <c r="A978" t="str">
        <f>_xlfn.XLOOKUP(ColombiaClientes[[#This Row],[Client]],VpsClientes[Client],VpsClientes[VP],"",0)</f>
        <v>Jhonatan Izquierdo Rico</v>
      </c>
      <c r="B978" t="s">
        <v>128</v>
      </c>
      <c r="C978" t="s">
        <v>194</v>
      </c>
      <c r="D978" t="s">
        <v>90</v>
      </c>
      <c r="E978" t="s">
        <v>206</v>
      </c>
      <c r="F978" s="1">
        <v>17418</v>
      </c>
    </row>
    <row r="979" spans="1:6" x14ac:dyDescent="0.3">
      <c r="A979" t="str">
        <f>_xlfn.XLOOKUP(ColombiaClientes[[#This Row],[Client]],VpsClientes[Client],VpsClientes[VP],"",0)</f>
        <v>Carlos Beltran Hernandez</v>
      </c>
      <c r="B979" t="s">
        <v>93</v>
      </c>
      <c r="C979" t="s">
        <v>194</v>
      </c>
      <c r="D979" t="s">
        <v>90</v>
      </c>
      <c r="E979" t="s">
        <v>206</v>
      </c>
      <c r="F979" s="1">
        <v>16234</v>
      </c>
    </row>
    <row r="980" spans="1:6" x14ac:dyDescent="0.3">
      <c r="A980" t="str">
        <f>_xlfn.XLOOKUP(ColombiaClientes[[#This Row],[Client]],VpsClientes[Client],VpsClientes[VP],"",0)</f>
        <v>Martha Guzman Arango</v>
      </c>
      <c r="B980" t="s">
        <v>98</v>
      </c>
      <c r="C980" t="s">
        <v>194</v>
      </c>
      <c r="D980" t="s">
        <v>90</v>
      </c>
      <c r="E980" t="s">
        <v>206</v>
      </c>
      <c r="F980" s="1">
        <v>15989</v>
      </c>
    </row>
    <row r="981" spans="1:6" x14ac:dyDescent="0.3">
      <c r="A981" t="str">
        <f>_xlfn.XLOOKUP(ColombiaClientes[[#This Row],[Client]],VpsClientes[Client],VpsClientes[VP],"",0)</f>
        <v>Carlos Castillo Figueroa</v>
      </c>
      <c r="B981" t="s">
        <v>105</v>
      </c>
      <c r="C981" t="s">
        <v>194</v>
      </c>
      <c r="D981" t="s">
        <v>90</v>
      </c>
      <c r="E981" t="s">
        <v>206</v>
      </c>
      <c r="F981" s="1">
        <v>15451</v>
      </c>
    </row>
    <row r="982" spans="1:6" x14ac:dyDescent="0.3">
      <c r="A982" t="str">
        <f>_xlfn.XLOOKUP(ColombiaClientes[[#This Row],[Client]],VpsClientes[Client],VpsClientes[VP],"",0)</f>
        <v>Martha Guzman Arango</v>
      </c>
      <c r="B982" t="s">
        <v>100</v>
      </c>
      <c r="C982" t="s">
        <v>194</v>
      </c>
      <c r="D982" t="s">
        <v>90</v>
      </c>
      <c r="E982" t="s">
        <v>206</v>
      </c>
      <c r="F982" s="1">
        <v>14632</v>
      </c>
    </row>
    <row r="983" spans="1:6" x14ac:dyDescent="0.3">
      <c r="A983" t="str">
        <f>_xlfn.XLOOKUP(ColombiaClientes[[#This Row],[Client]],VpsClientes[Client],VpsClientes[VP],"",0)</f>
        <v>Martha Guzman Arango</v>
      </c>
      <c r="B983" t="s">
        <v>96</v>
      </c>
      <c r="C983" t="s">
        <v>194</v>
      </c>
      <c r="D983" t="s">
        <v>90</v>
      </c>
      <c r="E983" t="s">
        <v>206</v>
      </c>
      <c r="F983" s="1">
        <v>14606</v>
      </c>
    </row>
    <row r="984" spans="1:6" x14ac:dyDescent="0.3">
      <c r="A984" t="str">
        <f>_xlfn.XLOOKUP(ColombiaClientes[[#This Row],[Client]],VpsClientes[Client],VpsClientes[VP],"",0)</f>
        <v>Maria Forero Jara</v>
      </c>
      <c r="B984" t="s">
        <v>101</v>
      </c>
      <c r="C984" t="s">
        <v>194</v>
      </c>
      <c r="D984" t="s">
        <v>90</v>
      </c>
      <c r="E984" t="s">
        <v>206</v>
      </c>
      <c r="F984" s="1">
        <v>11368</v>
      </c>
    </row>
    <row r="985" spans="1:6" x14ac:dyDescent="0.3">
      <c r="A985" t="str">
        <f>_xlfn.XLOOKUP(ColombiaClientes[[#This Row],[Client]],VpsClientes[Client],VpsClientes[VP],"",0)</f>
        <v>Martha Guzman Arango</v>
      </c>
      <c r="B985" t="s">
        <v>103</v>
      </c>
      <c r="C985" t="s">
        <v>194</v>
      </c>
      <c r="D985" t="s">
        <v>90</v>
      </c>
      <c r="E985" t="s">
        <v>206</v>
      </c>
      <c r="F985" s="1">
        <v>10796</v>
      </c>
    </row>
    <row r="986" spans="1:6" x14ac:dyDescent="0.3">
      <c r="A986" t="str">
        <f>_xlfn.XLOOKUP(ColombiaClientes[[#This Row],[Client]],VpsClientes[Client],VpsClientes[VP],"",0)</f>
        <v>Jhonatan Izquierdo Rico</v>
      </c>
      <c r="B986" t="s">
        <v>107</v>
      </c>
      <c r="C986" t="s">
        <v>194</v>
      </c>
      <c r="D986" t="s">
        <v>90</v>
      </c>
      <c r="E986" t="s">
        <v>206</v>
      </c>
      <c r="F986" s="1">
        <v>10728</v>
      </c>
    </row>
    <row r="987" spans="1:6" x14ac:dyDescent="0.3">
      <c r="A987" t="str">
        <f>_xlfn.XLOOKUP(ColombiaClientes[[#This Row],[Client]],VpsClientes[Client],VpsClientes[VP],"",0)</f>
        <v>Sandra Romero Zuluaga</v>
      </c>
      <c r="B987" t="s">
        <v>113</v>
      </c>
      <c r="C987" t="s">
        <v>194</v>
      </c>
      <c r="D987" t="s">
        <v>90</v>
      </c>
      <c r="E987" t="s">
        <v>206</v>
      </c>
      <c r="F987" s="1">
        <v>8713</v>
      </c>
    </row>
    <row r="988" spans="1:6" x14ac:dyDescent="0.3">
      <c r="A988" t="str">
        <f>_xlfn.XLOOKUP(ColombiaClientes[[#This Row],[Client]],VpsClientes[Client],VpsClientes[VP],"",0)</f>
        <v>Ludy Torres Benitez</v>
      </c>
      <c r="B988" t="s">
        <v>95</v>
      </c>
      <c r="C988" t="s">
        <v>194</v>
      </c>
      <c r="D988" t="s">
        <v>90</v>
      </c>
      <c r="E988" t="s">
        <v>206</v>
      </c>
      <c r="F988" s="1">
        <v>8048</v>
      </c>
    </row>
    <row r="989" spans="1:6" x14ac:dyDescent="0.3">
      <c r="A989" t="str">
        <f>_xlfn.XLOOKUP(ColombiaClientes[[#This Row],[Client]],VpsClientes[Client],VpsClientes[VP],"",0)</f>
        <v>Carlos Beltran Hernandez</v>
      </c>
      <c r="B989" t="s">
        <v>102</v>
      </c>
      <c r="C989" t="s">
        <v>194</v>
      </c>
      <c r="D989" t="s">
        <v>90</v>
      </c>
      <c r="E989" t="s">
        <v>206</v>
      </c>
      <c r="F989" s="1">
        <v>7889</v>
      </c>
    </row>
    <row r="990" spans="1:6" x14ac:dyDescent="0.3">
      <c r="A990" t="str">
        <f>_xlfn.XLOOKUP(ColombiaClientes[[#This Row],[Client]],VpsClientes[Client],VpsClientes[VP],"",0)</f>
        <v>Jhonatan Izquierdo Rico</v>
      </c>
      <c r="B990" t="s">
        <v>112</v>
      </c>
      <c r="C990" t="s">
        <v>194</v>
      </c>
      <c r="D990" t="s">
        <v>90</v>
      </c>
      <c r="E990" t="s">
        <v>206</v>
      </c>
      <c r="F990" s="1">
        <v>7106</v>
      </c>
    </row>
    <row r="991" spans="1:6" x14ac:dyDescent="0.3">
      <c r="A991" t="str">
        <f>_xlfn.XLOOKUP(ColombiaClientes[[#This Row],[Client]],VpsClientes[Client],VpsClientes[VP],"",0)</f>
        <v>Martha Guzman Arango</v>
      </c>
      <c r="B991" t="s">
        <v>97</v>
      </c>
      <c r="C991" t="s">
        <v>194</v>
      </c>
      <c r="D991" t="s">
        <v>90</v>
      </c>
      <c r="E991" t="s">
        <v>206</v>
      </c>
      <c r="F991" s="1">
        <v>5479</v>
      </c>
    </row>
    <row r="992" spans="1:6" x14ac:dyDescent="0.3">
      <c r="A992" t="str">
        <f>_xlfn.XLOOKUP(ColombiaClientes[[#This Row],[Client]],VpsClientes[Client],VpsClientes[VP],"",0)</f>
        <v>Martha Guzman Arango</v>
      </c>
      <c r="B992" t="s">
        <v>114</v>
      </c>
      <c r="C992" t="s">
        <v>194</v>
      </c>
      <c r="D992" t="s">
        <v>90</v>
      </c>
      <c r="E992" t="s">
        <v>206</v>
      </c>
      <c r="F992" s="1">
        <v>4469</v>
      </c>
    </row>
    <row r="993" spans="1:6" x14ac:dyDescent="0.3">
      <c r="A993" t="str">
        <f>_xlfn.XLOOKUP(ColombiaClientes[[#This Row],[Client]],VpsClientes[Client],VpsClientes[VP],"",0)</f>
        <v>Maria Forero Jara</v>
      </c>
      <c r="B993" t="s">
        <v>125</v>
      </c>
      <c r="C993" t="s">
        <v>194</v>
      </c>
      <c r="D993" t="s">
        <v>90</v>
      </c>
      <c r="E993" t="s">
        <v>206</v>
      </c>
      <c r="F993" s="1">
        <v>4235</v>
      </c>
    </row>
    <row r="994" spans="1:6" x14ac:dyDescent="0.3">
      <c r="A994" t="str">
        <f>_xlfn.XLOOKUP(ColombiaClientes[[#This Row],[Client]],VpsClientes[Client],VpsClientes[VP],"",0)</f>
        <v>Martha Guzman Arango</v>
      </c>
      <c r="B994" t="s">
        <v>122</v>
      </c>
      <c r="C994" t="s">
        <v>194</v>
      </c>
      <c r="D994" t="s">
        <v>90</v>
      </c>
      <c r="E994" t="s">
        <v>206</v>
      </c>
      <c r="F994" s="1">
        <v>4119</v>
      </c>
    </row>
    <row r="995" spans="1:6" x14ac:dyDescent="0.3">
      <c r="A995" t="str">
        <f>_xlfn.XLOOKUP(ColombiaClientes[[#This Row],[Client]],VpsClientes[Client],VpsClientes[VP],"",0)</f>
        <v>Hector Muraira Garza</v>
      </c>
      <c r="B995" t="s">
        <v>137</v>
      </c>
      <c r="C995" t="s">
        <v>194</v>
      </c>
      <c r="D995" t="s">
        <v>90</v>
      </c>
      <c r="E995" t="s">
        <v>206</v>
      </c>
      <c r="F995" s="1">
        <v>3847</v>
      </c>
    </row>
    <row r="996" spans="1:6" x14ac:dyDescent="0.3">
      <c r="A996" t="str">
        <f>_xlfn.XLOOKUP(ColombiaClientes[[#This Row],[Client]],VpsClientes[Client],VpsClientes[VP],"",0)</f>
        <v>Carlos Beltran Hernandez</v>
      </c>
      <c r="B996" t="s">
        <v>119</v>
      </c>
      <c r="C996" t="s">
        <v>194</v>
      </c>
      <c r="D996" t="s">
        <v>90</v>
      </c>
      <c r="E996" t="s">
        <v>206</v>
      </c>
      <c r="F996" s="1">
        <v>3824</v>
      </c>
    </row>
    <row r="997" spans="1:6" x14ac:dyDescent="0.3">
      <c r="A997" t="str">
        <f>_xlfn.XLOOKUP(ColombiaClientes[[#This Row],[Client]],VpsClientes[Client],VpsClientes[VP],"",0)</f>
        <v>Juan Granados Castillo</v>
      </c>
      <c r="B997" t="s">
        <v>136</v>
      </c>
      <c r="C997" t="s">
        <v>194</v>
      </c>
      <c r="D997" t="s">
        <v>90</v>
      </c>
      <c r="E997" t="s">
        <v>206</v>
      </c>
      <c r="F997" s="1">
        <v>3435</v>
      </c>
    </row>
    <row r="998" spans="1:6" x14ac:dyDescent="0.3">
      <c r="A998" t="str">
        <f>_xlfn.XLOOKUP(ColombiaClientes[[#This Row],[Client]],VpsClientes[Client],VpsClientes[VP],"",0)</f>
        <v>Maria Forero Jara</v>
      </c>
      <c r="B998" t="s">
        <v>108</v>
      </c>
      <c r="C998" t="s">
        <v>194</v>
      </c>
      <c r="D998" t="s">
        <v>90</v>
      </c>
      <c r="E998" t="s">
        <v>206</v>
      </c>
      <c r="F998" s="1">
        <v>3087</v>
      </c>
    </row>
    <row r="999" spans="1:6" x14ac:dyDescent="0.3">
      <c r="A999" t="str">
        <f>_xlfn.XLOOKUP(ColombiaClientes[[#This Row],[Client]],VpsClientes[Client],VpsClientes[VP],"",0)</f>
        <v>Maria Forero Jara</v>
      </c>
      <c r="B999" t="s">
        <v>106</v>
      </c>
      <c r="C999" t="s">
        <v>194</v>
      </c>
      <c r="D999" t="s">
        <v>90</v>
      </c>
      <c r="E999" t="s">
        <v>206</v>
      </c>
      <c r="F999" s="1">
        <v>2847</v>
      </c>
    </row>
    <row r="1000" spans="1:6" x14ac:dyDescent="0.3">
      <c r="A1000" t="str">
        <f>_xlfn.XLOOKUP(ColombiaClientes[[#This Row],[Client]],VpsClientes[Client],VpsClientes[VP],"",0)</f>
        <v>Jhonatan Izquierdo Rico</v>
      </c>
      <c r="B1000" t="s">
        <v>126</v>
      </c>
      <c r="C1000" t="s">
        <v>194</v>
      </c>
      <c r="D1000" t="s">
        <v>90</v>
      </c>
      <c r="E1000" t="s">
        <v>206</v>
      </c>
      <c r="F1000" s="1">
        <v>2844</v>
      </c>
    </row>
    <row r="1001" spans="1:6" x14ac:dyDescent="0.3">
      <c r="A1001" t="str">
        <f>_xlfn.XLOOKUP(ColombiaClientes[[#This Row],[Client]],VpsClientes[Client],VpsClientes[VP],"",0)</f>
        <v>Martha Guzman Arango</v>
      </c>
      <c r="B1001" t="s">
        <v>143</v>
      </c>
      <c r="C1001" t="s">
        <v>194</v>
      </c>
      <c r="D1001" t="s">
        <v>90</v>
      </c>
      <c r="E1001" t="s">
        <v>206</v>
      </c>
      <c r="F1001" s="1">
        <v>2469</v>
      </c>
    </row>
    <row r="1002" spans="1:6" x14ac:dyDescent="0.3">
      <c r="A1002" t="str">
        <f>_xlfn.XLOOKUP(ColombiaClientes[[#This Row],[Client]],VpsClientes[Client],VpsClientes[VP],"",0)</f>
        <v>Martha Guzman Arango</v>
      </c>
      <c r="B1002" t="s">
        <v>118</v>
      </c>
      <c r="C1002" t="s">
        <v>194</v>
      </c>
      <c r="D1002" t="s">
        <v>90</v>
      </c>
      <c r="E1002" t="s">
        <v>206</v>
      </c>
      <c r="F1002" s="1">
        <v>2311</v>
      </c>
    </row>
    <row r="1003" spans="1:6" x14ac:dyDescent="0.3">
      <c r="A1003" t="str">
        <f>_xlfn.XLOOKUP(ColombiaClientes[[#This Row],[Client]],VpsClientes[Client],VpsClientes[VP],"",0)</f>
        <v>Carlos Beltran Hernandez</v>
      </c>
      <c r="B1003" t="s">
        <v>151</v>
      </c>
      <c r="C1003" t="s">
        <v>194</v>
      </c>
      <c r="D1003" t="s">
        <v>90</v>
      </c>
      <c r="E1003" t="s">
        <v>206</v>
      </c>
      <c r="F1003" s="1">
        <v>2275</v>
      </c>
    </row>
    <row r="1004" spans="1:6" x14ac:dyDescent="0.3">
      <c r="A1004" t="str">
        <f>_xlfn.XLOOKUP(ColombiaClientes[[#This Row],[Client]],VpsClientes[Client],VpsClientes[VP],"",0)</f>
        <v>Maria Forero Jara</v>
      </c>
      <c r="B1004" t="s">
        <v>139</v>
      </c>
      <c r="C1004" t="s">
        <v>194</v>
      </c>
      <c r="D1004" t="s">
        <v>90</v>
      </c>
      <c r="E1004" t="s">
        <v>206</v>
      </c>
      <c r="F1004" s="1">
        <v>2273</v>
      </c>
    </row>
    <row r="1005" spans="1:6" x14ac:dyDescent="0.3">
      <c r="A1005" t="str">
        <f>_xlfn.XLOOKUP(ColombiaClientes[[#This Row],[Client]],VpsClientes[Client],VpsClientes[VP],"",0)</f>
        <v>Martha Guzman Arango</v>
      </c>
      <c r="B1005" t="s">
        <v>135</v>
      </c>
      <c r="C1005" t="s">
        <v>194</v>
      </c>
      <c r="D1005" t="s">
        <v>90</v>
      </c>
      <c r="E1005" t="s">
        <v>206</v>
      </c>
      <c r="F1005" s="1">
        <v>1968</v>
      </c>
    </row>
    <row r="1006" spans="1:6" x14ac:dyDescent="0.3">
      <c r="A1006" t="str">
        <f>_xlfn.XLOOKUP(ColombiaClientes[[#This Row],[Client]],VpsClientes[Client],VpsClientes[VP],"",0)</f>
        <v>Martha Guzman Arango</v>
      </c>
      <c r="B1006" t="s">
        <v>166</v>
      </c>
      <c r="C1006" t="s">
        <v>194</v>
      </c>
      <c r="D1006" t="s">
        <v>90</v>
      </c>
      <c r="E1006" t="s">
        <v>206</v>
      </c>
      <c r="F1006" s="1">
        <v>1855</v>
      </c>
    </row>
    <row r="1007" spans="1:6" x14ac:dyDescent="0.3">
      <c r="A1007" t="str">
        <f>_xlfn.XLOOKUP(ColombiaClientes[[#This Row],[Client]],VpsClientes[Client],VpsClientes[VP],"",0)</f>
        <v>Maria Forero Jara</v>
      </c>
      <c r="B1007" t="s">
        <v>111</v>
      </c>
      <c r="C1007" t="s">
        <v>194</v>
      </c>
      <c r="D1007" t="s">
        <v>90</v>
      </c>
      <c r="E1007" t="s">
        <v>206</v>
      </c>
      <c r="F1007" s="1">
        <v>1710</v>
      </c>
    </row>
    <row r="1008" spans="1:6" x14ac:dyDescent="0.3">
      <c r="A1008" t="str">
        <f>_xlfn.XLOOKUP(ColombiaClientes[[#This Row],[Client]],VpsClientes[Client],VpsClientes[VP],"",0)</f>
        <v>Martha Guzman Arango</v>
      </c>
      <c r="B1008" t="s">
        <v>152</v>
      </c>
      <c r="C1008" t="s">
        <v>194</v>
      </c>
      <c r="D1008" t="s">
        <v>90</v>
      </c>
      <c r="E1008" t="s">
        <v>206</v>
      </c>
      <c r="F1008" s="1">
        <v>1661</v>
      </c>
    </row>
    <row r="1009" spans="1:6" x14ac:dyDescent="0.3">
      <c r="A1009" t="str">
        <f>_xlfn.XLOOKUP(ColombiaClientes[[#This Row],[Client]],VpsClientes[Client],VpsClientes[VP],"",0)</f>
        <v>Martha Guzman Arango</v>
      </c>
      <c r="B1009" t="s">
        <v>109</v>
      </c>
      <c r="C1009" t="s">
        <v>194</v>
      </c>
      <c r="D1009" t="s">
        <v>90</v>
      </c>
      <c r="E1009" t="s">
        <v>206</v>
      </c>
      <c r="F1009" s="1">
        <v>1635</v>
      </c>
    </row>
    <row r="1010" spans="1:6" x14ac:dyDescent="0.3">
      <c r="A1010" t="str">
        <f>_xlfn.XLOOKUP(ColombiaClientes[[#This Row],[Client]],VpsClientes[Client],VpsClientes[VP],"",0)</f>
        <v>Moises Saavedra Garcia</v>
      </c>
      <c r="B1010" t="s">
        <v>115</v>
      </c>
      <c r="C1010" t="s">
        <v>194</v>
      </c>
      <c r="D1010" t="s">
        <v>90</v>
      </c>
      <c r="E1010" t="s">
        <v>206</v>
      </c>
      <c r="F1010" s="1">
        <v>1495</v>
      </c>
    </row>
    <row r="1011" spans="1:6" x14ac:dyDescent="0.3">
      <c r="A1011" t="str">
        <f>_xlfn.XLOOKUP(ColombiaClientes[[#This Row],[Client]],VpsClientes[Client],VpsClientes[VP],"",0)</f>
        <v>Maria Forero Jara</v>
      </c>
      <c r="B1011" t="s">
        <v>123</v>
      </c>
      <c r="C1011" t="s">
        <v>194</v>
      </c>
      <c r="D1011" t="s">
        <v>90</v>
      </c>
      <c r="E1011" t="s">
        <v>206</v>
      </c>
      <c r="F1011" s="1">
        <v>1367</v>
      </c>
    </row>
    <row r="1012" spans="1:6" x14ac:dyDescent="0.3">
      <c r="A1012" t="str">
        <f>_xlfn.XLOOKUP(ColombiaClientes[[#This Row],[Client]],VpsClientes[Client],VpsClientes[VP],"",0)</f>
        <v>Ernesto Rico Zuluaga</v>
      </c>
      <c r="B1012" t="s">
        <v>116</v>
      </c>
      <c r="C1012" t="s">
        <v>194</v>
      </c>
      <c r="D1012" t="s">
        <v>90</v>
      </c>
      <c r="E1012" t="s">
        <v>206</v>
      </c>
      <c r="F1012" s="1">
        <v>1322</v>
      </c>
    </row>
    <row r="1013" spans="1:6" x14ac:dyDescent="0.3">
      <c r="A1013" t="str">
        <f>_xlfn.XLOOKUP(ColombiaClientes[[#This Row],[Client]],VpsClientes[Client],VpsClientes[VP],"",0)</f>
        <v>Juan Granados Castillo</v>
      </c>
      <c r="B1013" t="s">
        <v>134</v>
      </c>
      <c r="C1013" t="s">
        <v>194</v>
      </c>
      <c r="D1013" t="s">
        <v>90</v>
      </c>
      <c r="E1013" t="s">
        <v>206</v>
      </c>
      <c r="F1013" s="1">
        <v>1244</v>
      </c>
    </row>
    <row r="1014" spans="1:6" x14ac:dyDescent="0.3">
      <c r="A1014" t="str">
        <f>_xlfn.XLOOKUP(ColombiaClientes[[#This Row],[Client]],VpsClientes[Client],VpsClientes[VP],"",0)</f>
        <v>Hector Muraira Garza</v>
      </c>
      <c r="B1014" t="s">
        <v>130</v>
      </c>
      <c r="C1014" t="s">
        <v>194</v>
      </c>
      <c r="D1014" t="s">
        <v>90</v>
      </c>
      <c r="E1014" t="s">
        <v>206</v>
      </c>
      <c r="F1014" s="1">
        <v>1211</v>
      </c>
    </row>
    <row r="1015" spans="1:6" x14ac:dyDescent="0.3">
      <c r="A1015" t="str">
        <f>_xlfn.XLOOKUP(ColombiaClientes[[#This Row],[Client]],VpsClientes[Client],VpsClientes[VP],"",0)</f>
        <v>Jhonatan Izquierdo Rico</v>
      </c>
      <c r="B1015" t="s">
        <v>138</v>
      </c>
      <c r="C1015" t="s">
        <v>194</v>
      </c>
      <c r="D1015" t="s">
        <v>90</v>
      </c>
      <c r="E1015" t="s">
        <v>206</v>
      </c>
      <c r="F1015" s="1">
        <v>1196</v>
      </c>
    </row>
    <row r="1016" spans="1:6" x14ac:dyDescent="0.3">
      <c r="A1016" t="str">
        <f>_xlfn.XLOOKUP(ColombiaClientes[[#This Row],[Client]],VpsClientes[Client],VpsClientes[VP],"",0)</f>
        <v>Moises Saavedra Garcia</v>
      </c>
      <c r="B1016" t="s">
        <v>150</v>
      </c>
      <c r="C1016" t="s">
        <v>194</v>
      </c>
      <c r="D1016" t="s">
        <v>90</v>
      </c>
      <c r="E1016" t="s">
        <v>206</v>
      </c>
      <c r="F1016" s="1">
        <v>1084</v>
      </c>
    </row>
    <row r="1017" spans="1:6" x14ac:dyDescent="0.3">
      <c r="A1017" t="str">
        <f>_xlfn.XLOOKUP(ColombiaClientes[[#This Row],[Client]],VpsClientes[Client],VpsClientes[VP],"",0)</f>
        <v>Moises Saavedra Garcia</v>
      </c>
      <c r="B1017" t="s">
        <v>120</v>
      </c>
      <c r="C1017" t="s">
        <v>194</v>
      </c>
      <c r="D1017" t="s">
        <v>90</v>
      </c>
      <c r="E1017" t="s">
        <v>206</v>
      </c>
      <c r="F1017" s="1">
        <v>1020</v>
      </c>
    </row>
    <row r="1018" spans="1:6" x14ac:dyDescent="0.3">
      <c r="A1018" t="str">
        <f>_xlfn.XLOOKUP(ColombiaClientes[[#This Row],[Client]],VpsClientes[Client],VpsClientes[VP],"",0)</f>
        <v>Martha Guzman Arango</v>
      </c>
      <c r="B1018" t="s">
        <v>168</v>
      </c>
      <c r="C1018" t="s">
        <v>194</v>
      </c>
      <c r="D1018" t="s">
        <v>90</v>
      </c>
      <c r="E1018" t="s">
        <v>206</v>
      </c>
      <c r="F1018" s="1">
        <v>998</v>
      </c>
    </row>
    <row r="1019" spans="1:6" x14ac:dyDescent="0.3">
      <c r="A1019" t="str">
        <f>_xlfn.XLOOKUP(ColombiaClientes[[#This Row],[Client]],VpsClientes[Client],VpsClientes[VP],"",0)</f>
        <v>Martha Guzman Arango</v>
      </c>
      <c r="B1019" t="s">
        <v>153</v>
      </c>
      <c r="C1019" t="s">
        <v>194</v>
      </c>
      <c r="D1019" t="s">
        <v>90</v>
      </c>
      <c r="E1019" t="s">
        <v>206</v>
      </c>
      <c r="F1019" s="1">
        <v>983</v>
      </c>
    </row>
    <row r="1020" spans="1:6" x14ac:dyDescent="0.3">
      <c r="A1020" t="str">
        <f>_xlfn.XLOOKUP(ColombiaClientes[[#This Row],[Client]],VpsClientes[Client],VpsClientes[VP],"",0)</f>
        <v>Martha Guzman Arango</v>
      </c>
      <c r="B1020" t="s">
        <v>146</v>
      </c>
      <c r="C1020" t="s">
        <v>194</v>
      </c>
      <c r="D1020" t="s">
        <v>90</v>
      </c>
      <c r="E1020" t="s">
        <v>206</v>
      </c>
      <c r="F1020" s="1">
        <v>972</v>
      </c>
    </row>
    <row r="1021" spans="1:6" x14ac:dyDescent="0.3">
      <c r="A1021" t="str">
        <f>_xlfn.XLOOKUP(ColombiaClientes[[#This Row],[Client]],VpsClientes[Client],VpsClientes[VP],"",0)</f>
        <v>Hector Muraira Garza</v>
      </c>
      <c r="B1021" t="s">
        <v>132</v>
      </c>
      <c r="C1021" t="s">
        <v>194</v>
      </c>
      <c r="D1021" t="s">
        <v>90</v>
      </c>
      <c r="E1021" t="s">
        <v>206</v>
      </c>
      <c r="F1021" s="1">
        <v>924</v>
      </c>
    </row>
    <row r="1022" spans="1:6" x14ac:dyDescent="0.3">
      <c r="A1022" t="str">
        <f>_xlfn.XLOOKUP(ColombiaClientes[[#This Row],[Client]],VpsClientes[Client],VpsClientes[VP],"",0)</f>
        <v>Jhonatan Izquierdo Rico</v>
      </c>
      <c r="B1022" t="s">
        <v>117</v>
      </c>
      <c r="C1022" t="s">
        <v>194</v>
      </c>
      <c r="D1022" t="s">
        <v>90</v>
      </c>
      <c r="E1022" t="s">
        <v>206</v>
      </c>
      <c r="F1022" s="1">
        <v>862</v>
      </c>
    </row>
    <row r="1023" spans="1:6" x14ac:dyDescent="0.3">
      <c r="A1023" t="str">
        <f>_xlfn.XLOOKUP(ColombiaClientes[[#This Row],[Client]],VpsClientes[Client],VpsClientes[VP],"",0)</f>
        <v>Martha Guzman Arango</v>
      </c>
      <c r="B1023" t="s">
        <v>145</v>
      </c>
      <c r="C1023" t="s">
        <v>194</v>
      </c>
      <c r="D1023" t="s">
        <v>90</v>
      </c>
      <c r="E1023" t="s">
        <v>206</v>
      </c>
      <c r="F1023" s="1">
        <v>814</v>
      </c>
    </row>
    <row r="1024" spans="1:6" x14ac:dyDescent="0.3">
      <c r="A1024" t="str">
        <f>_xlfn.XLOOKUP(ColombiaClientes[[#This Row],[Client]],VpsClientes[Client],VpsClientes[VP],"",0)</f>
        <v>Martha Guzman Arango</v>
      </c>
      <c r="B1024" t="s">
        <v>162</v>
      </c>
      <c r="C1024" t="s">
        <v>194</v>
      </c>
      <c r="D1024" t="s">
        <v>90</v>
      </c>
      <c r="E1024" t="s">
        <v>206</v>
      </c>
      <c r="F1024" s="1">
        <v>794</v>
      </c>
    </row>
    <row r="1025" spans="1:6" x14ac:dyDescent="0.3">
      <c r="A1025" t="str">
        <f>_xlfn.XLOOKUP(ColombiaClientes[[#This Row],[Client]],VpsClientes[Client],VpsClientes[VP],"",0)</f>
        <v>Hector Muraira Garza</v>
      </c>
      <c r="B1025" t="s">
        <v>154</v>
      </c>
      <c r="C1025" t="s">
        <v>194</v>
      </c>
      <c r="D1025" t="s">
        <v>90</v>
      </c>
      <c r="E1025" t="s">
        <v>206</v>
      </c>
      <c r="F1025" s="1">
        <v>777</v>
      </c>
    </row>
    <row r="1026" spans="1:6" x14ac:dyDescent="0.3">
      <c r="A1026" t="str">
        <f>_xlfn.XLOOKUP(ColombiaClientes[[#This Row],[Client]],VpsClientes[Client],VpsClientes[VP],"",0)</f>
        <v>Martha Guzman Arango</v>
      </c>
      <c r="B1026" t="s">
        <v>124</v>
      </c>
      <c r="C1026" t="s">
        <v>194</v>
      </c>
      <c r="D1026" t="s">
        <v>90</v>
      </c>
      <c r="E1026" t="s">
        <v>206</v>
      </c>
      <c r="F1026" s="1">
        <v>740</v>
      </c>
    </row>
    <row r="1027" spans="1:6" x14ac:dyDescent="0.3">
      <c r="A1027">
        <f>_xlfn.XLOOKUP(ColombiaClientes[[#This Row],[Client]],VpsClientes[Client],VpsClientes[VP],"",0)</f>
        <v>0</v>
      </c>
      <c r="B1027" t="s">
        <v>147</v>
      </c>
      <c r="C1027" t="s">
        <v>191</v>
      </c>
      <c r="D1027" t="s">
        <v>90</v>
      </c>
      <c r="E1027" t="s">
        <v>206</v>
      </c>
      <c r="F1027" s="1">
        <v>568</v>
      </c>
    </row>
    <row r="1028" spans="1:6" x14ac:dyDescent="0.3">
      <c r="A1028" t="str">
        <f>_xlfn.XLOOKUP(ColombiaClientes[[#This Row],[Client]],VpsClientes[Client],VpsClientes[VP],"",0)</f>
        <v>Maria Forero Jara</v>
      </c>
      <c r="B1028" t="s">
        <v>179</v>
      </c>
      <c r="C1028" t="s">
        <v>194</v>
      </c>
      <c r="D1028" t="s">
        <v>90</v>
      </c>
      <c r="E1028" t="s">
        <v>206</v>
      </c>
      <c r="F1028" s="1">
        <v>665</v>
      </c>
    </row>
    <row r="1029" spans="1:6" x14ac:dyDescent="0.3">
      <c r="A1029" t="str">
        <f>_xlfn.XLOOKUP(ColombiaClientes[[#This Row],[Client]],VpsClientes[Client],VpsClientes[VP],"",0)</f>
        <v>Carlos Beltran Hernandez</v>
      </c>
      <c r="B1029" t="s">
        <v>173</v>
      </c>
      <c r="C1029" t="s">
        <v>194</v>
      </c>
      <c r="D1029" t="s">
        <v>90</v>
      </c>
      <c r="E1029" t="s">
        <v>206</v>
      </c>
      <c r="F1029" s="1">
        <v>602</v>
      </c>
    </row>
    <row r="1030" spans="1:6" x14ac:dyDescent="0.3">
      <c r="A1030" t="str">
        <f>_xlfn.XLOOKUP(ColombiaClientes[[#This Row],[Client]],VpsClientes[Client],VpsClientes[VP],"",0)</f>
        <v>Jhonatan Izquierdo Rico</v>
      </c>
      <c r="B1030" t="s">
        <v>157</v>
      </c>
      <c r="C1030" t="s">
        <v>194</v>
      </c>
      <c r="D1030" t="s">
        <v>90</v>
      </c>
      <c r="E1030" t="s">
        <v>206</v>
      </c>
      <c r="F1030" s="1">
        <v>543</v>
      </c>
    </row>
    <row r="1031" spans="1:6" x14ac:dyDescent="0.3">
      <c r="A1031" t="str">
        <f>_xlfn.XLOOKUP(ColombiaClientes[[#This Row],[Client]],VpsClientes[Client],VpsClientes[VP],"",0)</f>
        <v>Ernesto Rico Zuluaga</v>
      </c>
      <c r="B1031" t="s">
        <v>121</v>
      </c>
      <c r="C1031" t="s">
        <v>194</v>
      </c>
      <c r="D1031" t="s">
        <v>90</v>
      </c>
      <c r="E1031" t="s">
        <v>206</v>
      </c>
      <c r="F1031" s="1">
        <v>517</v>
      </c>
    </row>
    <row r="1032" spans="1:6" x14ac:dyDescent="0.3">
      <c r="A1032" t="str">
        <f>_xlfn.XLOOKUP(ColombiaClientes[[#This Row],[Client]],VpsClientes[Client],VpsClientes[VP],"",0)</f>
        <v>Martha Guzman Arango</v>
      </c>
      <c r="B1032" t="s">
        <v>156</v>
      </c>
      <c r="C1032" t="s">
        <v>194</v>
      </c>
      <c r="D1032" t="s">
        <v>90</v>
      </c>
      <c r="E1032" t="s">
        <v>206</v>
      </c>
      <c r="F1032" s="1">
        <v>511</v>
      </c>
    </row>
    <row r="1033" spans="1:6" x14ac:dyDescent="0.3">
      <c r="A1033" t="str">
        <f>_xlfn.XLOOKUP(ColombiaClientes[[#This Row],[Client]],VpsClientes[Client],VpsClientes[VP],"",0)</f>
        <v>Maria Forero Jara</v>
      </c>
      <c r="B1033" t="s">
        <v>163</v>
      </c>
      <c r="C1033" t="s">
        <v>194</v>
      </c>
      <c r="D1033" t="s">
        <v>90</v>
      </c>
      <c r="E1033" t="s">
        <v>206</v>
      </c>
      <c r="F1033" s="1">
        <v>507</v>
      </c>
    </row>
    <row r="1034" spans="1:6" x14ac:dyDescent="0.3">
      <c r="A1034" t="str">
        <f>_xlfn.XLOOKUP(ColombiaClientes[[#This Row],[Client]],VpsClientes[Client],VpsClientes[VP],"",0)</f>
        <v>Jhonatan Izquierdo Rico</v>
      </c>
      <c r="B1034" t="s">
        <v>129</v>
      </c>
      <c r="C1034" t="s">
        <v>194</v>
      </c>
      <c r="D1034" t="s">
        <v>90</v>
      </c>
      <c r="E1034" t="s">
        <v>206</v>
      </c>
      <c r="F1034" s="1">
        <v>480</v>
      </c>
    </row>
    <row r="1035" spans="1:6" x14ac:dyDescent="0.3">
      <c r="A1035" t="str">
        <f>_xlfn.XLOOKUP(ColombiaClientes[[#This Row],[Client]],VpsClientes[Client],VpsClientes[VP],"",0)</f>
        <v>Martha Guzman Arango</v>
      </c>
      <c r="B1035" t="s">
        <v>131</v>
      </c>
      <c r="C1035" t="s">
        <v>194</v>
      </c>
      <c r="D1035" t="s">
        <v>90</v>
      </c>
      <c r="E1035" t="s">
        <v>206</v>
      </c>
      <c r="F1035" s="1">
        <v>459</v>
      </c>
    </row>
    <row r="1036" spans="1:6" x14ac:dyDescent="0.3">
      <c r="A1036" t="str">
        <f>_xlfn.XLOOKUP(ColombiaClientes[[#This Row],[Client]],VpsClientes[Client],VpsClientes[VP],"",0)</f>
        <v>Martha Guzman Arango</v>
      </c>
      <c r="B1036" t="s">
        <v>171</v>
      </c>
      <c r="C1036" t="s">
        <v>194</v>
      </c>
      <c r="D1036" t="s">
        <v>90</v>
      </c>
      <c r="E1036" t="s">
        <v>206</v>
      </c>
      <c r="F1036" s="1">
        <v>426</v>
      </c>
    </row>
    <row r="1037" spans="1:6" x14ac:dyDescent="0.3">
      <c r="A1037" t="str">
        <f>_xlfn.XLOOKUP(ColombiaClientes[[#This Row],[Client]],VpsClientes[Client],VpsClientes[VP],"",0)</f>
        <v>Martha Guzman Arango</v>
      </c>
      <c r="B1037" t="s">
        <v>185</v>
      </c>
      <c r="C1037" t="s">
        <v>194</v>
      </c>
      <c r="D1037" t="s">
        <v>90</v>
      </c>
      <c r="E1037" t="s">
        <v>206</v>
      </c>
      <c r="F1037" s="1">
        <v>420</v>
      </c>
    </row>
    <row r="1038" spans="1:6" x14ac:dyDescent="0.3">
      <c r="A1038" t="str">
        <f>_xlfn.XLOOKUP(ColombiaClientes[[#This Row],[Client]],VpsClientes[Client],VpsClientes[VP],"",0)</f>
        <v>Maria Forero Jara</v>
      </c>
      <c r="B1038" t="s">
        <v>182</v>
      </c>
      <c r="C1038" t="s">
        <v>194</v>
      </c>
      <c r="D1038" t="s">
        <v>90</v>
      </c>
      <c r="E1038" t="s">
        <v>206</v>
      </c>
      <c r="F1038" s="1">
        <v>403</v>
      </c>
    </row>
    <row r="1039" spans="1:6" x14ac:dyDescent="0.3">
      <c r="A1039" t="str">
        <f>_xlfn.XLOOKUP(ColombiaClientes[[#This Row],[Client]],VpsClientes[Client],VpsClientes[VP],"",0)</f>
        <v>Martha Guzman Arango</v>
      </c>
      <c r="B1039" t="s">
        <v>148</v>
      </c>
      <c r="C1039" t="s">
        <v>194</v>
      </c>
      <c r="D1039" t="s">
        <v>90</v>
      </c>
      <c r="E1039" t="s">
        <v>206</v>
      </c>
      <c r="F1039" s="1">
        <v>399</v>
      </c>
    </row>
    <row r="1040" spans="1:6" x14ac:dyDescent="0.3">
      <c r="A1040" t="str">
        <f>_xlfn.XLOOKUP(ColombiaClientes[[#This Row],[Client]],VpsClientes[Client],VpsClientes[VP],"",0)</f>
        <v>Juan Granados Castillo</v>
      </c>
      <c r="B1040" t="s">
        <v>142</v>
      </c>
      <c r="C1040" t="s">
        <v>194</v>
      </c>
      <c r="D1040" t="s">
        <v>90</v>
      </c>
      <c r="E1040" t="s">
        <v>206</v>
      </c>
      <c r="F1040" s="1">
        <v>347</v>
      </c>
    </row>
    <row r="1041" spans="1:6" x14ac:dyDescent="0.3">
      <c r="A1041" t="str">
        <f>_xlfn.XLOOKUP(ColombiaClientes[[#This Row],[Client]],VpsClientes[Client],VpsClientes[VP],"",0)</f>
        <v>Martha Guzman Arango</v>
      </c>
      <c r="B1041" t="s">
        <v>170</v>
      </c>
      <c r="C1041" t="s">
        <v>194</v>
      </c>
      <c r="D1041" t="s">
        <v>90</v>
      </c>
      <c r="E1041" t="s">
        <v>206</v>
      </c>
      <c r="F1041" s="1">
        <v>328</v>
      </c>
    </row>
    <row r="1042" spans="1:6" x14ac:dyDescent="0.3">
      <c r="A1042" t="str">
        <f>_xlfn.XLOOKUP(ColombiaClientes[[#This Row],[Client]],VpsClientes[Client],VpsClientes[VP],"",0)</f>
        <v>Moises Saavedra Garcia</v>
      </c>
      <c r="B1042" t="s">
        <v>190</v>
      </c>
      <c r="C1042" t="s">
        <v>194</v>
      </c>
      <c r="D1042" t="s">
        <v>90</v>
      </c>
      <c r="E1042" t="s">
        <v>206</v>
      </c>
      <c r="F1042" s="1">
        <v>327</v>
      </c>
    </row>
    <row r="1043" spans="1:6" x14ac:dyDescent="0.3">
      <c r="A1043" t="str">
        <f>_xlfn.XLOOKUP(ColombiaClientes[[#This Row],[Client]],VpsClientes[Client],VpsClientes[VP],"",0)</f>
        <v>Carlos Beltran Hernandez</v>
      </c>
      <c r="B1043" t="s">
        <v>158</v>
      </c>
      <c r="C1043" t="s">
        <v>194</v>
      </c>
      <c r="D1043" t="s">
        <v>90</v>
      </c>
      <c r="E1043" t="s">
        <v>206</v>
      </c>
      <c r="F1043" s="1">
        <v>323</v>
      </c>
    </row>
    <row r="1044" spans="1:6" x14ac:dyDescent="0.3">
      <c r="A1044" t="str">
        <f>_xlfn.XLOOKUP(ColombiaClientes[[#This Row],[Client]],VpsClientes[Client],VpsClientes[VP],"",0)</f>
        <v>Hector Muraira Garza</v>
      </c>
      <c r="B1044" t="s">
        <v>140</v>
      </c>
      <c r="C1044" t="s">
        <v>194</v>
      </c>
      <c r="D1044" t="s">
        <v>90</v>
      </c>
      <c r="E1044" t="s">
        <v>206</v>
      </c>
      <c r="F1044" s="1">
        <v>318</v>
      </c>
    </row>
    <row r="1045" spans="1:6" x14ac:dyDescent="0.3">
      <c r="A1045" t="str">
        <f>_xlfn.XLOOKUP(ColombiaClientes[[#This Row],[Client]],VpsClientes[Client],VpsClientes[VP],"",0)</f>
        <v>Jhonatan Izquierdo Rico</v>
      </c>
      <c r="B1045" t="s">
        <v>197</v>
      </c>
      <c r="C1045" t="s">
        <v>194</v>
      </c>
      <c r="D1045" t="s">
        <v>90</v>
      </c>
      <c r="E1045" t="s">
        <v>206</v>
      </c>
      <c r="F1045" s="1">
        <v>299</v>
      </c>
    </row>
    <row r="1046" spans="1:6" x14ac:dyDescent="0.3">
      <c r="A1046">
        <f>_xlfn.XLOOKUP(ColombiaClientes[[#This Row],[Client]],VpsClientes[Client],VpsClientes[VP],"",0)</f>
        <v>0</v>
      </c>
      <c r="B1046" t="s">
        <v>147</v>
      </c>
      <c r="C1046" t="s">
        <v>192</v>
      </c>
      <c r="D1046" t="s">
        <v>90</v>
      </c>
      <c r="E1046" t="s">
        <v>206</v>
      </c>
      <c r="F1046" s="1">
        <v>13</v>
      </c>
    </row>
    <row r="1047" spans="1:6" x14ac:dyDescent="0.3">
      <c r="A1047" t="str">
        <f>_xlfn.XLOOKUP(ColombiaClientes[[#This Row],[Client]],VpsClientes[Client],VpsClientes[VP],"",0)</f>
        <v>Martha Guzman Arango</v>
      </c>
      <c r="B1047" t="s">
        <v>199</v>
      </c>
      <c r="C1047" t="s">
        <v>194</v>
      </c>
      <c r="D1047" t="s">
        <v>90</v>
      </c>
      <c r="E1047" t="s">
        <v>206</v>
      </c>
      <c r="F1047" s="1">
        <v>235</v>
      </c>
    </row>
    <row r="1048" spans="1:6" x14ac:dyDescent="0.3">
      <c r="A1048" t="str">
        <f>_xlfn.XLOOKUP(ColombiaClientes[[#This Row],[Client]],VpsClientes[Client],VpsClientes[VP],"",0)</f>
        <v>Moises Saavedra Garcia</v>
      </c>
      <c r="B1048" t="s">
        <v>172</v>
      </c>
      <c r="C1048" t="s">
        <v>194</v>
      </c>
      <c r="D1048" t="s">
        <v>90</v>
      </c>
      <c r="E1048" t="s">
        <v>206</v>
      </c>
      <c r="F1048" s="1">
        <v>232</v>
      </c>
    </row>
    <row r="1049" spans="1:6" x14ac:dyDescent="0.3">
      <c r="A1049" t="str">
        <f>_xlfn.XLOOKUP(ColombiaClientes[[#This Row],[Client]],VpsClientes[Client],VpsClientes[VP],"",0)</f>
        <v>Moises Saavedra Garcia</v>
      </c>
      <c r="B1049" t="s">
        <v>110</v>
      </c>
      <c r="C1049" t="s">
        <v>194</v>
      </c>
      <c r="D1049" t="s">
        <v>90</v>
      </c>
      <c r="E1049" t="s">
        <v>206</v>
      </c>
      <c r="F1049" s="1">
        <v>226</v>
      </c>
    </row>
    <row r="1050" spans="1:6" x14ac:dyDescent="0.3">
      <c r="A1050" t="str">
        <f>_xlfn.XLOOKUP(ColombiaClientes[[#This Row],[Client]],VpsClientes[Client],VpsClientes[VP],"",0)</f>
        <v>Maria Forero Jara</v>
      </c>
      <c r="B1050" t="s">
        <v>144</v>
      </c>
      <c r="C1050" t="s">
        <v>194</v>
      </c>
      <c r="D1050" t="s">
        <v>90</v>
      </c>
      <c r="E1050" t="s">
        <v>206</v>
      </c>
      <c r="F1050" s="1">
        <v>222</v>
      </c>
    </row>
    <row r="1051" spans="1:6" x14ac:dyDescent="0.3">
      <c r="A1051" t="str">
        <f>_xlfn.XLOOKUP(ColombiaClientes[[#This Row],[Client]],VpsClientes[Client],VpsClientes[VP],"",0)</f>
        <v>Martha Guzman Arango</v>
      </c>
      <c r="B1051" t="s">
        <v>165</v>
      </c>
      <c r="C1051" t="s">
        <v>194</v>
      </c>
      <c r="D1051" t="s">
        <v>90</v>
      </c>
      <c r="E1051" t="s">
        <v>206</v>
      </c>
      <c r="F1051" s="1">
        <v>180</v>
      </c>
    </row>
    <row r="1052" spans="1:6" x14ac:dyDescent="0.3">
      <c r="A1052" t="str">
        <f>_xlfn.XLOOKUP(ColombiaClientes[[#This Row],[Client]],VpsClientes[Client],VpsClientes[VP],"",0)</f>
        <v>Jhonatan Izquierdo Rico</v>
      </c>
      <c r="B1052" t="s">
        <v>200</v>
      </c>
      <c r="C1052" t="s">
        <v>194</v>
      </c>
      <c r="D1052" t="s">
        <v>90</v>
      </c>
      <c r="E1052" t="s">
        <v>206</v>
      </c>
      <c r="F1052" s="1">
        <v>174</v>
      </c>
    </row>
    <row r="1053" spans="1:6" x14ac:dyDescent="0.3">
      <c r="A1053">
        <f>_xlfn.XLOOKUP(ColombiaClientes[[#This Row],[Client]],VpsClientes[Client],VpsClientes[VP],"",0)</f>
        <v>0</v>
      </c>
      <c r="B1053" t="s">
        <v>147</v>
      </c>
      <c r="C1053" t="s">
        <v>92</v>
      </c>
      <c r="D1053" t="s">
        <v>219</v>
      </c>
      <c r="E1053" t="s">
        <v>91</v>
      </c>
      <c r="F1053" s="1">
        <v>150</v>
      </c>
    </row>
    <row r="1054" spans="1:6" x14ac:dyDescent="0.3">
      <c r="A1054" t="str">
        <f>_xlfn.XLOOKUP(ColombiaClientes[[#This Row],[Client]],VpsClientes[Client],VpsClientes[VP],"",0)</f>
        <v>Martha Guzman Arango</v>
      </c>
      <c r="B1054" t="s">
        <v>176</v>
      </c>
      <c r="C1054" t="s">
        <v>194</v>
      </c>
      <c r="D1054" t="s">
        <v>90</v>
      </c>
      <c r="E1054" t="s">
        <v>206</v>
      </c>
      <c r="F1054" s="1">
        <v>138</v>
      </c>
    </row>
    <row r="1055" spans="1:6" x14ac:dyDescent="0.3">
      <c r="A1055">
        <f>_xlfn.XLOOKUP(ColombiaClientes[[#This Row],[Client]],VpsClientes[Client],VpsClientes[VP],"",0)</f>
        <v>0</v>
      </c>
      <c r="B1055" t="s">
        <v>147</v>
      </c>
      <c r="C1055" t="s">
        <v>191</v>
      </c>
      <c r="D1055" t="s">
        <v>219</v>
      </c>
      <c r="E1055" t="s">
        <v>91</v>
      </c>
      <c r="F1055" s="1">
        <v>159</v>
      </c>
    </row>
    <row r="1056" spans="1:6" x14ac:dyDescent="0.3">
      <c r="A1056" t="str">
        <f>_xlfn.XLOOKUP(ColombiaClientes[[#This Row],[Client]],VpsClientes[Client],VpsClientes[VP],"",0)</f>
        <v>Martha Guzman Arango</v>
      </c>
      <c r="B1056" t="s">
        <v>169</v>
      </c>
      <c r="C1056" t="s">
        <v>194</v>
      </c>
      <c r="D1056" t="s">
        <v>90</v>
      </c>
      <c r="E1056" t="s">
        <v>206</v>
      </c>
      <c r="F1056" s="1">
        <v>129</v>
      </c>
    </row>
    <row r="1057" spans="1:6" x14ac:dyDescent="0.3">
      <c r="A1057" t="str">
        <f>_xlfn.XLOOKUP(ColombiaClientes[[#This Row],[Client]],VpsClientes[Client],VpsClientes[VP],"",0)</f>
        <v>Martha Guzman Arango</v>
      </c>
      <c r="B1057" t="s">
        <v>174</v>
      </c>
      <c r="C1057" t="s">
        <v>194</v>
      </c>
      <c r="D1057" t="s">
        <v>90</v>
      </c>
      <c r="E1057" t="s">
        <v>206</v>
      </c>
      <c r="F1057" s="1">
        <v>117</v>
      </c>
    </row>
    <row r="1058" spans="1:6" x14ac:dyDescent="0.3">
      <c r="A1058" t="str">
        <f>_xlfn.XLOOKUP(ColombiaClientes[[#This Row],[Client]],VpsClientes[Client],VpsClientes[VP],"",0)</f>
        <v>Martha Guzman Arango</v>
      </c>
      <c r="B1058" t="s">
        <v>155</v>
      </c>
      <c r="C1058" t="s">
        <v>194</v>
      </c>
      <c r="D1058" t="s">
        <v>90</v>
      </c>
      <c r="E1058" t="s">
        <v>206</v>
      </c>
      <c r="F1058" s="1">
        <v>116</v>
      </c>
    </row>
    <row r="1059" spans="1:6" x14ac:dyDescent="0.3">
      <c r="A1059" t="str">
        <f>_xlfn.XLOOKUP(ColombiaClientes[[#This Row],[Client]],VpsClientes[Client],VpsClientes[VP],"",0)</f>
        <v>Moises Saavedra Garcia</v>
      </c>
      <c r="B1059" t="s">
        <v>175</v>
      </c>
      <c r="C1059" t="s">
        <v>194</v>
      </c>
      <c r="D1059" t="s">
        <v>90</v>
      </c>
      <c r="E1059" t="s">
        <v>206</v>
      </c>
      <c r="F1059" s="1">
        <v>116</v>
      </c>
    </row>
    <row r="1060" spans="1:6" x14ac:dyDescent="0.3">
      <c r="A1060" t="str">
        <f>_xlfn.XLOOKUP(ColombiaClientes[[#This Row],[Client]],VpsClientes[Client],VpsClientes[VP],"",0)</f>
        <v>Juan Granados Castillo</v>
      </c>
      <c r="B1060" t="s">
        <v>149</v>
      </c>
      <c r="C1060" t="s">
        <v>194</v>
      </c>
      <c r="D1060" t="s">
        <v>90</v>
      </c>
      <c r="E1060" t="s">
        <v>206</v>
      </c>
      <c r="F1060" s="1">
        <v>106</v>
      </c>
    </row>
    <row r="1061" spans="1:6" x14ac:dyDescent="0.3">
      <c r="A1061" t="str">
        <f>_xlfn.XLOOKUP(ColombiaClientes[[#This Row],[Client]],VpsClientes[Client],VpsClientes[VP],"",0)</f>
        <v>Maria Forero Jara</v>
      </c>
      <c r="B1061" t="s">
        <v>198</v>
      </c>
      <c r="C1061" t="s">
        <v>194</v>
      </c>
      <c r="D1061" t="s">
        <v>90</v>
      </c>
      <c r="E1061" t="s">
        <v>206</v>
      </c>
      <c r="F1061" s="1">
        <v>91</v>
      </c>
    </row>
    <row r="1062" spans="1:6" x14ac:dyDescent="0.3">
      <c r="A1062" t="str">
        <f>_xlfn.XLOOKUP(ColombiaClientes[[#This Row],[Client]],VpsClientes[Client],VpsClientes[VP],"",0)</f>
        <v>Martha Guzman Arango</v>
      </c>
      <c r="B1062" t="s">
        <v>183</v>
      </c>
      <c r="C1062" t="s">
        <v>194</v>
      </c>
      <c r="D1062" t="s">
        <v>90</v>
      </c>
      <c r="E1062" t="s">
        <v>206</v>
      </c>
      <c r="F1062" s="1">
        <v>78</v>
      </c>
    </row>
    <row r="1063" spans="1:6" x14ac:dyDescent="0.3">
      <c r="A1063">
        <f>_xlfn.XLOOKUP(ColombiaClientes[[#This Row],[Client]],VpsClientes[Client],VpsClientes[VP],"",0)</f>
        <v>0</v>
      </c>
      <c r="B1063" t="s">
        <v>147</v>
      </c>
      <c r="C1063" t="s">
        <v>192</v>
      </c>
      <c r="D1063" t="s">
        <v>219</v>
      </c>
      <c r="E1063" t="s">
        <v>91</v>
      </c>
      <c r="F1063" s="1">
        <v>6</v>
      </c>
    </row>
    <row r="1064" spans="1:6" x14ac:dyDescent="0.3">
      <c r="A1064" t="str">
        <f>_xlfn.XLOOKUP(ColombiaClientes[[#This Row],[Client]],VpsClientes[Client],VpsClientes[VP],"",0)</f>
        <v>Martha Guzman Arango</v>
      </c>
      <c r="B1064" t="s">
        <v>186</v>
      </c>
      <c r="C1064" t="s">
        <v>194</v>
      </c>
      <c r="D1064" t="s">
        <v>90</v>
      </c>
      <c r="E1064" t="s">
        <v>206</v>
      </c>
      <c r="F1064" s="1">
        <v>66</v>
      </c>
    </row>
    <row r="1065" spans="1:6" x14ac:dyDescent="0.3">
      <c r="A1065" t="str">
        <f>_xlfn.XLOOKUP(ColombiaClientes[[#This Row],[Client]],VpsClientes[Client],VpsClientes[VP],"",0)</f>
        <v>Jhonatan Izquierdo Rico</v>
      </c>
      <c r="B1065" t="s">
        <v>196</v>
      </c>
      <c r="C1065" t="s">
        <v>194</v>
      </c>
      <c r="D1065" t="s">
        <v>90</v>
      </c>
      <c r="E1065" t="s">
        <v>206</v>
      </c>
      <c r="F1065" s="1">
        <v>57</v>
      </c>
    </row>
    <row r="1066" spans="1:6" x14ac:dyDescent="0.3">
      <c r="A1066" t="str">
        <f>_xlfn.XLOOKUP(ColombiaClientes[[#This Row],[Client]],VpsClientes[Client],VpsClientes[VP],"",0)</f>
        <v>Jhonatan Izquierdo Rico</v>
      </c>
      <c r="B1066" t="s">
        <v>159</v>
      </c>
      <c r="C1066" t="s">
        <v>194</v>
      </c>
      <c r="D1066" t="s">
        <v>90</v>
      </c>
      <c r="E1066" t="s">
        <v>206</v>
      </c>
      <c r="F1066" s="1">
        <v>56</v>
      </c>
    </row>
    <row r="1067" spans="1:6" x14ac:dyDescent="0.3">
      <c r="A1067" t="str">
        <f>_xlfn.XLOOKUP(ColombiaClientes[[#This Row],[Client]],VpsClientes[Client],VpsClientes[VP],"",0)</f>
        <v>Martha Guzman Arango</v>
      </c>
      <c r="B1067" t="s">
        <v>180</v>
      </c>
      <c r="C1067" t="s">
        <v>194</v>
      </c>
      <c r="D1067" t="s">
        <v>90</v>
      </c>
      <c r="E1067" t="s">
        <v>206</v>
      </c>
      <c r="F1067" s="1">
        <v>48</v>
      </c>
    </row>
    <row r="1068" spans="1:6" x14ac:dyDescent="0.3">
      <c r="A1068" t="str">
        <f>_xlfn.XLOOKUP(ColombiaClientes[[#This Row],[Client]],VpsClientes[Client],VpsClientes[VP],"",0)</f>
        <v>Moises Saavedra Garcia</v>
      </c>
      <c r="B1068" t="s">
        <v>187</v>
      </c>
      <c r="C1068" t="s">
        <v>194</v>
      </c>
      <c r="D1068" t="s">
        <v>90</v>
      </c>
      <c r="E1068" t="s">
        <v>206</v>
      </c>
      <c r="F1068" s="1">
        <v>35</v>
      </c>
    </row>
    <row r="1069" spans="1:6" x14ac:dyDescent="0.3">
      <c r="A1069" t="str">
        <f>_xlfn.XLOOKUP(ColombiaClientes[[#This Row],[Client]],VpsClientes[Client],VpsClientes[VP],"",0)</f>
        <v>Maria Forero Jara</v>
      </c>
      <c r="B1069" t="s">
        <v>161</v>
      </c>
      <c r="C1069" t="s">
        <v>194</v>
      </c>
      <c r="D1069" t="s">
        <v>90</v>
      </c>
      <c r="E1069" t="s">
        <v>206</v>
      </c>
      <c r="F1069" s="1">
        <v>15</v>
      </c>
    </row>
    <row r="1070" spans="1:6" x14ac:dyDescent="0.3">
      <c r="A1070" t="str">
        <f>_xlfn.XLOOKUP(ColombiaClientes[[#This Row],[Client]],VpsClientes[Client],VpsClientes[VP],"",0)</f>
        <v>Hector Muraira Garza</v>
      </c>
      <c r="B1070" t="s">
        <v>167</v>
      </c>
      <c r="C1070" t="s">
        <v>194</v>
      </c>
      <c r="D1070" t="s">
        <v>90</v>
      </c>
      <c r="E1070" t="s">
        <v>206</v>
      </c>
      <c r="F1070" s="1">
        <v>10</v>
      </c>
    </row>
    <row r="1071" spans="1:6" x14ac:dyDescent="0.3">
      <c r="A1071" t="str">
        <f>_xlfn.XLOOKUP(ColombiaClientes[[#This Row],[Client]],VpsClientes[Client],VpsClientes[VP],"",0)</f>
        <v>Martha Guzman Arango</v>
      </c>
      <c r="B1071" t="s">
        <v>188</v>
      </c>
      <c r="C1071" t="s">
        <v>194</v>
      </c>
      <c r="D1071" t="s">
        <v>90</v>
      </c>
      <c r="E1071" t="s">
        <v>206</v>
      </c>
      <c r="F1071" s="1">
        <v>6</v>
      </c>
    </row>
    <row r="1072" spans="1:6" x14ac:dyDescent="0.3">
      <c r="A1072">
        <f>_xlfn.XLOOKUP(ColombiaClientes[[#This Row],[Client]],VpsClientes[Client],VpsClientes[VP],"",0)</f>
        <v>0</v>
      </c>
      <c r="B1072" t="s">
        <v>147</v>
      </c>
      <c r="C1072" t="s">
        <v>191</v>
      </c>
      <c r="D1072" t="s">
        <v>219</v>
      </c>
      <c r="E1072" t="s">
        <v>206</v>
      </c>
      <c r="F1072" s="1">
        <v>219</v>
      </c>
    </row>
    <row r="1073" spans="1:6" x14ac:dyDescent="0.3">
      <c r="A1073" t="str">
        <f>_xlfn.XLOOKUP(ColombiaClientes[[#This Row],[Client]],VpsClientes[Client],VpsClientes[VP],"",0)</f>
        <v>Hector Muraira Garza</v>
      </c>
      <c r="B1073" t="s">
        <v>164</v>
      </c>
      <c r="C1073" t="s">
        <v>194</v>
      </c>
      <c r="D1073" t="s">
        <v>90</v>
      </c>
      <c r="E1073" t="s">
        <v>206</v>
      </c>
      <c r="F1073" s="1">
        <v>1</v>
      </c>
    </row>
    <row r="1074" spans="1:6" x14ac:dyDescent="0.3">
      <c r="A1074" t="str">
        <f>_xlfn.XLOOKUP(ColombiaClientes[[#This Row],[Client]],VpsClientes[Client],VpsClientes[VP],"",0)</f>
        <v>Martha Guzman Arango</v>
      </c>
      <c r="B1074" t="s">
        <v>189</v>
      </c>
      <c r="C1074" t="s">
        <v>194</v>
      </c>
      <c r="D1074" t="s">
        <v>90</v>
      </c>
      <c r="E1074" t="s">
        <v>206</v>
      </c>
      <c r="F1074" s="1">
        <v>0</v>
      </c>
    </row>
    <row r="1075" spans="1:6" x14ac:dyDescent="0.3">
      <c r="A1075" t="str">
        <f>_xlfn.XLOOKUP(ColombiaClientes[[#This Row],[Client]],VpsClientes[Client],VpsClientes[VP],"",0)</f>
        <v>Moises Saavedra Garcia</v>
      </c>
      <c r="B1075" t="s">
        <v>99</v>
      </c>
      <c r="C1075" t="s">
        <v>202</v>
      </c>
      <c r="D1075" t="s">
        <v>90</v>
      </c>
      <c r="E1075" t="s">
        <v>206</v>
      </c>
      <c r="F1075" s="1">
        <v>29897</v>
      </c>
    </row>
    <row r="1076" spans="1:6" x14ac:dyDescent="0.3">
      <c r="A1076" t="str">
        <f>_xlfn.XLOOKUP(ColombiaClientes[[#This Row],[Client]],VpsClientes[Client],VpsClientes[VP],"",0)</f>
        <v>Carlos Beltran Hernandez</v>
      </c>
      <c r="B1076" t="s">
        <v>94</v>
      </c>
      <c r="C1076" t="s">
        <v>202</v>
      </c>
      <c r="D1076" t="s">
        <v>90</v>
      </c>
      <c r="E1076" t="s">
        <v>206</v>
      </c>
      <c r="F1076" s="1">
        <v>26600</v>
      </c>
    </row>
    <row r="1077" spans="1:6" x14ac:dyDescent="0.3">
      <c r="A1077" t="str">
        <f>_xlfn.XLOOKUP(ColombiaClientes[[#This Row],[Client]],VpsClientes[Client],VpsClientes[VP],"",0)</f>
        <v>Jhonatan Izquierdo Rico</v>
      </c>
      <c r="B1077" t="s">
        <v>104</v>
      </c>
      <c r="C1077" t="s">
        <v>202</v>
      </c>
      <c r="D1077" t="s">
        <v>90</v>
      </c>
      <c r="E1077" t="s">
        <v>206</v>
      </c>
      <c r="F1077" s="1">
        <v>21755</v>
      </c>
    </row>
    <row r="1078" spans="1:6" x14ac:dyDescent="0.3">
      <c r="A1078" t="str">
        <f>_xlfn.XLOOKUP(ColombiaClientes[[#This Row],[Client]],VpsClientes[Client],VpsClientes[VP],"",0)</f>
        <v>Jhonatan Izquierdo Rico</v>
      </c>
      <c r="B1078" t="s">
        <v>128</v>
      </c>
      <c r="C1078" t="s">
        <v>202</v>
      </c>
      <c r="D1078" t="s">
        <v>90</v>
      </c>
      <c r="E1078" t="s">
        <v>206</v>
      </c>
      <c r="F1078" s="1">
        <v>18629</v>
      </c>
    </row>
    <row r="1079" spans="1:6" x14ac:dyDescent="0.3">
      <c r="A1079" t="str">
        <f>_xlfn.XLOOKUP(ColombiaClientes[[#This Row],[Client]],VpsClientes[Client],VpsClientes[VP],"",0)</f>
        <v>Martha Guzman Arango</v>
      </c>
      <c r="B1079" t="s">
        <v>96</v>
      </c>
      <c r="C1079" t="s">
        <v>202</v>
      </c>
      <c r="D1079" t="s">
        <v>90</v>
      </c>
      <c r="E1079" t="s">
        <v>206</v>
      </c>
      <c r="F1079" s="1">
        <v>16166</v>
      </c>
    </row>
    <row r="1080" spans="1:6" x14ac:dyDescent="0.3">
      <c r="A1080" t="str">
        <f>_xlfn.XLOOKUP(ColombiaClientes[[#This Row],[Client]],VpsClientes[Client],VpsClientes[VP],"",0)</f>
        <v>Carlos Beltran Hernandez</v>
      </c>
      <c r="B1080" t="s">
        <v>93</v>
      </c>
      <c r="C1080" t="s">
        <v>202</v>
      </c>
      <c r="D1080" t="s">
        <v>90</v>
      </c>
      <c r="E1080" t="s">
        <v>206</v>
      </c>
      <c r="F1080" s="1">
        <v>15489</v>
      </c>
    </row>
    <row r="1081" spans="1:6" x14ac:dyDescent="0.3">
      <c r="A1081" t="str">
        <f>_xlfn.XLOOKUP(ColombiaClientes[[#This Row],[Client]],VpsClientes[Client],VpsClientes[VP],"",0)</f>
        <v>Martha Guzman Arango</v>
      </c>
      <c r="B1081" t="s">
        <v>100</v>
      </c>
      <c r="C1081" t="s">
        <v>202</v>
      </c>
      <c r="D1081" t="s">
        <v>90</v>
      </c>
      <c r="E1081" t="s">
        <v>206</v>
      </c>
      <c r="F1081" s="1">
        <v>15464</v>
      </c>
    </row>
    <row r="1082" spans="1:6" x14ac:dyDescent="0.3">
      <c r="A1082" t="str">
        <f>_xlfn.XLOOKUP(ColombiaClientes[[#This Row],[Client]],VpsClientes[Client],VpsClientes[VP],"",0)</f>
        <v>Martha Guzman Arango</v>
      </c>
      <c r="B1082" t="s">
        <v>98</v>
      </c>
      <c r="C1082" t="s">
        <v>202</v>
      </c>
      <c r="D1082" t="s">
        <v>90</v>
      </c>
      <c r="E1082" t="s">
        <v>206</v>
      </c>
      <c r="F1082" s="1">
        <v>12664</v>
      </c>
    </row>
    <row r="1083" spans="1:6" x14ac:dyDescent="0.3">
      <c r="A1083" t="str">
        <f>_xlfn.XLOOKUP(ColombiaClientes[[#This Row],[Client]],VpsClientes[Client],VpsClientes[VP],"",0)</f>
        <v>Jhonatan Izquierdo Rico</v>
      </c>
      <c r="B1083" t="s">
        <v>107</v>
      </c>
      <c r="C1083" t="s">
        <v>202</v>
      </c>
      <c r="D1083" t="s">
        <v>90</v>
      </c>
      <c r="E1083" t="s">
        <v>206</v>
      </c>
      <c r="F1083" s="1">
        <v>12310</v>
      </c>
    </row>
    <row r="1084" spans="1:6" x14ac:dyDescent="0.3">
      <c r="A1084" t="str">
        <f>_xlfn.XLOOKUP(ColombiaClientes[[#This Row],[Client]],VpsClientes[Client],VpsClientes[VP],"",0)</f>
        <v>Maria Forero Jara</v>
      </c>
      <c r="B1084" t="s">
        <v>101</v>
      </c>
      <c r="C1084" t="s">
        <v>202</v>
      </c>
      <c r="D1084" t="s">
        <v>90</v>
      </c>
      <c r="E1084" t="s">
        <v>206</v>
      </c>
      <c r="F1084" s="1">
        <v>11756</v>
      </c>
    </row>
    <row r="1085" spans="1:6" x14ac:dyDescent="0.3">
      <c r="A1085" t="str">
        <f>_xlfn.XLOOKUP(ColombiaClientes[[#This Row],[Client]],VpsClientes[Client],VpsClientes[VP],"",0)</f>
        <v>Carlos Castillo Figueroa</v>
      </c>
      <c r="B1085" t="s">
        <v>105</v>
      </c>
      <c r="C1085" t="s">
        <v>202</v>
      </c>
      <c r="D1085" t="s">
        <v>90</v>
      </c>
      <c r="E1085" t="s">
        <v>206</v>
      </c>
      <c r="F1085" s="1">
        <v>11650</v>
      </c>
    </row>
    <row r="1086" spans="1:6" x14ac:dyDescent="0.3">
      <c r="A1086" t="str">
        <f>_xlfn.XLOOKUP(ColombiaClientes[[#This Row],[Client]],VpsClientes[Client],VpsClientes[VP],"",0)</f>
        <v>Sandra Romero Zuluaga</v>
      </c>
      <c r="B1086" t="s">
        <v>113</v>
      </c>
      <c r="C1086" t="s">
        <v>202</v>
      </c>
      <c r="D1086" t="s">
        <v>90</v>
      </c>
      <c r="E1086" t="s">
        <v>206</v>
      </c>
      <c r="F1086" s="1">
        <v>9616</v>
      </c>
    </row>
    <row r="1087" spans="1:6" x14ac:dyDescent="0.3">
      <c r="A1087" t="str">
        <f>_xlfn.XLOOKUP(ColombiaClientes[[#This Row],[Client]],VpsClientes[Client],VpsClientes[VP],"",0)</f>
        <v>Martha Guzman Arango</v>
      </c>
      <c r="B1087" t="s">
        <v>103</v>
      </c>
      <c r="C1087" t="s">
        <v>202</v>
      </c>
      <c r="D1087" t="s">
        <v>90</v>
      </c>
      <c r="E1087" t="s">
        <v>206</v>
      </c>
      <c r="F1087" s="1">
        <v>9289</v>
      </c>
    </row>
    <row r="1088" spans="1:6" x14ac:dyDescent="0.3">
      <c r="A1088" t="str">
        <f>_xlfn.XLOOKUP(ColombiaClientes[[#This Row],[Client]],VpsClientes[Client],VpsClientes[VP],"",0)</f>
        <v>Carlos Beltran Hernandez</v>
      </c>
      <c r="B1088" t="s">
        <v>102</v>
      </c>
      <c r="C1088" t="s">
        <v>202</v>
      </c>
      <c r="D1088" t="s">
        <v>90</v>
      </c>
      <c r="E1088" t="s">
        <v>206</v>
      </c>
      <c r="F1088" s="1">
        <v>8308</v>
      </c>
    </row>
    <row r="1089" spans="1:6" x14ac:dyDescent="0.3">
      <c r="A1089" t="str">
        <f>_xlfn.XLOOKUP(ColombiaClientes[[#This Row],[Client]],VpsClientes[Client],VpsClientes[VP],"",0)</f>
        <v>Jhonatan Izquierdo Rico</v>
      </c>
      <c r="B1089" t="s">
        <v>112</v>
      </c>
      <c r="C1089" t="s">
        <v>202</v>
      </c>
      <c r="D1089" t="s">
        <v>90</v>
      </c>
      <c r="E1089" t="s">
        <v>206</v>
      </c>
      <c r="F1089" s="1">
        <v>7220</v>
      </c>
    </row>
    <row r="1090" spans="1:6" x14ac:dyDescent="0.3">
      <c r="A1090" t="str">
        <f>_xlfn.XLOOKUP(ColombiaClientes[[#This Row],[Client]],VpsClientes[Client],VpsClientes[VP],"",0)</f>
        <v>Ludy Torres Benitez</v>
      </c>
      <c r="B1090" t="s">
        <v>95</v>
      </c>
      <c r="C1090" t="s">
        <v>202</v>
      </c>
      <c r="D1090" t="s">
        <v>90</v>
      </c>
      <c r="E1090" t="s">
        <v>206</v>
      </c>
      <c r="F1090" s="1">
        <v>6803</v>
      </c>
    </row>
    <row r="1091" spans="1:6" x14ac:dyDescent="0.3">
      <c r="A1091" t="str">
        <f>_xlfn.XLOOKUP(ColombiaClientes[[#This Row],[Client]],VpsClientes[Client],VpsClientes[VP],"",0)</f>
        <v>Hector Muraira Garza</v>
      </c>
      <c r="B1091" t="s">
        <v>137</v>
      </c>
      <c r="C1091" t="s">
        <v>202</v>
      </c>
      <c r="D1091" t="s">
        <v>90</v>
      </c>
      <c r="E1091" t="s">
        <v>206</v>
      </c>
      <c r="F1091" s="1">
        <v>5834</v>
      </c>
    </row>
    <row r="1092" spans="1:6" x14ac:dyDescent="0.3">
      <c r="A1092" t="str">
        <f>_xlfn.XLOOKUP(ColombiaClientes[[#This Row],[Client]],VpsClientes[Client],VpsClientes[VP],"",0)</f>
        <v>Carlos Beltran Hernandez</v>
      </c>
      <c r="B1092" t="s">
        <v>119</v>
      </c>
      <c r="C1092" t="s">
        <v>202</v>
      </c>
      <c r="D1092" t="s">
        <v>90</v>
      </c>
      <c r="E1092" t="s">
        <v>206</v>
      </c>
      <c r="F1092" s="1">
        <v>5176</v>
      </c>
    </row>
    <row r="1093" spans="1:6" x14ac:dyDescent="0.3">
      <c r="A1093" t="str">
        <f>_xlfn.XLOOKUP(ColombiaClientes[[#This Row],[Client]],VpsClientes[Client],VpsClientes[VP],"",0)</f>
        <v>Martha Guzman Arango</v>
      </c>
      <c r="B1093" t="s">
        <v>122</v>
      </c>
      <c r="C1093" t="s">
        <v>202</v>
      </c>
      <c r="D1093" t="s">
        <v>90</v>
      </c>
      <c r="E1093" t="s">
        <v>206</v>
      </c>
      <c r="F1093" s="1">
        <v>4991</v>
      </c>
    </row>
    <row r="1094" spans="1:6" x14ac:dyDescent="0.3">
      <c r="A1094" t="str">
        <f>_xlfn.XLOOKUP(ColombiaClientes[[#This Row],[Client]],VpsClientes[Client],VpsClientes[VP],"",0)</f>
        <v>Martha Guzman Arango</v>
      </c>
      <c r="B1094" t="s">
        <v>97</v>
      </c>
      <c r="C1094" t="s">
        <v>202</v>
      </c>
      <c r="D1094" t="s">
        <v>90</v>
      </c>
      <c r="E1094" t="s">
        <v>206</v>
      </c>
      <c r="F1094" s="1">
        <v>4796</v>
      </c>
    </row>
    <row r="1095" spans="1:6" x14ac:dyDescent="0.3">
      <c r="A1095" t="str">
        <f>_xlfn.XLOOKUP(ColombiaClientes[[#This Row],[Client]],VpsClientes[Client],VpsClientes[VP],"",0)</f>
        <v>Martha Guzman Arango</v>
      </c>
      <c r="B1095" t="s">
        <v>114</v>
      </c>
      <c r="C1095" t="s">
        <v>202</v>
      </c>
      <c r="D1095" t="s">
        <v>90</v>
      </c>
      <c r="E1095" t="s">
        <v>206</v>
      </c>
      <c r="F1095" s="1">
        <v>4374</v>
      </c>
    </row>
    <row r="1096" spans="1:6" x14ac:dyDescent="0.3">
      <c r="A1096" t="str">
        <f>_xlfn.XLOOKUP(ColombiaClientes[[#This Row],[Client]],VpsClientes[Client],VpsClientes[VP],"",0)</f>
        <v>Maria Forero Jara</v>
      </c>
      <c r="B1096" t="s">
        <v>125</v>
      </c>
      <c r="C1096" t="s">
        <v>202</v>
      </c>
      <c r="D1096" t="s">
        <v>90</v>
      </c>
      <c r="E1096" t="s">
        <v>206</v>
      </c>
      <c r="F1096" s="1">
        <v>4220</v>
      </c>
    </row>
    <row r="1097" spans="1:6" x14ac:dyDescent="0.3">
      <c r="A1097" t="str">
        <f>_xlfn.XLOOKUP(ColombiaClientes[[#This Row],[Client]],VpsClientes[Client],VpsClientes[VP],"",0)</f>
        <v>Maria Forero Jara</v>
      </c>
      <c r="B1097" t="s">
        <v>106</v>
      </c>
      <c r="C1097" t="s">
        <v>202</v>
      </c>
      <c r="D1097" t="s">
        <v>90</v>
      </c>
      <c r="E1097" t="s">
        <v>206</v>
      </c>
      <c r="F1097" s="1">
        <v>3442</v>
      </c>
    </row>
    <row r="1098" spans="1:6" x14ac:dyDescent="0.3">
      <c r="A1098" t="str">
        <f>_xlfn.XLOOKUP(ColombiaClientes[[#This Row],[Client]],VpsClientes[Client],VpsClientes[VP],"",0)</f>
        <v>Juan Granados Castillo</v>
      </c>
      <c r="B1098" t="s">
        <v>136</v>
      </c>
      <c r="C1098" t="s">
        <v>202</v>
      </c>
      <c r="D1098" t="s">
        <v>90</v>
      </c>
      <c r="E1098" t="s">
        <v>206</v>
      </c>
      <c r="F1098" s="1">
        <v>3157</v>
      </c>
    </row>
    <row r="1099" spans="1:6" x14ac:dyDescent="0.3">
      <c r="A1099" t="str">
        <f>_xlfn.XLOOKUP(ColombiaClientes[[#This Row],[Client]],VpsClientes[Client],VpsClientes[VP],"",0)</f>
        <v>Maria Forero Jara</v>
      </c>
      <c r="B1099" t="s">
        <v>108</v>
      </c>
      <c r="C1099" t="s">
        <v>202</v>
      </c>
      <c r="D1099" t="s">
        <v>90</v>
      </c>
      <c r="E1099" t="s">
        <v>206</v>
      </c>
      <c r="F1099" s="1">
        <v>2700</v>
      </c>
    </row>
    <row r="1100" spans="1:6" x14ac:dyDescent="0.3">
      <c r="A1100" t="str">
        <f>_xlfn.XLOOKUP(ColombiaClientes[[#This Row],[Client]],VpsClientes[Client],VpsClientes[VP],"",0)</f>
        <v>Martha Guzman Arango</v>
      </c>
      <c r="B1100" t="s">
        <v>135</v>
      </c>
      <c r="C1100" t="s">
        <v>202</v>
      </c>
      <c r="D1100" t="s">
        <v>90</v>
      </c>
      <c r="E1100" t="s">
        <v>206</v>
      </c>
      <c r="F1100" s="1">
        <v>2535</v>
      </c>
    </row>
    <row r="1101" spans="1:6" x14ac:dyDescent="0.3">
      <c r="A1101" t="str">
        <f>_xlfn.XLOOKUP(ColombiaClientes[[#This Row],[Client]],VpsClientes[Client],VpsClientes[VP],"",0)</f>
        <v>Martha Guzman Arango</v>
      </c>
      <c r="B1101" t="s">
        <v>118</v>
      </c>
      <c r="C1101" t="s">
        <v>202</v>
      </c>
      <c r="D1101" t="s">
        <v>90</v>
      </c>
      <c r="E1101" t="s">
        <v>206</v>
      </c>
      <c r="F1101" s="1">
        <v>2450</v>
      </c>
    </row>
    <row r="1102" spans="1:6" x14ac:dyDescent="0.3">
      <c r="A1102" t="str">
        <f>_xlfn.XLOOKUP(ColombiaClientes[[#This Row],[Client]],VpsClientes[Client],VpsClientes[VP],"",0)</f>
        <v>Jhonatan Izquierdo Rico</v>
      </c>
      <c r="B1102" t="s">
        <v>126</v>
      </c>
      <c r="C1102" t="s">
        <v>202</v>
      </c>
      <c r="D1102" t="s">
        <v>90</v>
      </c>
      <c r="E1102" t="s">
        <v>206</v>
      </c>
      <c r="F1102" s="1">
        <v>2431</v>
      </c>
    </row>
    <row r="1103" spans="1:6" x14ac:dyDescent="0.3">
      <c r="A1103" t="str">
        <f>_xlfn.XLOOKUP(ColombiaClientes[[#This Row],[Client]],VpsClientes[Client],VpsClientes[VP],"",0)</f>
        <v>Martha Guzman Arango</v>
      </c>
      <c r="B1103" t="s">
        <v>109</v>
      </c>
      <c r="C1103" t="s">
        <v>202</v>
      </c>
      <c r="D1103" t="s">
        <v>90</v>
      </c>
      <c r="E1103" t="s">
        <v>206</v>
      </c>
      <c r="F1103" s="1">
        <v>2252</v>
      </c>
    </row>
    <row r="1104" spans="1:6" x14ac:dyDescent="0.3">
      <c r="A1104" t="str">
        <f>_xlfn.XLOOKUP(ColombiaClientes[[#This Row],[Client]],VpsClientes[Client],VpsClientes[VP],"",0)</f>
        <v>Martha Guzman Arango</v>
      </c>
      <c r="B1104" t="s">
        <v>143</v>
      </c>
      <c r="C1104" t="s">
        <v>202</v>
      </c>
      <c r="D1104" t="s">
        <v>90</v>
      </c>
      <c r="E1104" t="s">
        <v>206</v>
      </c>
      <c r="F1104" s="1">
        <v>1762</v>
      </c>
    </row>
    <row r="1105" spans="1:6" x14ac:dyDescent="0.3">
      <c r="A1105" t="str">
        <f>_xlfn.XLOOKUP(ColombiaClientes[[#This Row],[Client]],VpsClientes[Client],VpsClientes[VP],"",0)</f>
        <v>Maria Forero Jara</v>
      </c>
      <c r="B1105" t="s">
        <v>139</v>
      </c>
      <c r="C1105" t="s">
        <v>202</v>
      </c>
      <c r="D1105" t="s">
        <v>90</v>
      </c>
      <c r="E1105" t="s">
        <v>206</v>
      </c>
      <c r="F1105" s="1">
        <v>1736</v>
      </c>
    </row>
    <row r="1106" spans="1:6" x14ac:dyDescent="0.3">
      <c r="A1106" t="str">
        <f>_xlfn.XLOOKUP(ColombiaClientes[[#This Row],[Client]],VpsClientes[Client],VpsClientes[VP],"",0)</f>
        <v>Moises Saavedra Garcia</v>
      </c>
      <c r="B1106" t="s">
        <v>115</v>
      </c>
      <c r="C1106" t="s">
        <v>202</v>
      </c>
      <c r="D1106" t="s">
        <v>90</v>
      </c>
      <c r="E1106" t="s">
        <v>206</v>
      </c>
      <c r="F1106" s="1">
        <v>1585</v>
      </c>
    </row>
    <row r="1107" spans="1:6" x14ac:dyDescent="0.3">
      <c r="A1107" t="str">
        <f>_xlfn.XLOOKUP(ColombiaClientes[[#This Row],[Client]],VpsClientes[Client],VpsClientes[VP],"",0)</f>
        <v>Martha Guzman Arango</v>
      </c>
      <c r="B1107" t="s">
        <v>166</v>
      </c>
      <c r="C1107" t="s">
        <v>202</v>
      </c>
      <c r="D1107" t="s">
        <v>90</v>
      </c>
      <c r="E1107" t="s">
        <v>206</v>
      </c>
      <c r="F1107" s="1">
        <v>1570</v>
      </c>
    </row>
    <row r="1108" spans="1:6" x14ac:dyDescent="0.3">
      <c r="A1108" t="str">
        <f>_xlfn.XLOOKUP(ColombiaClientes[[#This Row],[Client]],VpsClientes[Client],VpsClientes[VP],"",0)</f>
        <v>Moises Saavedra Garcia</v>
      </c>
      <c r="B1108" t="s">
        <v>150</v>
      </c>
      <c r="C1108" t="s">
        <v>202</v>
      </c>
      <c r="D1108" t="s">
        <v>90</v>
      </c>
      <c r="E1108" t="s">
        <v>206</v>
      </c>
      <c r="F1108" s="1">
        <v>1483</v>
      </c>
    </row>
    <row r="1109" spans="1:6" x14ac:dyDescent="0.3">
      <c r="A1109" t="str">
        <f>_xlfn.XLOOKUP(ColombiaClientes[[#This Row],[Client]],VpsClientes[Client],VpsClientes[VP],"",0)</f>
        <v>Maria Forero Jara</v>
      </c>
      <c r="B1109" t="s">
        <v>123</v>
      </c>
      <c r="C1109" t="s">
        <v>202</v>
      </c>
      <c r="D1109" t="s">
        <v>90</v>
      </c>
      <c r="E1109" t="s">
        <v>206</v>
      </c>
      <c r="F1109" s="1">
        <v>1455</v>
      </c>
    </row>
    <row r="1110" spans="1:6" x14ac:dyDescent="0.3">
      <c r="A1110" t="str">
        <f>_xlfn.XLOOKUP(ColombiaClientes[[#This Row],[Client]],VpsClientes[Client],VpsClientes[VP],"",0)</f>
        <v>Martha Guzman Arango</v>
      </c>
      <c r="B1110" t="s">
        <v>146</v>
      </c>
      <c r="C1110" t="s">
        <v>202</v>
      </c>
      <c r="D1110" t="s">
        <v>90</v>
      </c>
      <c r="E1110" t="s">
        <v>206</v>
      </c>
      <c r="F1110" s="1">
        <v>1449</v>
      </c>
    </row>
    <row r="1111" spans="1:6" x14ac:dyDescent="0.3">
      <c r="A1111" t="str">
        <f>_xlfn.XLOOKUP(ColombiaClientes[[#This Row],[Client]],VpsClientes[Client],VpsClientes[VP],"",0)</f>
        <v>Martha Guzman Arango</v>
      </c>
      <c r="B1111" t="s">
        <v>152</v>
      </c>
      <c r="C1111" t="s">
        <v>202</v>
      </c>
      <c r="D1111" t="s">
        <v>90</v>
      </c>
      <c r="E1111" t="s">
        <v>206</v>
      </c>
      <c r="F1111" s="1">
        <v>1301</v>
      </c>
    </row>
    <row r="1112" spans="1:6" x14ac:dyDescent="0.3">
      <c r="A1112" t="str">
        <f>_xlfn.XLOOKUP(ColombiaClientes[[#This Row],[Client]],VpsClientes[Client],VpsClientes[VP],"",0)</f>
        <v>Maria Forero Jara</v>
      </c>
      <c r="B1112" t="s">
        <v>111</v>
      </c>
      <c r="C1112" t="s">
        <v>202</v>
      </c>
      <c r="D1112" t="s">
        <v>90</v>
      </c>
      <c r="E1112" t="s">
        <v>206</v>
      </c>
      <c r="F1112" s="1">
        <v>1267</v>
      </c>
    </row>
    <row r="1113" spans="1:6" x14ac:dyDescent="0.3">
      <c r="A1113" t="str">
        <f>_xlfn.XLOOKUP(ColombiaClientes[[#This Row],[Client]],VpsClientes[Client],VpsClientes[VP],"",0)</f>
        <v>Jhonatan Izquierdo Rico</v>
      </c>
      <c r="B1113" t="s">
        <v>117</v>
      </c>
      <c r="C1113" t="s">
        <v>202</v>
      </c>
      <c r="D1113" t="s">
        <v>90</v>
      </c>
      <c r="E1113" t="s">
        <v>206</v>
      </c>
      <c r="F1113" s="1">
        <v>1267</v>
      </c>
    </row>
    <row r="1114" spans="1:6" x14ac:dyDescent="0.3">
      <c r="A1114" t="str">
        <f>_xlfn.XLOOKUP(ColombiaClientes[[#This Row],[Client]],VpsClientes[Client],VpsClientes[VP],"",0)</f>
        <v>Hector Muraira Garza</v>
      </c>
      <c r="B1114" t="s">
        <v>130</v>
      </c>
      <c r="C1114" t="s">
        <v>202</v>
      </c>
      <c r="D1114" t="s">
        <v>90</v>
      </c>
      <c r="E1114" t="s">
        <v>206</v>
      </c>
      <c r="F1114" s="1">
        <v>1266</v>
      </c>
    </row>
    <row r="1115" spans="1:6" x14ac:dyDescent="0.3">
      <c r="A1115" t="str">
        <f>_xlfn.XLOOKUP(ColombiaClientes[[#This Row],[Client]],VpsClientes[Client],VpsClientes[VP],"",0)</f>
        <v>Martha Guzman Arango</v>
      </c>
      <c r="B1115" t="s">
        <v>162</v>
      </c>
      <c r="C1115" t="s">
        <v>202</v>
      </c>
      <c r="D1115" t="s">
        <v>90</v>
      </c>
      <c r="E1115" t="s">
        <v>206</v>
      </c>
      <c r="F1115" s="1">
        <v>1167</v>
      </c>
    </row>
    <row r="1116" spans="1:6" x14ac:dyDescent="0.3">
      <c r="A1116" t="str">
        <f>_xlfn.XLOOKUP(ColombiaClientes[[#This Row],[Client]],VpsClientes[Client],VpsClientes[VP],"",0)</f>
        <v>Ernesto Rico Zuluaga</v>
      </c>
      <c r="B1116" t="s">
        <v>116</v>
      </c>
      <c r="C1116" t="s">
        <v>202</v>
      </c>
      <c r="D1116" t="s">
        <v>90</v>
      </c>
      <c r="E1116" t="s">
        <v>206</v>
      </c>
      <c r="F1116" s="1">
        <v>1150</v>
      </c>
    </row>
    <row r="1117" spans="1:6" x14ac:dyDescent="0.3">
      <c r="A1117" t="str">
        <f>_xlfn.XLOOKUP(ColombiaClientes[[#This Row],[Client]],VpsClientes[Client],VpsClientes[VP],"",0)</f>
        <v>Juan Granados Castillo</v>
      </c>
      <c r="B1117" t="s">
        <v>134</v>
      </c>
      <c r="C1117" t="s">
        <v>202</v>
      </c>
      <c r="D1117" t="s">
        <v>90</v>
      </c>
      <c r="E1117" t="s">
        <v>206</v>
      </c>
      <c r="F1117" s="1">
        <v>1118</v>
      </c>
    </row>
    <row r="1118" spans="1:6" x14ac:dyDescent="0.3">
      <c r="A1118" t="str">
        <f>_xlfn.XLOOKUP(ColombiaClientes[[#This Row],[Client]],VpsClientes[Client],VpsClientes[VP],"",0)</f>
        <v>Martha Guzman Arango</v>
      </c>
      <c r="B1118" t="s">
        <v>153</v>
      </c>
      <c r="C1118" t="s">
        <v>202</v>
      </c>
      <c r="D1118" t="s">
        <v>90</v>
      </c>
      <c r="E1118" t="s">
        <v>206</v>
      </c>
      <c r="F1118" s="1">
        <v>1055</v>
      </c>
    </row>
    <row r="1119" spans="1:6" x14ac:dyDescent="0.3">
      <c r="A1119" t="str">
        <f>_xlfn.XLOOKUP(ColombiaClientes[[#This Row],[Client]],VpsClientes[Client],VpsClientes[VP],"",0)</f>
        <v>Jhonatan Izquierdo Rico</v>
      </c>
      <c r="B1119" t="s">
        <v>138</v>
      </c>
      <c r="C1119" t="s">
        <v>202</v>
      </c>
      <c r="D1119" t="s">
        <v>90</v>
      </c>
      <c r="E1119" t="s">
        <v>206</v>
      </c>
      <c r="F1119" s="1">
        <v>1046</v>
      </c>
    </row>
    <row r="1120" spans="1:6" x14ac:dyDescent="0.3">
      <c r="A1120" t="str">
        <f>_xlfn.XLOOKUP(ColombiaClientes[[#This Row],[Client]],VpsClientes[Client],VpsClientes[VP],"",0)</f>
        <v>Moises Saavedra Garcia</v>
      </c>
      <c r="B1120" t="s">
        <v>120</v>
      </c>
      <c r="C1120" t="s">
        <v>202</v>
      </c>
      <c r="D1120" t="s">
        <v>90</v>
      </c>
      <c r="E1120" t="s">
        <v>206</v>
      </c>
      <c r="F1120" s="1">
        <v>975</v>
      </c>
    </row>
    <row r="1121" spans="1:6" x14ac:dyDescent="0.3">
      <c r="A1121" t="str">
        <f>_xlfn.XLOOKUP(ColombiaClientes[[#This Row],[Client]],VpsClientes[Client],VpsClientes[VP],"",0)</f>
        <v>Carlos Beltran Hernandez</v>
      </c>
      <c r="B1121" t="s">
        <v>151</v>
      </c>
      <c r="C1121" t="s">
        <v>202</v>
      </c>
      <c r="D1121" t="s">
        <v>90</v>
      </c>
      <c r="E1121" t="s">
        <v>206</v>
      </c>
      <c r="F1121" s="1">
        <v>967</v>
      </c>
    </row>
    <row r="1122" spans="1:6" x14ac:dyDescent="0.3">
      <c r="A1122" t="str">
        <f>_xlfn.XLOOKUP(ColombiaClientes[[#This Row],[Client]],VpsClientes[Client],VpsClientes[VP],"",0)</f>
        <v>Martha Guzman Arango</v>
      </c>
      <c r="B1122" t="s">
        <v>124</v>
      </c>
      <c r="C1122" t="s">
        <v>202</v>
      </c>
      <c r="D1122" t="s">
        <v>90</v>
      </c>
      <c r="E1122" t="s">
        <v>206</v>
      </c>
      <c r="F1122" s="1">
        <v>768</v>
      </c>
    </row>
    <row r="1123" spans="1:6" x14ac:dyDescent="0.3">
      <c r="A1123" t="str">
        <f>_xlfn.XLOOKUP(ColombiaClientes[[#This Row],[Client]],VpsClientes[Client],VpsClientes[VP],"",0)</f>
        <v>Hector Muraira Garza</v>
      </c>
      <c r="B1123" t="s">
        <v>154</v>
      </c>
      <c r="C1123" t="s">
        <v>202</v>
      </c>
      <c r="D1123" t="s">
        <v>90</v>
      </c>
      <c r="E1123" t="s">
        <v>206</v>
      </c>
      <c r="F1123" s="1">
        <v>743</v>
      </c>
    </row>
    <row r="1124" spans="1:6" x14ac:dyDescent="0.3">
      <c r="A1124" t="str">
        <f>_xlfn.XLOOKUP(ColombiaClientes[[#This Row],[Client]],VpsClientes[Client],VpsClientes[VP],"",0)</f>
        <v>Martha Guzman Arango</v>
      </c>
      <c r="B1124" t="s">
        <v>168</v>
      </c>
      <c r="C1124" t="s">
        <v>202</v>
      </c>
      <c r="D1124" t="s">
        <v>90</v>
      </c>
      <c r="E1124" t="s">
        <v>206</v>
      </c>
      <c r="F1124" s="1">
        <v>672</v>
      </c>
    </row>
    <row r="1125" spans="1:6" x14ac:dyDescent="0.3">
      <c r="A1125" t="str">
        <f>_xlfn.XLOOKUP(ColombiaClientes[[#This Row],[Client]],VpsClientes[Client],VpsClientes[VP],"",0)</f>
        <v>Martha Guzman Arango</v>
      </c>
      <c r="B1125" t="s">
        <v>199</v>
      </c>
      <c r="C1125" t="s">
        <v>202</v>
      </c>
      <c r="D1125" t="s">
        <v>90</v>
      </c>
      <c r="E1125" t="s">
        <v>206</v>
      </c>
      <c r="F1125" s="1">
        <v>668</v>
      </c>
    </row>
    <row r="1126" spans="1:6" x14ac:dyDescent="0.3">
      <c r="A1126" t="str">
        <f>_xlfn.XLOOKUP(ColombiaClientes[[#This Row],[Client]],VpsClientes[Client],VpsClientes[VP],"",0)</f>
        <v>Hector Muraira Garza</v>
      </c>
      <c r="B1126" t="s">
        <v>132</v>
      </c>
      <c r="C1126" t="s">
        <v>202</v>
      </c>
      <c r="D1126" t="s">
        <v>90</v>
      </c>
      <c r="E1126" t="s">
        <v>206</v>
      </c>
      <c r="F1126" s="1">
        <v>651</v>
      </c>
    </row>
    <row r="1127" spans="1:6" x14ac:dyDescent="0.3">
      <c r="A1127" t="str">
        <f>_xlfn.XLOOKUP(ColombiaClientes[[#This Row],[Client]],VpsClientes[Client],VpsClientes[VP],"",0)</f>
        <v>Martha Guzman Arango</v>
      </c>
      <c r="B1127" t="s">
        <v>156</v>
      </c>
      <c r="C1127" t="s">
        <v>202</v>
      </c>
      <c r="D1127" t="s">
        <v>90</v>
      </c>
      <c r="E1127" t="s">
        <v>206</v>
      </c>
      <c r="F1127" s="1">
        <v>644</v>
      </c>
    </row>
    <row r="1128" spans="1:6" x14ac:dyDescent="0.3">
      <c r="A1128" t="str">
        <f>_xlfn.XLOOKUP(ColombiaClientes[[#This Row],[Client]],VpsClientes[Client],VpsClientes[VP],"",0)</f>
        <v>Carlos Beltran Hernandez</v>
      </c>
      <c r="B1128" t="s">
        <v>173</v>
      </c>
      <c r="C1128" t="s">
        <v>202</v>
      </c>
      <c r="D1128" t="s">
        <v>90</v>
      </c>
      <c r="E1128" t="s">
        <v>206</v>
      </c>
      <c r="F1128" s="1">
        <v>623</v>
      </c>
    </row>
    <row r="1129" spans="1:6" x14ac:dyDescent="0.3">
      <c r="A1129" t="str">
        <f>_xlfn.XLOOKUP(ColombiaClientes[[#This Row],[Client]],VpsClientes[Client],VpsClientes[VP],"",0)</f>
        <v>Jhonatan Izquierdo Rico</v>
      </c>
      <c r="B1129" t="s">
        <v>129</v>
      </c>
      <c r="C1129" t="s">
        <v>202</v>
      </c>
      <c r="D1129" t="s">
        <v>90</v>
      </c>
      <c r="E1129" t="s">
        <v>206</v>
      </c>
      <c r="F1129" s="1">
        <v>602</v>
      </c>
    </row>
    <row r="1130" spans="1:6" x14ac:dyDescent="0.3">
      <c r="A1130">
        <f>_xlfn.XLOOKUP(ColombiaClientes[[#This Row],[Client]],VpsClientes[Client],VpsClientes[VP],"",0)</f>
        <v>0</v>
      </c>
      <c r="B1130" t="s">
        <v>147</v>
      </c>
      <c r="C1130" t="s">
        <v>192</v>
      </c>
      <c r="D1130" t="s">
        <v>219</v>
      </c>
      <c r="E1130" t="s">
        <v>206</v>
      </c>
      <c r="F1130" s="1">
        <v>0</v>
      </c>
    </row>
    <row r="1131" spans="1:6" x14ac:dyDescent="0.3">
      <c r="A1131" t="str">
        <f>_xlfn.XLOOKUP(ColombiaClientes[[#This Row],[Client]],VpsClientes[Client],VpsClientes[VP],"",0)</f>
        <v>Martha Guzman Arango</v>
      </c>
      <c r="B1131" t="s">
        <v>145</v>
      </c>
      <c r="C1131" t="s">
        <v>202</v>
      </c>
      <c r="D1131" t="s">
        <v>90</v>
      </c>
      <c r="E1131" t="s">
        <v>206</v>
      </c>
      <c r="F1131" s="1">
        <v>478</v>
      </c>
    </row>
    <row r="1132" spans="1:6" x14ac:dyDescent="0.3">
      <c r="A1132" t="str">
        <f>_xlfn.XLOOKUP(ColombiaClientes[[#This Row],[Client]],VpsClientes[Client],VpsClientes[VP],"",0)</f>
        <v>Moises Saavedra Garcia</v>
      </c>
      <c r="B1132" t="s">
        <v>172</v>
      </c>
      <c r="C1132" t="s">
        <v>202</v>
      </c>
      <c r="D1132" t="s">
        <v>90</v>
      </c>
      <c r="E1132" t="s">
        <v>206</v>
      </c>
      <c r="F1132" s="1">
        <v>467</v>
      </c>
    </row>
    <row r="1133" spans="1:6" x14ac:dyDescent="0.3">
      <c r="A1133" t="str">
        <f>_xlfn.XLOOKUP(ColombiaClientes[[#This Row],[Client]],VpsClientes[Client],VpsClientes[VP],"",0)</f>
        <v>Hector Muraira Garza</v>
      </c>
      <c r="B1133" t="s">
        <v>140</v>
      </c>
      <c r="C1133" t="s">
        <v>202</v>
      </c>
      <c r="D1133" t="s">
        <v>90</v>
      </c>
      <c r="E1133" t="s">
        <v>206</v>
      </c>
      <c r="F1133" s="1">
        <v>455</v>
      </c>
    </row>
    <row r="1134" spans="1:6" x14ac:dyDescent="0.3">
      <c r="A1134" t="str">
        <f>_xlfn.XLOOKUP(ColombiaClientes[[#This Row],[Client]],VpsClientes[Client],VpsClientes[VP],"",0)</f>
        <v>Martha Guzman Arango</v>
      </c>
      <c r="B1134" t="s">
        <v>148</v>
      </c>
      <c r="C1134" t="s">
        <v>202</v>
      </c>
      <c r="D1134" t="s">
        <v>90</v>
      </c>
      <c r="E1134" t="s">
        <v>206</v>
      </c>
      <c r="F1134" s="1">
        <v>453</v>
      </c>
    </row>
    <row r="1135" spans="1:6" x14ac:dyDescent="0.3">
      <c r="A1135" t="str">
        <f>_xlfn.XLOOKUP(ColombiaClientes[[#This Row],[Client]],VpsClientes[Client],VpsClientes[VP],"",0)</f>
        <v>Ernesto Rico Zuluaga</v>
      </c>
      <c r="B1135" t="s">
        <v>121</v>
      </c>
      <c r="C1135" t="s">
        <v>202</v>
      </c>
      <c r="D1135" t="s">
        <v>90</v>
      </c>
      <c r="E1135" t="s">
        <v>206</v>
      </c>
      <c r="F1135" s="1">
        <v>440</v>
      </c>
    </row>
    <row r="1136" spans="1:6" x14ac:dyDescent="0.3">
      <c r="A1136" t="str">
        <f>_xlfn.XLOOKUP(ColombiaClientes[[#This Row],[Client]],VpsClientes[Client],VpsClientes[VP],"",0)</f>
        <v>Carlos Beltran Hernandez</v>
      </c>
      <c r="B1136" t="s">
        <v>158</v>
      </c>
      <c r="C1136" t="s">
        <v>202</v>
      </c>
      <c r="D1136" t="s">
        <v>90</v>
      </c>
      <c r="E1136" t="s">
        <v>206</v>
      </c>
      <c r="F1136" s="1">
        <v>426</v>
      </c>
    </row>
    <row r="1137" spans="1:6" x14ac:dyDescent="0.3">
      <c r="A1137" t="str">
        <f>_xlfn.XLOOKUP(ColombiaClientes[[#This Row],[Client]],VpsClientes[Client],VpsClientes[VP],"",0)</f>
        <v>Jhonatan Izquierdo Rico</v>
      </c>
      <c r="B1137" t="s">
        <v>157</v>
      </c>
      <c r="C1137" t="s">
        <v>202</v>
      </c>
      <c r="D1137" t="s">
        <v>90</v>
      </c>
      <c r="E1137" t="s">
        <v>206</v>
      </c>
      <c r="F1137" s="1">
        <v>415</v>
      </c>
    </row>
    <row r="1138" spans="1:6" x14ac:dyDescent="0.3">
      <c r="A1138" t="str">
        <f>_xlfn.XLOOKUP(ColombiaClientes[[#This Row],[Client]],VpsClientes[Client],VpsClientes[VP],"",0)</f>
        <v>Jhonatan Izquierdo Rico</v>
      </c>
      <c r="B1138" t="s">
        <v>197</v>
      </c>
      <c r="C1138" t="s">
        <v>202</v>
      </c>
      <c r="D1138" t="s">
        <v>90</v>
      </c>
      <c r="E1138" t="s">
        <v>206</v>
      </c>
      <c r="F1138" s="1">
        <v>405</v>
      </c>
    </row>
    <row r="1139" spans="1:6" x14ac:dyDescent="0.3">
      <c r="A1139" t="str">
        <f>_xlfn.XLOOKUP(ColombiaClientes[[#This Row],[Client]],VpsClientes[Client],VpsClientes[VP],"",0)</f>
        <v>Maria Forero Jara</v>
      </c>
      <c r="B1139" t="s">
        <v>182</v>
      </c>
      <c r="C1139" t="s">
        <v>202</v>
      </c>
      <c r="D1139" t="s">
        <v>90</v>
      </c>
      <c r="E1139" t="s">
        <v>206</v>
      </c>
      <c r="F1139" s="1">
        <v>399</v>
      </c>
    </row>
    <row r="1140" spans="1:6" x14ac:dyDescent="0.3">
      <c r="A1140" t="str">
        <f>_xlfn.XLOOKUP(ColombiaClientes[[#This Row],[Client]],VpsClientes[Client],VpsClientes[VP],"",0)</f>
        <v>Maria Forero Jara</v>
      </c>
      <c r="B1140" t="s">
        <v>179</v>
      </c>
      <c r="C1140" t="s">
        <v>202</v>
      </c>
      <c r="D1140" t="s">
        <v>90</v>
      </c>
      <c r="E1140" t="s">
        <v>206</v>
      </c>
      <c r="F1140" s="1">
        <v>395</v>
      </c>
    </row>
    <row r="1141" spans="1:6" x14ac:dyDescent="0.3">
      <c r="A1141" t="str">
        <f>_xlfn.XLOOKUP(ColombiaClientes[[#This Row],[Client]],VpsClientes[Client],VpsClientes[VP],"",0)</f>
        <v>Juan Granados Castillo</v>
      </c>
      <c r="B1141" t="s">
        <v>142</v>
      </c>
      <c r="C1141" t="s">
        <v>202</v>
      </c>
      <c r="D1141" t="s">
        <v>90</v>
      </c>
      <c r="E1141" t="s">
        <v>206</v>
      </c>
      <c r="F1141" s="1">
        <v>393</v>
      </c>
    </row>
    <row r="1142" spans="1:6" x14ac:dyDescent="0.3">
      <c r="A1142" t="str">
        <f>_xlfn.XLOOKUP(ColombiaClientes[[#This Row],[Client]],VpsClientes[Client],VpsClientes[VP],"",0)</f>
        <v>Martha Guzman Arango</v>
      </c>
      <c r="B1142" t="s">
        <v>131</v>
      </c>
      <c r="C1142" t="s">
        <v>202</v>
      </c>
      <c r="D1142" t="s">
        <v>90</v>
      </c>
      <c r="E1142" t="s">
        <v>206</v>
      </c>
      <c r="F1142" s="1">
        <v>346</v>
      </c>
    </row>
    <row r="1143" spans="1:6" x14ac:dyDescent="0.3">
      <c r="A1143" t="str">
        <f>_xlfn.XLOOKUP(ColombiaClientes[[#This Row],[Client]],VpsClientes[Client],VpsClientes[VP],"",0)</f>
        <v>Maria Forero Jara</v>
      </c>
      <c r="B1143" t="s">
        <v>144</v>
      </c>
      <c r="C1143" t="s">
        <v>202</v>
      </c>
      <c r="D1143" t="s">
        <v>90</v>
      </c>
      <c r="E1143" t="s">
        <v>206</v>
      </c>
      <c r="F1143" s="1">
        <v>326</v>
      </c>
    </row>
    <row r="1144" spans="1:6" x14ac:dyDescent="0.3">
      <c r="A1144" t="str">
        <f>_xlfn.XLOOKUP(ColombiaClientes[[#This Row],[Client]],VpsClientes[Client],VpsClientes[VP],"",0)</f>
        <v>Maria Forero Jara</v>
      </c>
      <c r="B1144" t="s">
        <v>163</v>
      </c>
      <c r="C1144" t="s">
        <v>202</v>
      </c>
      <c r="D1144" t="s">
        <v>90</v>
      </c>
      <c r="E1144" t="s">
        <v>206</v>
      </c>
      <c r="F1144" s="1">
        <v>325</v>
      </c>
    </row>
    <row r="1145" spans="1:6" x14ac:dyDescent="0.3">
      <c r="A1145" t="str">
        <f>_xlfn.XLOOKUP(ColombiaClientes[[#This Row],[Client]],VpsClientes[Client],VpsClientes[VP],"",0)</f>
        <v>Martha Guzman Arango</v>
      </c>
      <c r="B1145" t="s">
        <v>185</v>
      </c>
      <c r="C1145" t="s">
        <v>202</v>
      </c>
      <c r="D1145" t="s">
        <v>90</v>
      </c>
      <c r="E1145" t="s">
        <v>206</v>
      </c>
      <c r="F1145" s="1">
        <v>262</v>
      </c>
    </row>
    <row r="1146" spans="1:6" x14ac:dyDescent="0.3">
      <c r="A1146" t="str">
        <f>_xlfn.XLOOKUP(ColombiaClientes[[#This Row],[Client]],VpsClientes[Client],VpsClientes[VP],"",0)</f>
        <v>Moises Saavedra Garcia</v>
      </c>
      <c r="B1146" t="s">
        <v>190</v>
      </c>
      <c r="C1146" t="s">
        <v>202</v>
      </c>
      <c r="D1146" t="s">
        <v>90</v>
      </c>
      <c r="E1146" t="s">
        <v>206</v>
      </c>
      <c r="F1146" s="1">
        <v>245</v>
      </c>
    </row>
    <row r="1147" spans="1:6" x14ac:dyDescent="0.3">
      <c r="A1147" t="str">
        <f>_xlfn.XLOOKUP(ColombiaClientes[[#This Row],[Client]],VpsClientes[Client],VpsClientes[VP],"",0)</f>
        <v>Martha Guzman Arango</v>
      </c>
      <c r="B1147" t="s">
        <v>171</v>
      </c>
      <c r="C1147" t="s">
        <v>202</v>
      </c>
      <c r="D1147" t="s">
        <v>90</v>
      </c>
      <c r="E1147" t="s">
        <v>206</v>
      </c>
      <c r="F1147" s="1">
        <v>225</v>
      </c>
    </row>
    <row r="1148" spans="1:6" x14ac:dyDescent="0.3">
      <c r="A1148" t="str">
        <f>_xlfn.XLOOKUP(ColombiaClientes[[#This Row],[Client]],VpsClientes[Client],VpsClientes[VP],"",0)</f>
        <v>Martha Guzman Arango</v>
      </c>
      <c r="B1148" t="s">
        <v>170</v>
      </c>
      <c r="C1148" t="s">
        <v>202</v>
      </c>
      <c r="D1148" t="s">
        <v>90</v>
      </c>
      <c r="E1148" t="s">
        <v>206</v>
      </c>
      <c r="F1148" s="1">
        <v>203</v>
      </c>
    </row>
    <row r="1149" spans="1:6" x14ac:dyDescent="0.3">
      <c r="A1149" t="str">
        <f>_xlfn.XLOOKUP(ColombiaClientes[[#This Row],[Client]],VpsClientes[Client],VpsClientes[VP],"",0)</f>
        <v>Martha Guzman Arango</v>
      </c>
      <c r="B1149" t="s">
        <v>155</v>
      </c>
      <c r="C1149" t="s">
        <v>202</v>
      </c>
      <c r="D1149" t="s">
        <v>90</v>
      </c>
      <c r="E1149" t="s">
        <v>206</v>
      </c>
      <c r="F1149" s="1">
        <v>177</v>
      </c>
    </row>
    <row r="1150" spans="1:6" x14ac:dyDescent="0.3">
      <c r="A1150">
        <f>_xlfn.XLOOKUP(ColombiaClientes[[#This Row],[Client]],VpsClientes[Client],VpsClientes[VP],"",0)</f>
        <v>0</v>
      </c>
      <c r="B1150" t="s">
        <v>141</v>
      </c>
      <c r="C1150" t="s">
        <v>92</v>
      </c>
      <c r="D1150" t="s">
        <v>90</v>
      </c>
      <c r="E1150" t="s">
        <v>91</v>
      </c>
      <c r="F1150" s="1">
        <v>658</v>
      </c>
    </row>
    <row r="1151" spans="1:6" x14ac:dyDescent="0.3">
      <c r="A1151" t="str">
        <f>_xlfn.XLOOKUP(ColombiaClientes[[#This Row],[Client]],VpsClientes[Client],VpsClientes[VP],"",0)</f>
        <v>Moises Saavedra Garcia</v>
      </c>
      <c r="B1151" t="s">
        <v>110</v>
      </c>
      <c r="C1151" t="s">
        <v>202</v>
      </c>
      <c r="D1151" t="s">
        <v>90</v>
      </c>
      <c r="E1151" t="s">
        <v>206</v>
      </c>
      <c r="F1151" s="1">
        <v>159</v>
      </c>
    </row>
    <row r="1152" spans="1:6" x14ac:dyDescent="0.3">
      <c r="A1152" t="str">
        <f>_xlfn.XLOOKUP(ColombiaClientes[[#This Row],[Client]],VpsClientes[Client],VpsClientes[VP],"",0)</f>
        <v>Martha Guzman Arango</v>
      </c>
      <c r="B1152" t="s">
        <v>169</v>
      </c>
      <c r="C1152" t="s">
        <v>202</v>
      </c>
      <c r="D1152" t="s">
        <v>90</v>
      </c>
      <c r="E1152" t="s">
        <v>206</v>
      </c>
      <c r="F1152" s="1">
        <v>158</v>
      </c>
    </row>
    <row r="1153" spans="1:6" x14ac:dyDescent="0.3">
      <c r="A1153">
        <f>_xlfn.XLOOKUP(ColombiaClientes[[#This Row],[Client]],VpsClientes[Client],VpsClientes[VP],"",0)</f>
        <v>0</v>
      </c>
      <c r="B1153" t="s">
        <v>141</v>
      </c>
      <c r="C1153" t="s">
        <v>191</v>
      </c>
      <c r="D1153" t="s">
        <v>90</v>
      </c>
      <c r="E1153" t="s">
        <v>91</v>
      </c>
      <c r="F1153" s="1">
        <v>234</v>
      </c>
    </row>
    <row r="1154" spans="1:6" x14ac:dyDescent="0.3">
      <c r="A1154" t="str">
        <f>_xlfn.XLOOKUP(ColombiaClientes[[#This Row],[Client]],VpsClientes[Client],VpsClientes[VP],"",0)</f>
        <v>Juan Granados Castillo</v>
      </c>
      <c r="B1154" t="s">
        <v>149</v>
      </c>
      <c r="C1154" t="s">
        <v>202</v>
      </c>
      <c r="D1154" t="s">
        <v>90</v>
      </c>
      <c r="E1154" t="s">
        <v>206</v>
      </c>
      <c r="F1154" s="1">
        <v>135</v>
      </c>
    </row>
    <row r="1155" spans="1:6" x14ac:dyDescent="0.3">
      <c r="A1155" t="str">
        <f>_xlfn.XLOOKUP(ColombiaClientes[[#This Row],[Client]],VpsClientes[Client],VpsClientes[VP],"",0)</f>
        <v>Martha Guzman Arango</v>
      </c>
      <c r="B1155" t="s">
        <v>186</v>
      </c>
      <c r="C1155" t="s">
        <v>202</v>
      </c>
      <c r="D1155" t="s">
        <v>90</v>
      </c>
      <c r="E1155" t="s">
        <v>206</v>
      </c>
      <c r="F1155" s="1">
        <v>132</v>
      </c>
    </row>
    <row r="1156" spans="1:6" x14ac:dyDescent="0.3">
      <c r="A1156" t="str">
        <f>_xlfn.XLOOKUP(ColombiaClientes[[#This Row],[Client]],VpsClientes[Client],VpsClientes[VP],"",0)</f>
        <v>Martha Guzman Arango</v>
      </c>
      <c r="B1156" t="s">
        <v>165</v>
      </c>
      <c r="C1156" t="s">
        <v>202</v>
      </c>
      <c r="D1156" t="s">
        <v>90</v>
      </c>
      <c r="E1156" t="s">
        <v>206</v>
      </c>
      <c r="F1156" s="1">
        <v>125</v>
      </c>
    </row>
    <row r="1157" spans="1:6" x14ac:dyDescent="0.3">
      <c r="A1157" t="str">
        <f>_xlfn.XLOOKUP(ColombiaClientes[[#This Row],[Client]],VpsClientes[Client],VpsClientes[VP],"",0)</f>
        <v>Martha Guzman Arango</v>
      </c>
      <c r="B1157" t="s">
        <v>174</v>
      </c>
      <c r="C1157" t="s">
        <v>202</v>
      </c>
      <c r="D1157" t="s">
        <v>90</v>
      </c>
      <c r="E1157" t="s">
        <v>206</v>
      </c>
      <c r="F1157" s="1">
        <v>120</v>
      </c>
    </row>
    <row r="1158" spans="1:6" x14ac:dyDescent="0.3">
      <c r="A1158" t="str">
        <f>_xlfn.XLOOKUP(ColombiaClientes[[#This Row],[Client]],VpsClientes[Client],VpsClientes[VP],"",0)</f>
        <v>Jhonatan Izquierdo Rico</v>
      </c>
      <c r="B1158" t="s">
        <v>200</v>
      </c>
      <c r="C1158" t="s">
        <v>202</v>
      </c>
      <c r="D1158" t="s">
        <v>90</v>
      </c>
      <c r="E1158" t="s">
        <v>206</v>
      </c>
      <c r="F1158" s="1">
        <v>119</v>
      </c>
    </row>
    <row r="1159" spans="1:6" x14ac:dyDescent="0.3">
      <c r="A1159" t="str">
        <f>_xlfn.XLOOKUP(ColombiaClientes[[#This Row],[Client]],VpsClientes[Client],VpsClientes[VP],"",0)</f>
        <v>Maria Forero Jara</v>
      </c>
      <c r="B1159" t="s">
        <v>198</v>
      </c>
      <c r="C1159" t="s">
        <v>202</v>
      </c>
      <c r="D1159" t="s">
        <v>90</v>
      </c>
      <c r="E1159" t="s">
        <v>206</v>
      </c>
      <c r="F1159" s="1">
        <v>111</v>
      </c>
    </row>
    <row r="1160" spans="1:6" x14ac:dyDescent="0.3">
      <c r="A1160" t="str">
        <f>_xlfn.XLOOKUP(ColombiaClientes[[#This Row],[Client]],VpsClientes[Client],VpsClientes[VP],"",0)</f>
        <v>Moises Saavedra Garcia</v>
      </c>
      <c r="B1160" t="s">
        <v>187</v>
      </c>
      <c r="C1160" t="s">
        <v>202</v>
      </c>
      <c r="D1160" t="s">
        <v>90</v>
      </c>
      <c r="E1160" t="s">
        <v>206</v>
      </c>
      <c r="F1160" s="1">
        <v>107</v>
      </c>
    </row>
    <row r="1161" spans="1:6" x14ac:dyDescent="0.3">
      <c r="A1161" t="str">
        <f>_xlfn.XLOOKUP(ColombiaClientes[[#This Row],[Client]],VpsClientes[Client],VpsClientes[VP],"",0)</f>
        <v>Jhonatan Izquierdo Rico</v>
      </c>
      <c r="B1161" t="s">
        <v>196</v>
      </c>
      <c r="C1161" t="s">
        <v>202</v>
      </c>
      <c r="D1161" t="s">
        <v>90</v>
      </c>
      <c r="E1161" t="s">
        <v>206</v>
      </c>
      <c r="F1161" s="1">
        <v>87</v>
      </c>
    </row>
    <row r="1162" spans="1:6" x14ac:dyDescent="0.3">
      <c r="A1162" t="str">
        <f>_xlfn.XLOOKUP(ColombiaClientes[[#This Row],[Client]],VpsClientes[Client],VpsClientes[VP],"",0)</f>
        <v>Moises Saavedra Garcia</v>
      </c>
      <c r="B1162" t="s">
        <v>175</v>
      </c>
      <c r="C1162" t="s">
        <v>202</v>
      </c>
      <c r="D1162" t="s">
        <v>90</v>
      </c>
      <c r="E1162" t="s">
        <v>206</v>
      </c>
      <c r="F1162" s="1">
        <v>85</v>
      </c>
    </row>
    <row r="1163" spans="1:6" x14ac:dyDescent="0.3">
      <c r="A1163" t="str">
        <f>_xlfn.XLOOKUP(ColombiaClientes[[#This Row],[Client]],VpsClientes[Client],VpsClientes[VP],"",0)</f>
        <v>Martha Guzman Arango</v>
      </c>
      <c r="B1163" t="s">
        <v>183</v>
      </c>
      <c r="C1163" t="s">
        <v>202</v>
      </c>
      <c r="D1163" t="s">
        <v>90</v>
      </c>
      <c r="E1163" t="s">
        <v>206</v>
      </c>
      <c r="F1163" s="1">
        <v>76</v>
      </c>
    </row>
    <row r="1164" spans="1:6" x14ac:dyDescent="0.3">
      <c r="A1164" t="str">
        <f>_xlfn.XLOOKUP(ColombiaClientes[[#This Row],[Client]],VpsClientes[Client],VpsClientes[VP],"",0)</f>
        <v>Martha Guzman Arango</v>
      </c>
      <c r="B1164" t="s">
        <v>176</v>
      </c>
      <c r="C1164" t="s">
        <v>202</v>
      </c>
      <c r="D1164" t="s">
        <v>90</v>
      </c>
      <c r="E1164" t="s">
        <v>206</v>
      </c>
      <c r="F1164" s="1">
        <v>41</v>
      </c>
    </row>
    <row r="1165" spans="1:6" x14ac:dyDescent="0.3">
      <c r="A1165" t="str">
        <f>_xlfn.XLOOKUP(ColombiaClientes[[#This Row],[Client]],VpsClientes[Client],VpsClientes[VP],"",0)</f>
        <v>Martha Guzman Arango</v>
      </c>
      <c r="B1165" t="s">
        <v>180</v>
      </c>
      <c r="C1165" t="s">
        <v>202</v>
      </c>
      <c r="D1165" t="s">
        <v>90</v>
      </c>
      <c r="E1165" t="s">
        <v>206</v>
      </c>
      <c r="F1165" s="1">
        <v>37</v>
      </c>
    </row>
    <row r="1166" spans="1:6" x14ac:dyDescent="0.3">
      <c r="A1166" t="str">
        <f>_xlfn.XLOOKUP(ColombiaClientes[[#This Row],[Client]],VpsClientes[Client],VpsClientes[VP],"",0)</f>
        <v>Jhonatan Izquierdo Rico</v>
      </c>
      <c r="B1166" t="s">
        <v>159</v>
      </c>
      <c r="C1166" t="s">
        <v>202</v>
      </c>
      <c r="D1166" t="s">
        <v>90</v>
      </c>
      <c r="E1166" t="s">
        <v>206</v>
      </c>
      <c r="F1166" s="1">
        <v>36</v>
      </c>
    </row>
    <row r="1167" spans="1:6" x14ac:dyDescent="0.3">
      <c r="A1167" t="str">
        <f>_xlfn.XLOOKUP(ColombiaClientes[[#This Row],[Client]],VpsClientes[Client],VpsClientes[VP],"",0)</f>
        <v>Hector Muraira Garza</v>
      </c>
      <c r="B1167" t="s">
        <v>164</v>
      </c>
      <c r="C1167" t="s">
        <v>202</v>
      </c>
      <c r="D1167" t="s">
        <v>90</v>
      </c>
      <c r="E1167" t="s">
        <v>206</v>
      </c>
      <c r="F1167" s="1">
        <v>31</v>
      </c>
    </row>
    <row r="1168" spans="1:6" x14ac:dyDescent="0.3">
      <c r="A1168" t="str">
        <f>_xlfn.XLOOKUP(ColombiaClientes[[#This Row],[Client]],VpsClientes[Client],VpsClientes[VP],"",0)</f>
        <v>Maria Forero Jara</v>
      </c>
      <c r="B1168" t="s">
        <v>161</v>
      </c>
      <c r="C1168" t="s">
        <v>202</v>
      </c>
      <c r="D1168" t="s">
        <v>90</v>
      </c>
      <c r="E1168" t="s">
        <v>206</v>
      </c>
      <c r="F1168" s="1">
        <v>20</v>
      </c>
    </row>
    <row r="1169" spans="1:6" x14ac:dyDescent="0.3">
      <c r="A1169" t="str">
        <f>_xlfn.XLOOKUP(ColombiaClientes[[#This Row],[Client]],VpsClientes[Client],VpsClientes[VP],"",0)</f>
        <v>Martha Guzman Arango</v>
      </c>
      <c r="B1169" t="s">
        <v>188</v>
      </c>
      <c r="C1169" t="s">
        <v>202</v>
      </c>
      <c r="D1169" t="s">
        <v>90</v>
      </c>
      <c r="E1169" t="s">
        <v>206</v>
      </c>
      <c r="F1169" s="1">
        <v>9</v>
      </c>
    </row>
    <row r="1170" spans="1:6" x14ac:dyDescent="0.3">
      <c r="A1170" t="str">
        <f>_xlfn.XLOOKUP(ColombiaClientes[[#This Row],[Client]],VpsClientes[Client],VpsClientes[VP],"",0)</f>
        <v>Hector Muraira Garza</v>
      </c>
      <c r="B1170" t="s">
        <v>167</v>
      </c>
      <c r="C1170" t="s">
        <v>202</v>
      </c>
      <c r="D1170" t="s">
        <v>90</v>
      </c>
      <c r="E1170" t="s">
        <v>206</v>
      </c>
      <c r="F1170" s="1">
        <v>9</v>
      </c>
    </row>
    <row r="1171" spans="1:6" x14ac:dyDescent="0.3">
      <c r="A1171">
        <f>_xlfn.XLOOKUP(ColombiaClientes[[#This Row],[Client]],VpsClientes[Client],VpsClientes[VP],"",0)</f>
        <v>0</v>
      </c>
      <c r="B1171" t="s">
        <v>141</v>
      </c>
      <c r="C1171" t="s">
        <v>192</v>
      </c>
      <c r="D1171" t="s">
        <v>90</v>
      </c>
      <c r="E1171" t="s">
        <v>91</v>
      </c>
      <c r="F1171" s="1">
        <v>263</v>
      </c>
    </row>
    <row r="1172" spans="1:6" x14ac:dyDescent="0.3">
      <c r="A1172" t="str">
        <f>_xlfn.XLOOKUP(ColombiaClientes[[#This Row],[Client]],VpsClientes[Client],VpsClientes[VP],"",0)</f>
        <v>Martha Guzman Arango</v>
      </c>
      <c r="B1172" t="s">
        <v>189</v>
      </c>
      <c r="C1172" t="s">
        <v>202</v>
      </c>
      <c r="D1172" t="s">
        <v>90</v>
      </c>
      <c r="E1172" t="s">
        <v>206</v>
      </c>
      <c r="F1172" s="1">
        <v>7</v>
      </c>
    </row>
    <row r="1173" spans="1:6" x14ac:dyDescent="0.3">
      <c r="A1173" t="str">
        <f>_xlfn.XLOOKUP(ColombiaClientes[[#This Row],[Client]],VpsClientes[Client],VpsClientes[VP],"",0)</f>
        <v>Carlos Beltran Hernandez</v>
      </c>
      <c r="B1173" t="s">
        <v>94</v>
      </c>
      <c r="C1173" t="s">
        <v>203</v>
      </c>
      <c r="D1173" t="s">
        <v>90</v>
      </c>
      <c r="E1173" t="s">
        <v>206</v>
      </c>
      <c r="F1173" s="1">
        <v>30421</v>
      </c>
    </row>
    <row r="1174" spans="1:6" x14ac:dyDescent="0.3">
      <c r="A1174" t="str">
        <f>_xlfn.XLOOKUP(ColombiaClientes[[#This Row],[Client]],VpsClientes[Client],VpsClientes[VP],"",0)</f>
        <v>Jhonatan Izquierdo Rico</v>
      </c>
      <c r="B1174" t="s">
        <v>104</v>
      </c>
      <c r="C1174" t="s">
        <v>203</v>
      </c>
      <c r="D1174" t="s">
        <v>90</v>
      </c>
      <c r="E1174" t="s">
        <v>206</v>
      </c>
      <c r="F1174" s="1">
        <v>27855</v>
      </c>
    </row>
    <row r="1175" spans="1:6" x14ac:dyDescent="0.3">
      <c r="A1175" t="str">
        <f>_xlfn.XLOOKUP(ColombiaClientes[[#This Row],[Client]],VpsClientes[Client],VpsClientes[VP],"",0)</f>
        <v>Jhonatan Izquierdo Rico</v>
      </c>
      <c r="B1175" t="s">
        <v>128</v>
      </c>
      <c r="C1175" t="s">
        <v>203</v>
      </c>
      <c r="D1175" t="s">
        <v>90</v>
      </c>
      <c r="E1175" t="s">
        <v>206</v>
      </c>
      <c r="F1175" s="1">
        <v>22324</v>
      </c>
    </row>
    <row r="1176" spans="1:6" x14ac:dyDescent="0.3">
      <c r="A1176" t="str">
        <f>_xlfn.XLOOKUP(ColombiaClientes[[#This Row],[Client]],VpsClientes[Client],VpsClientes[VP],"",0)</f>
        <v>Carlos Beltran Hernandez</v>
      </c>
      <c r="B1176" t="s">
        <v>93</v>
      </c>
      <c r="C1176" t="s">
        <v>203</v>
      </c>
      <c r="D1176" t="s">
        <v>90</v>
      </c>
      <c r="E1176" t="s">
        <v>206</v>
      </c>
      <c r="F1176" s="1">
        <v>22002</v>
      </c>
    </row>
    <row r="1177" spans="1:6" x14ac:dyDescent="0.3">
      <c r="A1177" t="str">
        <f>_xlfn.XLOOKUP(ColombiaClientes[[#This Row],[Client]],VpsClientes[Client],VpsClientes[VP],"",0)</f>
        <v>Moises Saavedra Garcia</v>
      </c>
      <c r="B1177" t="s">
        <v>99</v>
      </c>
      <c r="C1177" t="s">
        <v>203</v>
      </c>
      <c r="D1177" t="s">
        <v>90</v>
      </c>
      <c r="E1177" t="s">
        <v>206</v>
      </c>
      <c r="F1177" s="1">
        <v>21812</v>
      </c>
    </row>
    <row r="1178" spans="1:6" x14ac:dyDescent="0.3">
      <c r="A1178" t="str">
        <f>_xlfn.XLOOKUP(ColombiaClientes[[#This Row],[Client]],VpsClientes[Client],VpsClientes[VP],"",0)</f>
        <v>Moises Saavedra Garcia</v>
      </c>
      <c r="B1178" t="s">
        <v>207</v>
      </c>
      <c r="C1178" t="s">
        <v>203</v>
      </c>
      <c r="D1178" t="s">
        <v>90</v>
      </c>
      <c r="E1178" t="s">
        <v>206</v>
      </c>
      <c r="F1178" s="1">
        <v>17717</v>
      </c>
    </row>
    <row r="1179" spans="1:6" x14ac:dyDescent="0.3">
      <c r="A1179" t="str">
        <f>_xlfn.XLOOKUP(ColombiaClientes[[#This Row],[Client]],VpsClientes[Client],VpsClientes[VP],"",0)</f>
        <v>Carlos Castillo Figueroa</v>
      </c>
      <c r="B1179" t="s">
        <v>105</v>
      </c>
      <c r="C1179" t="s">
        <v>203</v>
      </c>
      <c r="D1179" t="s">
        <v>90</v>
      </c>
      <c r="E1179" t="s">
        <v>206</v>
      </c>
      <c r="F1179" s="1">
        <v>16400</v>
      </c>
    </row>
    <row r="1180" spans="1:6" x14ac:dyDescent="0.3">
      <c r="A1180" t="str">
        <f>_xlfn.XLOOKUP(ColombiaClientes[[#This Row],[Client]],VpsClientes[Client],VpsClientes[VP],"",0)</f>
        <v>Martha Guzman Arango</v>
      </c>
      <c r="B1180" t="s">
        <v>96</v>
      </c>
      <c r="C1180" t="s">
        <v>203</v>
      </c>
      <c r="D1180" t="s">
        <v>90</v>
      </c>
      <c r="E1180" t="s">
        <v>206</v>
      </c>
      <c r="F1180" s="1">
        <v>15763</v>
      </c>
    </row>
    <row r="1181" spans="1:6" x14ac:dyDescent="0.3">
      <c r="A1181" t="str">
        <f>_xlfn.XLOOKUP(ColombiaClientes[[#This Row],[Client]],VpsClientes[Client],VpsClientes[VP],"",0)</f>
        <v>Martha Guzman Arango</v>
      </c>
      <c r="B1181" t="s">
        <v>100</v>
      </c>
      <c r="C1181" t="s">
        <v>203</v>
      </c>
      <c r="D1181" t="s">
        <v>90</v>
      </c>
      <c r="E1181" t="s">
        <v>206</v>
      </c>
      <c r="F1181" s="1">
        <v>14965</v>
      </c>
    </row>
    <row r="1182" spans="1:6" x14ac:dyDescent="0.3">
      <c r="A1182" t="str">
        <f>_xlfn.XLOOKUP(ColombiaClientes[[#This Row],[Client]],VpsClientes[Client],VpsClientes[VP],"",0)</f>
        <v>Martha Guzman Arango</v>
      </c>
      <c r="B1182" t="s">
        <v>98</v>
      </c>
      <c r="C1182" t="s">
        <v>203</v>
      </c>
      <c r="D1182" t="s">
        <v>90</v>
      </c>
      <c r="E1182" t="s">
        <v>206</v>
      </c>
      <c r="F1182" s="1">
        <v>13567</v>
      </c>
    </row>
    <row r="1183" spans="1:6" x14ac:dyDescent="0.3">
      <c r="A1183" t="str">
        <f>_xlfn.XLOOKUP(ColombiaClientes[[#This Row],[Client]],VpsClientes[Client],VpsClientes[VP],"",0)</f>
        <v>Jhonatan Izquierdo Rico</v>
      </c>
      <c r="B1183" t="s">
        <v>107</v>
      </c>
      <c r="C1183" t="s">
        <v>203</v>
      </c>
      <c r="D1183" t="s">
        <v>90</v>
      </c>
      <c r="E1183" t="s">
        <v>206</v>
      </c>
      <c r="F1183" s="1">
        <v>13143</v>
      </c>
    </row>
    <row r="1184" spans="1:6" x14ac:dyDescent="0.3">
      <c r="A1184" t="str">
        <f>_xlfn.XLOOKUP(ColombiaClientes[[#This Row],[Client]],VpsClientes[Client],VpsClientes[VP],"",0)</f>
        <v>Carlos Beltran Hernandez</v>
      </c>
      <c r="B1184" t="s">
        <v>102</v>
      </c>
      <c r="C1184" t="s">
        <v>203</v>
      </c>
      <c r="D1184" t="s">
        <v>90</v>
      </c>
      <c r="E1184" t="s">
        <v>206</v>
      </c>
      <c r="F1184" s="1">
        <v>11274</v>
      </c>
    </row>
    <row r="1185" spans="1:6" x14ac:dyDescent="0.3">
      <c r="A1185" t="str">
        <f>_xlfn.XLOOKUP(ColombiaClientes[[#This Row],[Client]],VpsClientes[Client],VpsClientes[VP],"",0)</f>
        <v>Maria Forero Jara</v>
      </c>
      <c r="B1185" t="s">
        <v>101</v>
      </c>
      <c r="C1185" t="s">
        <v>203</v>
      </c>
      <c r="D1185" t="s">
        <v>90</v>
      </c>
      <c r="E1185" t="s">
        <v>206</v>
      </c>
      <c r="F1185" s="1">
        <v>10174</v>
      </c>
    </row>
    <row r="1186" spans="1:6" x14ac:dyDescent="0.3">
      <c r="A1186" t="str">
        <f>_xlfn.XLOOKUP(ColombiaClientes[[#This Row],[Client]],VpsClientes[Client],VpsClientes[VP],"",0)</f>
        <v>Martha Guzman Arango</v>
      </c>
      <c r="B1186" t="s">
        <v>122</v>
      </c>
      <c r="C1186" t="s">
        <v>203</v>
      </c>
      <c r="D1186" t="s">
        <v>90</v>
      </c>
      <c r="E1186" t="s">
        <v>206</v>
      </c>
      <c r="F1186" s="1">
        <v>9662</v>
      </c>
    </row>
    <row r="1187" spans="1:6" x14ac:dyDescent="0.3">
      <c r="A1187" t="str">
        <f>_xlfn.XLOOKUP(ColombiaClientes[[#This Row],[Client]],VpsClientes[Client],VpsClientes[VP],"",0)</f>
        <v>Sandra Romero Zuluaga</v>
      </c>
      <c r="B1187" t="s">
        <v>113</v>
      </c>
      <c r="C1187" t="s">
        <v>203</v>
      </c>
      <c r="D1187" t="s">
        <v>90</v>
      </c>
      <c r="E1187" t="s">
        <v>206</v>
      </c>
      <c r="F1187" s="1">
        <v>9331</v>
      </c>
    </row>
    <row r="1188" spans="1:6" x14ac:dyDescent="0.3">
      <c r="A1188" t="str">
        <f>_xlfn.XLOOKUP(ColombiaClientes[[#This Row],[Client]],VpsClientes[Client],VpsClientes[VP],"",0)</f>
        <v>Martha Guzman Arango</v>
      </c>
      <c r="B1188" t="s">
        <v>103</v>
      </c>
      <c r="C1188" t="s">
        <v>203</v>
      </c>
      <c r="D1188" t="s">
        <v>90</v>
      </c>
      <c r="E1188" t="s">
        <v>206</v>
      </c>
      <c r="F1188" s="1">
        <v>9281</v>
      </c>
    </row>
    <row r="1189" spans="1:6" x14ac:dyDescent="0.3">
      <c r="A1189" t="str">
        <f>_xlfn.XLOOKUP(ColombiaClientes[[#This Row],[Client]],VpsClientes[Client],VpsClientes[VP],"",0)</f>
        <v>Jhonatan Izquierdo Rico</v>
      </c>
      <c r="B1189" t="s">
        <v>112</v>
      </c>
      <c r="C1189" t="s">
        <v>203</v>
      </c>
      <c r="D1189" t="s">
        <v>90</v>
      </c>
      <c r="E1189" t="s">
        <v>206</v>
      </c>
      <c r="F1189" s="1">
        <v>8527</v>
      </c>
    </row>
    <row r="1190" spans="1:6" x14ac:dyDescent="0.3">
      <c r="A1190" t="str">
        <f>_xlfn.XLOOKUP(ColombiaClientes[[#This Row],[Client]],VpsClientes[Client],VpsClientes[VP],"",0)</f>
        <v>Hector Muraira Garza</v>
      </c>
      <c r="B1190" t="s">
        <v>137</v>
      </c>
      <c r="C1190" t="s">
        <v>203</v>
      </c>
      <c r="D1190" t="s">
        <v>90</v>
      </c>
      <c r="E1190" t="s">
        <v>206</v>
      </c>
      <c r="F1190" s="1">
        <v>8120</v>
      </c>
    </row>
    <row r="1191" spans="1:6" x14ac:dyDescent="0.3">
      <c r="A1191" t="str">
        <f>_xlfn.XLOOKUP(ColombiaClientes[[#This Row],[Client]],VpsClientes[Client],VpsClientes[VP],"",0)</f>
        <v>Ludy Torres Benitez</v>
      </c>
      <c r="B1191" t="s">
        <v>95</v>
      </c>
      <c r="C1191" t="s">
        <v>203</v>
      </c>
      <c r="D1191" t="s">
        <v>90</v>
      </c>
      <c r="E1191" t="s">
        <v>206</v>
      </c>
      <c r="F1191" s="1">
        <v>6912</v>
      </c>
    </row>
    <row r="1192" spans="1:6" x14ac:dyDescent="0.3">
      <c r="A1192" t="str">
        <f>_xlfn.XLOOKUP(ColombiaClientes[[#This Row],[Client]],VpsClientes[Client],VpsClientes[VP],"",0)</f>
        <v>Martha Guzman Arango</v>
      </c>
      <c r="B1192" t="s">
        <v>97</v>
      </c>
      <c r="C1192" t="s">
        <v>203</v>
      </c>
      <c r="D1192" t="s">
        <v>90</v>
      </c>
      <c r="E1192" t="s">
        <v>206</v>
      </c>
      <c r="F1192" s="1">
        <v>6269</v>
      </c>
    </row>
    <row r="1193" spans="1:6" x14ac:dyDescent="0.3">
      <c r="A1193" t="str">
        <f>_xlfn.XLOOKUP(ColombiaClientes[[#This Row],[Client]],VpsClientes[Client],VpsClientes[VP],"",0)</f>
        <v>System System</v>
      </c>
      <c r="B1193" t="s">
        <v>208</v>
      </c>
      <c r="C1193" t="s">
        <v>203</v>
      </c>
      <c r="D1193" t="s">
        <v>90</v>
      </c>
      <c r="E1193" t="s">
        <v>206</v>
      </c>
      <c r="F1193" s="1">
        <v>6210</v>
      </c>
    </row>
    <row r="1194" spans="1:6" x14ac:dyDescent="0.3">
      <c r="A1194" t="str">
        <f>_xlfn.XLOOKUP(ColombiaClientes[[#This Row],[Client]],VpsClientes[Client],VpsClientes[VP],"",0)</f>
        <v>Maria Forero Jara</v>
      </c>
      <c r="B1194" t="s">
        <v>125</v>
      </c>
      <c r="C1194" t="s">
        <v>203</v>
      </c>
      <c r="D1194" t="s">
        <v>90</v>
      </c>
      <c r="E1194" t="s">
        <v>206</v>
      </c>
      <c r="F1194" s="1">
        <v>5502</v>
      </c>
    </row>
    <row r="1195" spans="1:6" x14ac:dyDescent="0.3">
      <c r="A1195" t="str">
        <f>_xlfn.XLOOKUP(ColombiaClientes[[#This Row],[Client]],VpsClientes[Client],VpsClientes[VP],"",0)</f>
        <v>Martha Guzman Arango</v>
      </c>
      <c r="B1195" t="s">
        <v>114</v>
      </c>
      <c r="C1195" t="s">
        <v>203</v>
      </c>
      <c r="D1195" t="s">
        <v>90</v>
      </c>
      <c r="E1195" t="s">
        <v>206</v>
      </c>
      <c r="F1195" s="1">
        <v>5180</v>
      </c>
    </row>
    <row r="1196" spans="1:6" x14ac:dyDescent="0.3">
      <c r="A1196" t="str">
        <f>_xlfn.XLOOKUP(ColombiaClientes[[#This Row],[Client]],VpsClientes[Client],VpsClientes[VP],"",0)</f>
        <v>Carlos Beltran Hernandez</v>
      </c>
      <c r="B1196" t="s">
        <v>119</v>
      </c>
      <c r="C1196" t="s">
        <v>203</v>
      </c>
      <c r="D1196" t="s">
        <v>90</v>
      </c>
      <c r="E1196" t="s">
        <v>206</v>
      </c>
      <c r="F1196" s="1">
        <v>4887</v>
      </c>
    </row>
    <row r="1197" spans="1:6" x14ac:dyDescent="0.3">
      <c r="A1197" t="str">
        <f>_xlfn.XLOOKUP(ColombiaClientes[[#This Row],[Client]],VpsClientes[Client],VpsClientes[VP],"",0)</f>
        <v>Juan Granados Castillo</v>
      </c>
      <c r="B1197" t="s">
        <v>136</v>
      </c>
      <c r="C1197" t="s">
        <v>203</v>
      </c>
      <c r="D1197" t="s">
        <v>90</v>
      </c>
      <c r="E1197" t="s">
        <v>206</v>
      </c>
      <c r="F1197" s="1">
        <v>3890</v>
      </c>
    </row>
    <row r="1198" spans="1:6" x14ac:dyDescent="0.3">
      <c r="A1198" t="str">
        <f>_xlfn.XLOOKUP(ColombiaClientes[[#This Row],[Client]],VpsClientes[Client],VpsClientes[VP],"",0)</f>
        <v>Martha Guzman Arango</v>
      </c>
      <c r="B1198" t="s">
        <v>135</v>
      </c>
      <c r="C1198" t="s">
        <v>203</v>
      </c>
      <c r="D1198" t="s">
        <v>90</v>
      </c>
      <c r="E1198" t="s">
        <v>206</v>
      </c>
      <c r="F1198" s="1">
        <v>3527</v>
      </c>
    </row>
    <row r="1199" spans="1:6" x14ac:dyDescent="0.3">
      <c r="A1199" t="str">
        <f>_xlfn.XLOOKUP(ColombiaClientes[[#This Row],[Client]],VpsClientes[Client],VpsClientes[VP],"",0)</f>
        <v>Maria Forero Jara</v>
      </c>
      <c r="B1199" t="s">
        <v>106</v>
      </c>
      <c r="C1199" t="s">
        <v>203</v>
      </c>
      <c r="D1199" t="s">
        <v>90</v>
      </c>
      <c r="E1199" t="s">
        <v>206</v>
      </c>
      <c r="F1199" s="1">
        <v>3027</v>
      </c>
    </row>
    <row r="1200" spans="1:6" x14ac:dyDescent="0.3">
      <c r="A1200" t="str">
        <f>_xlfn.XLOOKUP(ColombiaClientes[[#This Row],[Client]],VpsClientes[Client],VpsClientes[VP],"",0)</f>
        <v>Maria Forero Jara</v>
      </c>
      <c r="B1200" t="s">
        <v>108</v>
      </c>
      <c r="C1200" t="s">
        <v>203</v>
      </c>
      <c r="D1200" t="s">
        <v>90</v>
      </c>
      <c r="E1200" t="s">
        <v>206</v>
      </c>
      <c r="F1200" s="1">
        <v>2588</v>
      </c>
    </row>
    <row r="1201" spans="1:6" x14ac:dyDescent="0.3">
      <c r="A1201" t="str">
        <f>_xlfn.XLOOKUP(ColombiaClientes[[#This Row],[Client]],VpsClientes[Client],VpsClientes[VP],"",0)</f>
        <v>Martha Guzman Arango</v>
      </c>
      <c r="B1201" t="s">
        <v>143</v>
      </c>
      <c r="C1201" t="s">
        <v>203</v>
      </c>
      <c r="D1201" t="s">
        <v>90</v>
      </c>
      <c r="E1201" t="s">
        <v>206</v>
      </c>
      <c r="F1201" s="1">
        <v>2253</v>
      </c>
    </row>
    <row r="1202" spans="1:6" x14ac:dyDescent="0.3">
      <c r="A1202" t="str">
        <f>_xlfn.XLOOKUP(ColombiaClientes[[#This Row],[Client]],VpsClientes[Client],VpsClientes[VP],"",0)</f>
        <v>Ernesto Rico Zuluaga</v>
      </c>
      <c r="B1202" t="s">
        <v>116</v>
      </c>
      <c r="C1202" t="s">
        <v>203</v>
      </c>
      <c r="D1202" t="s">
        <v>90</v>
      </c>
      <c r="E1202" t="s">
        <v>206</v>
      </c>
      <c r="F1202" s="1">
        <v>2102</v>
      </c>
    </row>
    <row r="1203" spans="1:6" x14ac:dyDescent="0.3">
      <c r="A1203" t="str">
        <f>_xlfn.XLOOKUP(ColombiaClientes[[#This Row],[Client]],VpsClientes[Client],VpsClientes[VP],"",0)</f>
        <v>Jhonatan Izquierdo Rico</v>
      </c>
      <c r="B1203" t="s">
        <v>126</v>
      </c>
      <c r="C1203" t="s">
        <v>203</v>
      </c>
      <c r="D1203" t="s">
        <v>90</v>
      </c>
      <c r="E1203" t="s">
        <v>206</v>
      </c>
      <c r="F1203" s="1">
        <v>2100</v>
      </c>
    </row>
    <row r="1204" spans="1:6" x14ac:dyDescent="0.3">
      <c r="A1204" t="str">
        <f>_xlfn.XLOOKUP(ColombiaClientes[[#This Row],[Client]],VpsClientes[Client],VpsClientes[VP],"",0)</f>
        <v>Maria Forero Jara</v>
      </c>
      <c r="B1204" t="s">
        <v>139</v>
      </c>
      <c r="C1204" t="s">
        <v>203</v>
      </c>
      <c r="D1204" t="s">
        <v>90</v>
      </c>
      <c r="E1204" t="s">
        <v>206</v>
      </c>
      <c r="F1204" s="1">
        <v>2067</v>
      </c>
    </row>
    <row r="1205" spans="1:6" x14ac:dyDescent="0.3">
      <c r="A1205" t="str">
        <f>_xlfn.XLOOKUP(ColombiaClientes[[#This Row],[Client]],VpsClientes[Client],VpsClientes[VP],"",0)</f>
        <v>Martha Guzman Arango</v>
      </c>
      <c r="B1205" t="s">
        <v>118</v>
      </c>
      <c r="C1205" t="s">
        <v>203</v>
      </c>
      <c r="D1205" t="s">
        <v>90</v>
      </c>
      <c r="E1205" t="s">
        <v>206</v>
      </c>
      <c r="F1205" s="1">
        <v>1882</v>
      </c>
    </row>
    <row r="1206" spans="1:6" x14ac:dyDescent="0.3">
      <c r="A1206" t="str">
        <f>_xlfn.XLOOKUP(ColombiaClientes[[#This Row],[Client]],VpsClientes[Client],VpsClientes[VP],"",0)</f>
        <v>Maria Forero Jara</v>
      </c>
      <c r="B1206" t="s">
        <v>123</v>
      </c>
      <c r="C1206" t="s">
        <v>203</v>
      </c>
      <c r="D1206" t="s">
        <v>90</v>
      </c>
      <c r="E1206" t="s">
        <v>206</v>
      </c>
      <c r="F1206" s="1">
        <v>1873</v>
      </c>
    </row>
    <row r="1207" spans="1:6" x14ac:dyDescent="0.3">
      <c r="A1207" t="str">
        <f>_xlfn.XLOOKUP(ColombiaClientes[[#This Row],[Client]],VpsClientes[Client],VpsClientes[VP],"",0)</f>
        <v>Moises Saavedra Garcia</v>
      </c>
      <c r="B1207" t="s">
        <v>115</v>
      </c>
      <c r="C1207" t="s">
        <v>203</v>
      </c>
      <c r="D1207" t="s">
        <v>90</v>
      </c>
      <c r="E1207" t="s">
        <v>206</v>
      </c>
      <c r="F1207" s="1">
        <v>1767</v>
      </c>
    </row>
    <row r="1208" spans="1:6" x14ac:dyDescent="0.3">
      <c r="A1208" t="str">
        <f>_xlfn.XLOOKUP(ColombiaClientes[[#This Row],[Client]],VpsClientes[Client],VpsClientes[VP],"",0)</f>
        <v>Martha Guzman Arango</v>
      </c>
      <c r="B1208" t="s">
        <v>166</v>
      </c>
      <c r="C1208" t="s">
        <v>203</v>
      </c>
      <c r="D1208" t="s">
        <v>90</v>
      </c>
      <c r="E1208" t="s">
        <v>206</v>
      </c>
      <c r="F1208" s="1">
        <v>1702</v>
      </c>
    </row>
    <row r="1209" spans="1:6" x14ac:dyDescent="0.3">
      <c r="A1209" t="str">
        <f>_xlfn.XLOOKUP(ColombiaClientes[[#This Row],[Client]],VpsClientes[Client],VpsClientes[VP],"",0)</f>
        <v>Martha Guzman Arango</v>
      </c>
      <c r="B1209" t="s">
        <v>146</v>
      </c>
      <c r="C1209" t="s">
        <v>203</v>
      </c>
      <c r="D1209" t="s">
        <v>90</v>
      </c>
      <c r="E1209" t="s">
        <v>206</v>
      </c>
      <c r="F1209" s="1">
        <v>1481</v>
      </c>
    </row>
    <row r="1210" spans="1:6" x14ac:dyDescent="0.3">
      <c r="A1210" t="str">
        <f>_xlfn.XLOOKUP(ColombiaClientes[[#This Row],[Client]],VpsClientes[Client],VpsClientes[VP],"",0)</f>
        <v>Martha Guzman Arango</v>
      </c>
      <c r="B1210" t="s">
        <v>109</v>
      </c>
      <c r="C1210" t="s">
        <v>203</v>
      </c>
      <c r="D1210" t="s">
        <v>90</v>
      </c>
      <c r="E1210" t="s">
        <v>206</v>
      </c>
      <c r="F1210" s="1">
        <v>1364</v>
      </c>
    </row>
    <row r="1211" spans="1:6" x14ac:dyDescent="0.3">
      <c r="A1211" t="str">
        <f>_xlfn.XLOOKUP(ColombiaClientes[[#This Row],[Client]],VpsClientes[Client],VpsClientes[VP],"",0)</f>
        <v>Hector Muraira Garza</v>
      </c>
      <c r="B1211" t="s">
        <v>130</v>
      </c>
      <c r="C1211" t="s">
        <v>203</v>
      </c>
      <c r="D1211" t="s">
        <v>90</v>
      </c>
      <c r="E1211" t="s">
        <v>206</v>
      </c>
      <c r="F1211" s="1">
        <v>1298</v>
      </c>
    </row>
    <row r="1212" spans="1:6" x14ac:dyDescent="0.3">
      <c r="A1212" t="str">
        <f>_xlfn.XLOOKUP(ColombiaClientes[[#This Row],[Client]],VpsClientes[Client],VpsClientes[VP],"",0)</f>
        <v>Juan Granados Castillo</v>
      </c>
      <c r="B1212" t="s">
        <v>134</v>
      </c>
      <c r="C1212" t="s">
        <v>203</v>
      </c>
      <c r="D1212" t="s">
        <v>90</v>
      </c>
      <c r="E1212" t="s">
        <v>206</v>
      </c>
      <c r="F1212" s="1">
        <v>1273</v>
      </c>
    </row>
    <row r="1213" spans="1:6" x14ac:dyDescent="0.3">
      <c r="A1213" t="str">
        <f>_xlfn.XLOOKUP(ColombiaClientes[[#This Row],[Client]],VpsClientes[Client],VpsClientes[VP],"",0)</f>
        <v>Jhonatan Izquierdo Rico</v>
      </c>
      <c r="B1213" t="s">
        <v>117</v>
      </c>
      <c r="C1213" t="s">
        <v>203</v>
      </c>
      <c r="D1213" t="s">
        <v>90</v>
      </c>
      <c r="E1213" t="s">
        <v>206</v>
      </c>
      <c r="F1213" s="1">
        <v>1204</v>
      </c>
    </row>
    <row r="1214" spans="1:6" x14ac:dyDescent="0.3">
      <c r="A1214" t="str">
        <f>_xlfn.XLOOKUP(ColombiaClientes[[#This Row],[Client]],VpsClientes[Client],VpsClientes[VP],"",0)</f>
        <v>Moises Saavedra Garcia</v>
      </c>
      <c r="B1214" t="s">
        <v>120</v>
      </c>
      <c r="C1214" t="s">
        <v>203</v>
      </c>
      <c r="D1214" t="s">
        <v>90</v>
      </c>
      <c r="E1214" t="s">
        <v>206</v>
      </c>
      <c r="F1214" s="1">
        <v>1137</v>
      </c>
    </row>
    <row r="1215" spans="1:6" x14ac:dyDescent="0.3">
      <c r="A1215" t="str">
        <f>_xlfn.XLOOKUP(ColombiaClientes[[#This Row],[Client]],VpsClientes[Client],VpsClientes[VP],"",0)</f>
        <v>Martha Guzman Arango</v>
      </c>
      <c r="B1215" t="s">
        <v>152</v>
      </c>
      <c r="C1215" t="s">
        <v>203</v>
      </c>
      <c r="D1215" t="s">
        <v>90</v>
      </c>
      <c r="E1215" t="s">
        <v>206</v>
      </c>
      <c r="F1215" s="1">
        <v>1053</v>
      </c>
    </row>
    <row r="1216" spans="1:6" x14ac:dyDescent="0.3">
      <c r="A1216" t="str">
        <f>_xlfn.XLOOKUP(ColombiaClientes[[#This Row],[Client]],VpsClientes[Client],VpsClientes[VP],"",0)</f>
        <v>Jhonatan Izquierdo Rico</v>
      </c>
      <c r="B1216" t="s">
        <v>138</v>
      </c>
      <c r="C1216" t="s">
        <v>203</v>
      </c>
      <c r="D1216" t="s">
        <v>90</v>
      </c>
      <c r="E1216" t="s">
        <v>206</v>
      </c>
      <c r="F1216" s="1">
        <v>1037</v>
      </c>
    </row>
    <row r="1217" spans="1:6" x14ac:dyDescent="0.3">
      <c r="A1217" t="str">
        <f>_xlfn.XLOOKUP(ColombiaClientes[[#This Row],[Client]],VpsClientes[Client],VpsClientes[VP],"",0)</f>
        <v>Moises Saavedra Garcia</v>
      </c>
      <c r="B1217" t="s">
        <v>150</v>
      </c>
      <c r="C1217" t="s">
        <v>203</v>
      </c>
      <c r="D1217" t="s">
        <v>90</v>
      </c>
      <c r="E1217" t="s">
        <v>206</v>
      </c>
      <c r="F1217" s="1">
        <v>1004</v>
      </c>
    </row>
    <row r="1218" spans="1:6" x14ac:dyDescent="0.3">
      <c r="A1218" t="str">
        <f>_xlfn.XLOOKUP(ColombiaClientes[[#This Row],[Client]],VpsClientes[Client],VpsClientes[VP],"",0)</f>
        <v>Maria Forero Jara</v>
      </c>
      <c r="B1218" t="s">
        <v>111</v>
      </c>
      <c r="C1218" t="s">
        <v>203</v>
      </c>
      <c r="D1218" t="s">
        <v>90</v>
      </c>
      <c r="E1218" t="s">
        <v>206</v>
      </c>
      <c r="F1218" s="1">
        <v>1002</v>
      </c>
    </row>
    <row r="1219" spans="1:6" x14ac:dyDescent="0.3">
      <c r="A1219" t="str">
        <f>_xlfn.XLOOKUP(ColombiaClientes[[#This Row],[Client]],VpsClientes[Client],VpsClientes[VP],"",0)</f>
        <v>Martha Guzman Arango</v>
      </c>
      <c r="B1219" t="s">
        <v>156</v>
      </c>
      <c r="C1219" t="s">
        <v>203</v>
      </c>
      <c r="D1219" t="s">
        <v>90</v>
      </c>
      <c r="E1219" t="s">
        <v>206</v>
      </c>
      <c r="F1219" s="1">
        <v>954</v>
      </c>
    </row>
    <row r="1220" spans="1:6" x14ac:dyDescent="0.3">
      <c r="A1220" t="str">
        <f>_xlfn.XLOOKUP(ColombiaClientes[[#This Row],[Client]],VpsClientes[Client],VpsClientes[VP],"",0)</f>
        <v>Martha Guzman Arango</v>
      </c>
      <c r="B1220" t="s">
        <v>168</v>
      </c>
      <c r="C1220" t="s">
        <v>203</v>
      </c>
      <c r="D1220" t="s">
        <v>90</v>
      </c>
      <c r="E1220" t="s">
        <v>206</v>
      </c>
      <c r="F1220" s="1">
        <v>851</v>
      </c>
    </row>
    <row r="1221" spans="1:6" x14ac:dyDescent="0.3">
      <c r="A1221" t="str">
        <f>_xlfn.XLOOKUP(ColombiaClientes[[#This Row],[Client]],VpsClientes[Client],VpsClientes[VP],"",0)</f>
        <v>Carlos Beltran Hernandez</v>
      </c>
      <c r="B1221" t="s">
        <v>173</v>
      </c>
      <c r="C1221" t="s">
        <v>203</v>
      </c>
      <c r="D1221" t="s">
        <v>90</v>
      </c>
      <c r="E1221" t="s">
        <v>206</v>
      </c>
      <c r="F1221" s="1">
        <v>805</v>
      </c>
    </row>
    <row r="1222" spans="1:6" x14ac:dyDescent="0.3">
      <c r="A1222" t="str">
        <f>_xlfn.XLOOKUP(ColombiaClientes[[#This Row],[Client]],VpsClientes[Client],VpsClientes[VP],"",0)</f>
        <v>Hector Muraira Garza</v>
      </c>
      <c r="B1222" t="s">
        <v>154</v>
      </c>
      <c r="C1222" t="s">
        <v>203</v>
      </c>
      <c r="D1222" t="s">
        <v>90</v>
      </c>
      <c r="E1222" t="s">
        <v>206</v>
      </c>
      <c r="F1222" s="1">
        <v>776</v>
      </c>
    </row>
    <row r="1223" spans="1:6" x14ac:dyDescent="0.3">
      <c r="A1223" t="str">
        <f>_xlfn.XLOOKUP(ColombiaClientes[[#This Row],[Client]],VpsClientes[Client],VpsClientes[VP],"",0)</f>
        <v>Jhonatan Izquierdo Rico</v>
      </c>
      <c r="B1223" t="s">
        <v>157</v>
      </c>
      <c r="C1223" t="s">
        <v>203</v>
      </c>
      <c r="D1223" t="s">
        <v>90</v>
      </c>
      <c r="E1223" t="s">
        <v>206</v>
      </c>
      <c r="F1223" s="1">
        <v>735</v>
      </c>
    </row>
    <row r="1224" spans="1:6" x14ac:dyDescent="0.3">
      <c r="A1224" t="str">
        <f>_xlfn.XLOOKUP(ColombiaClientes[[#This Row],[Client]],VpsClientes[Client],VpsClientes[VP],"",0)</f>
        <v>Martha Guzman Arango</v>
      </c>
      <c r="B1224" t="s">
        <v>199</v>
      </c>
      <c r="C1224" t="s">
        <v>203</v>
      </c>
      <c r="D1224" t="s">
        <v>90</v>
      </c>
      <c r="E1224" t="s">
        <v>206</v>
      </c>
      <c r="F1224" s="1">
        <v>708</v>
      </c>
    </row>
    <row r="1225" spans="1:6" x14ac:dyDescent="0.3">
      <c r="A1225" t="str">
        <f>_xlfn.XLOOKUP(ColombiaClientes[[#This Row],[Client]],VpsClientes[Client],VpsClientes[VP],"",0)</f>
        <v>Martha Guzman Arango</v>
      </c>
      <c r="B1225" t="s">
        <v>162</v>
      </c>
      <c r="C1225" t="s">
        <v>203</v>
      </c>
      <c r="D1225" t="s">
        <v>90</v>
      </c>
      <c r="E1225" t="s">
        <v>206</v>
      </c>
      <c r="F1225" s="1">
        <v>662</v>
      </c>
    </row>
    <row r="1226" spans="1:6" x14ac:dyDescent="0.3">
      <c r="A1226" t="str">
        <f>_xlfn.XLOOKUP(ColombiaClientes[[#This Row],[Client]],VpsClientes[Client],VpsClientes[VP],"",0)</f>
        <v>Martha Guzman Arango</v>
      </c>
      <c r="B1226" t="s">
        <v>124</v>
      </c>
      <c r="C1226" t="s">
        <v>203</v>
      </c>
      <c r="D1226" t="s">
        <v>90</v>
      </c>
      <c r="E1226" t="s">
        <v>206</v>
      </c>
      <c r="F1226" s="1">
        <v>619</v>
      </c>
    </row>
    <row r="1227" spans="1:6" x14ac:dyDescent="0.3">
      <c r="A1227" t="str">
        <f>_xlfn.XLOOKUP(ColombiaClientes[[#This Row],[Client]],VpsClientes[Client],VpsClientes[VP],"",0)</f>
        <v>Martha Guzman Arango</v>
      </c>
      <c r="B1227" t="s">
        <v>145</v>
      </c>
      <c r="C1227" t="s">
        <v>203</v>
      </c>
      <c r="D1227" t="s">
        <v>90</v>
      </c>
      <c r="E1227" t="s">
        <v>206</v>
      </c>
      <c r="F1227" s="1">
        <v>613</v>
      </c>
    </row>
    <row r="1228" spans="1:6" x14ac:dyDescent="0.3">
      <c r="A1228" t="str">
        <f>_xlfn.XLOOKUP(ColombiaClientes[[#This Row],[Client]],VpsClientes[Client],VpsClientes[VP],"",0)</f>
        <v>Martha Guzman Arango</v>
      </c>
      <c r="B1228" t="s">
        <v>148</v>
      </c>
      <c r="C1228" t="s">
        <v>203</v>
      </c>
      <c r="D1228" t="s">
        <v>90</v>
      </c>
      <c r="E1228" t="s">
        <v>206</v>
      </c>
      <c r="F1228" s="1">
        <v>556</v>
      </c>
    </row>
    <row r="1229" spans="1:6" x14ac:dyDescent="0.3">
      <c r="A1229" t="str">
        <f>_xlfn.XLOOKUP(ColombiaClientes[[#This Row],[Client]],VpsClientes[Client],VpsClientes[VP],"",0)</f>
        <v>Maria Forero Jara</v>
      </c>
      <c r="B1229" t="s">
        <v>179</v>
      </c>
      <c r="C1229" t="s">
        <v>203</v>
      </c>
      <c r="D1229" t="s">
        <v>90</v>
      </c>
      <c r="E1229" t="s">
        <v>206</v>
      </c>
      <c r="F1229" s="1">
        <v>523</v>
      </c>
    </row>
    <row r="1230" spans="1:6" x14ac:dyDescent="0.3">
      <c r="A1230" t="str">
        <f>_xlfn.XLOOKUP(ColombiaClientes[[#This Row],[Client]],VpsClientes[Client],VpsClientes[VP],"",0)</f>
        <v>Martha Guzman Arango</v>
      </c>
      <c r="B1230" t="s">
        <v>185</v>
      </c>
      <c r="C1230" t="s">
        <v>203</v>
      </c>
      <c r="D1230" t="s">
        <v>90</v>
      </c>
      <c r="E1230" t="s">
        <v>206</v>
      </c>
      <c r="F1230" s="1">
        <v>519</v>
      </c>
    </row>
    <row r="1231" spans="1:6" x14ac:dyDescent="0.3">
      <c r="A1231" t="str">
        <f>_xlfn.XLOOKUP(ColombiaClientes[[#This Row],[Client]],VpsClientes[Client],VpsClientes[VP],"",0)</f>
        <v>Martha Guzman Arango</v>
      </c>
      <c r="B1231" t="s">
        <v>153</v>
      </c>
      <c r="C1231" t="s">
        <v>203</v>
      </c>
      <c r="D1231" t="s">
        <v>90</v>
      </c>
      <c r="E1231" t="s">
        <v>206</v>
      </c>
      <c r="F1231" s="1">
        <v>488</v>
      </c>
    </row>
    <row r="1232" spans="1:6" x14ac:dyDescent="0.3">
      <c r="A1232" t="str">
        <f>_xlfn.XLOOKUP(ColombiaClientes[[#This Row],[Client]],VpsClientes[Client],VpsClientes[VP],"",0)</f>
        <v>Hector Muraira Garza</v>
      </c>
      <c r="B1232" t="s">
        <v>140</v>
      </c>
      <c r="C1232" t="s">
        <v>203</v>
      </c>
      <c r="D1232" t="s">
        <v>90</v>
      </c>
      <c r="E1232" t="s">
        <v>206</v>
      </c>
      <c r="F1232" s="1">
        <v>480</v>
      </c>
    </row>
    <row r="1233" spans="1:6" x14ac:dyDescent="0.3">
      <c r="A1233" t="str">
        <f>_xlfn.XLOOKUP(ColombiaClientes[[#This Row],[Client]],VpsClientes[Client],VpsClientes[VP],"",0)</f>
        <v>Jhonatan Izquierdo Rico</v>
      </c>
      <c r="B1233" t="s">
        <v>197</v>
      </c>
      <c r="C1233" t="s">
        <v>203</v>
      </c>
      <c r="D1233" t="s">
        <v>90</v>
      </c>
      <c r="E1233" t="s">
        <v>206</v>
      </c>
      <c r="F1233" s="1">
        <v>477</v>
      </c>
    </row>
    <row r="1234" spans="1:6" x14ac:dyDescent="0.3">
      <c r="A1234" t="str">
        <f>_xlfn.XLOOKUP(ColombiaClientes[[#This Row],[Client]],VpsClientes[Client],VpsClientes[VP],"",0)</f>
        <v>Maria Forero Jara</v>
      </c>
      <c r="B1234" t="s">
        <v>144</v>
      </c>
      <c r="C1234" t="s">
        <v>203</v>
      </c>
      <c r="D1234" t="s">
        <v>90</v>
      </c>
      <c r="E1234" t="s">
        <v>206</v>
      </c>
      <c r="F1234" s="1">
        <v>411</v>
      </c>
    </row>
    <row r="1235" spans="1:6" x14ac:dyDescent="0.3">
      <c r="A1235" t="str">
        <f>_xlfn.XLOOKUP(ColombiaClientes[[#This Row],[Client]],VpsClientes[Client],VpsClientes[VP],"",0)</f>
        <v>Juan Granados Castillo</v>
      </c>
      <c r="B1235" t="s">
        <v>142</v>
      </c>
      <c r="C1235" t="s">
        <v>203</v>
      </c>
      <c r="D1235" t="s">
        <v>90</v>
      </c>
      <c r="E1235" t="s">
        <v>206</v>
      </c>
      <c r="F1235" s="1">
        <v>390</v>
      </c>
    </row>
    <row r="1236" spans="1:6" x14ac:dyDescent="0.3">
      <c r="A1236" t="str">
        <f>_xlfn.XLOOKUP(ColombiaClientes[[#This Row],[Client]],VpsClientes[Client],VpsClientes[VP],"",0)</f>
        <v>Carlos Beltran Hernandez</v>
      </c>
      <c r="B1236" t="s">
        <v>151</v>
      </c>
      <c r="C1236" t="s">
        <v>203</v>
      </c>
      <c r="D1236" t="s">
        <v>90</v>
      </c>
      <c r="E1236" t="s">
        <v>206</v>
      </c>
      <c r="F1236" s="1">
        <v>384</v>
      </c>
    </row>
    <row r="1237" spans="1:6" x14ac:dyDescent="0.3">
      <c r="A1237" t="str">
        <f>_xlfn.XLOOKUP(ColombiaClientes[[#This Row],[Client]],VpsClientes[Client],VpsClientes[VP],"",0)</f>
        <v>Jhonatan Izquierdo Rico</v>
      </c>
      <c r="B1237" t="s">
        <v>129</v>
      </c>
      <c r="C1237" t="s">
        <v>203</v>
      </c>
      <c r="D1237" t="s">
        <v>90</v>
      </c>
      <c r="E1237" t="s">
        <v>206</v>
      </c>
      <c r="F1237" s="1">
        <v>367</v>
      </c>
    </row>
    <row r="1238" spans="1:6" x14ac:dyDescent="0.3">
      <c r="A1238" t="str">
        <f>_xlfn.XLOOKUP(ColombiaClientes[[#This Row],[Client]],VpsClientes[Client],VpsClientes[VP],"",0)</f>
        <v>Maria Forero Jara</v>
      </c>
      <c r="B1238" t="s">
        <v>182</v>
      </c>
      <c r="C1238" t="s">
        <v>203</v>
      </c>
      <c r="D1238" t="s">
        <v>90</v>
      </c>
      <c r="E1238" t="s">
        <v>206</v>
      </c>
      <c r="F1238" s="1">
        <v>348</v>
      </c>
    </row>
    <row r="1239" spans="1:6" x14ac:dyDescent="0.3">
      <c r="A1239" t="str">
        <f>_xlfn.XLOOKUP(ColombiaClientes[[#This Row],[Client]],VpsClientes[Client],VpsClientes[VP],"",0)</f>
        <v>Moises Saavedra Garcia</v>
      </c>
      <c r="B1239" t="s">
        <v>190</v>
      </c>
      <c r="C1239" t="s">
        <v>203</v>
      </c>
      <c r="D1239" t="s">
        <v>90</v>
      </c>
      <c r="E1239" t="s">
        <v>206</v>
      </c>
      <c r="F1239" s="1">
        <v>318</v>
      </c>
    </row>
    <row r="1240" spans="1:6" x14ac:dyDescent="0.3">
      <c r="A1240" t="str">
        <f>_xlfn.XLOOKUP(ColombiaClientes[[#This Row],[Client]],VpsClientes[Client],VpsClientes[VP],"",0)</f>
        <v>Ernesto Rico Zuluaga</v>
      </c>
      <c r="B1240" t="s">
        <v>121</v>
      </c>
      <c r="C1240" t="s">
        <v>203</v>
      </c>
      <c r="D1240" t="s">
        <v>90</v>
      </c>
      <c r="E1240" t="s">
        <v>206</v>
      </c>
      <c r="F1240" s="1">
        <v>317</v>
      </c>
    </row>
    <row r="1241" spans="1:6" x14ac:dyDescent="0.3">
      <c r="A1241" t="str">
        <f>_xlfn.XLOOKUP(ColombiaClientes[[#This Row],[Client]],VpsClientes[Client],VpsClientes[VP],"",0)</f>
        <v>Carlos Beltran Hernandez</v>
      </c>
      <c r="B1241" t="s">
        <v>158</v>
      </c>
      <c r="C1241" t="s">
        <v>203</v>
      </c>
      <c r="D1241" t="s">
        <v>90</v>
      </c>
      <c r="E1241" t="s">
        <v>206</v>
      </c>
      <c r="F1241" s="1">
        <v>297</v>
      </c>
    </row>
    <row r="1242" spans="1:6" x14ac:dyDescent="0.3">
      <c r="A1242" t="str">
        <f>_xlfn.XLOOKUP(ColombiaClientes[[#This Row],[Client]],VpsClientes[Client],VpsClientes[VP],"",0)</f>
        <v>Maria Forero Jara</v>
      </c>
      <c r="B1242" t="s">
        <v>163</v>
      </c>
      <c r="C1242" t="s">
        <v>203</v>
      </c>
      <c r="D1242" t="s">
        <v>90</v>
      </c>
      <c r="E1242" t="s">
        <v>206</v>
      </c>
      <c r="F1242" s="1">
        <v>283</v>
      </c>
    </row>
    <row r="1243" spans="1:6" x14ac:dyDescent="0.3">
      <c r="A1243" t="str">
        <f>_xlfn.XLOOKUP(ColombiaClientes[[#This Row],[Client]],VpsClientes[Client],VpsClientes[VP],"",0)</f>
        <v>Moises Saavedra Garcia</v>
      </c>
      <c r="B1243" t="s">
        <v>172</v>
      </c>
      <c r="C1243" t="s">
        <v>203</v>
      </c>
      <c r="D1243" t="s">
        <v>90</v>
      </c>
      <c r="E1243" t="s">
        <v>206</v>
      </c>
      <c r="F1243" s="1">
        <v>272</v>
      </c>
    </row>
    <row r="1244" spans="1:6" x14ac:dyDescent="0.3">
      <c r="A1244" t="str">
        <f>_xlfn.XLOOKUP(ColombiaClientes[[#This Row],[Client]],VpsClientes[Client],VpsClientes[VP],"",0)</f>
        <v>Martha Guzman Arango</v>
      </c>
      <c r="B1244" t="s">
        <v>171</v>
      </c>
      <c r="C1244" t="s">
        <v>203</v>
      </c>
      <c r="D1244" t="s">
        <v>90</v>
      </c>
      <c r="E1244" t="s">
        <v>206</v>
      </c>
      <c r="F1244" s="1">
        <v>264</v>
      </c>
    </row>
    <row r="1245" spans="1:6" x14ac:dyDescent="0.3">
      <c r="A1245">
        <f>_xlfn.XLOOKUP(ColombiaClientes[[#This Row],[Client]],VpsClientes[Client],VpsClientes[VP],"",0)</f>
        <v>0</v>
      </c>
      <c r="B1245" t="s">
        <v>141</v>
      </c>
      <c r="C1245" t="s">
        <v>194</v>
      </c>
      <c r="D1245" t="s">
        <v>90</v>
      </c>
      <c r="E1245" t="s">
        <v>91</v>
      </c>
      <c r="F1245" s="1">
        <v>479</v>
      </c>
    </row>
    <row r="1246" spans="1:6" x14ac:dyDescent="0.3">
      <c r="A1246" t="str">
        <f>_xlfn.XLOOKUP(ColombiaClientes[[#This Row],[Client]],VpsClientes[Client],VpsClientes[VP],"",0)</f>
        <v>Hector Muraira Garza</v>
      </c>
      <c r="B1246" t="s">
        <v>132</v>
      </c>
      <c r="C1246" t="s">
        <v>203</v>
      </c>
      <c r="D1246" t="s">
        <v>90</v>
      </c>
      <c r="E1246" t="s">
        <v>206</v>
      </c>
      <c r="F1246" s="1">
        <v>193</v>
      </c>
    </row>
    <row r="1247" spans="1:6" x14ac:dyDescent="0.3">
      <c r="A1247" t="str">
        <f>_xlfn.XLOOKUP(ColombiaClientes[[#This Row],[Client]],VpsClientes[Client],VpsClientes[VP],"",0)</f>
        <v>Martha Guzman Arango</v>
      </c>
      <c r="B1247" t="s">
        <v>131</v>
      </c>
      <c r="C1247" t="s">
        <v>203</v>
      </c>
      <c r="D1247" t="s">
        <v>90</v>
      </c>
      <c r="E1247" t="s">
        <v>206</v>
      </c>
      <c r="F1247" s="1">
        <v>191</v>
      </c>
    </row>
    <row r="1248" spans="1:6" x14ac:dyDescent="0.3">
      <c r="A1248" t="str">
        <f>_xlfn.XLOOKUP(ColombiaClientes[[#This Row],[Client]],VpsClientes[Client],VpsClientes[VP],"",0)</f>
        <v>Martha Guzman Arango</v>
      </c>
      <c r="B1248" t="s">
        <v>155</v>
      </c>
      <c r="C1248" t="s">
        <v>203</v>
      </c>
      <c r="D1248" t="s">
        <v>90</v>
      </c>
      <c r="E1248" t="s">
        <v>206</v>
      </c>
      <c r="F1248" s="1">
        <v>180</v>
      </c>
    </row>
    <row r="1249" spans="1:6" x14ac:dyDescent="0.3">
      <c r="A1249" t="str">
        <f>_xlfn.XLOOKUP(ColombiaClientes[[#This Row],[Client]],VpsClientes[Client],VpsClientes[VP],"",0)</f>
        <v>Martha Guzman Arango</v>
      </c>
      <c r="B1249" t="s">
        <v>170</v>
      </c>
      <c r="C1249" t="s">
        <v>203</v>
      </c>
      <c r="D1249" t="s">
        <v>90</v>
      </c>
      <c r="E1249" t="s">
        <v>206</v>
      </c>
      <c r="F1249" s="1">
        <v>178</v>
      </c>
    </row>
    <row r="1250" spans="1:6" x14ac:dyDescent="0.3">
      <c r="A1250" t="str">
        <f>_xlfn.XLOOKUP(ColombiaClientes[[#This Row],[Client]],VpsClientes[Client],VpsClientes[VP],"",0)</f>
        <v>Martha Guzman Arango</v>
      </c>
      <c r="B1250" t="s">
        <v>174</v>
      </c>
      <c r="C1250" t="s">
        <v>203</v>
      </c>
      <c r="D1250" t="s">
        <v>90</v>
      </c>
      <c r="E1250" t="s">
        <v>206</v>
      </c>
      <c r="F1250" s="1">
        <v>144</v>
      </c>
    </row>
    <row r="1251" spans="1:6" x14ac:dyDescent="0.3">
      <c r="A1251" t="str">
        <f>_xlfn.XLOOKUP(ColombiaClientes[[#This Row],[Client]],VpsClientes[Client],VpsClientes[VP],"",0)</f>
        <v>Moises Saavedra Garcia</v>
      </c>
      <c r="B1251" t="s">
        <v>110</v>
      </c>
      <c r="C1251" t="s">
        <v>203</v>
      </c>
      <c r="D1251" t="s">
        <v>90</v>
      </c>
      <c r="E1251" t="s">
        <v>206</v>
      </c>
      <c r="F1251" s="1">
        <v>138</v>
      </c>
    </row>
    <row r="1252" spans="1:6" x14ac:dyDescent="0.3">
      <c r="A1252" t="str">
        <f>_xlfn.XLOOKUP(ColombiaClientes[[#This Row],[Client]],VpsClientes[Client],VpsClientes[VP],"",0)</f>
        <v>Maria Forero Jara</v>
      </c>
      <c r="B1252" t="s">
        <v>198</v>
      </c>
      <c r="C1252" t="s">
        <v>203</v>
      </c>
      <c r="D1252" t="s">
        <v>90</v>
      </c>
      <c r="E1252" t="s">
        <v>206</v>
      </c>
      <c r="F1252" s="1">
        <v>125</v>
      </c>
    </row>
    <row r="1253" spans="1:6" x14ac:dyDescent="0.3">
      <c r="A1253" t="str">
        <f>_xlfn.XLOOKUP(ColombiaClientes[[#This Row],[Client]],VpsClientes[Client],VpsClientes[VP],"",0)</f>
        <v>Martha Guzman Arango</v>
      </c>
      <c r="B1253" t="s">
        <v>169</v>
      </c>
      <c r="C1253" t="s">
        <v>203</v>
      </c>
      <c r="D1253" t="s">
        <v>90</v>
      </c>
      <c r="E1253" t="s">
        <v>206</v>
      </c>
      <c r="F1253" s="1">
        <v>112</v>
      </c>
    </row>
    <row r="1254" spans="1:6" x14ac:dyDescent="0.3">
      <c r="A1254" t="str">
        <f>_xlfn.XLOOKUP(ColombiaClientes[[#This Row],[Client]],VpsClientes[Client],VpsClientes[VP],"",0)</f>
        <v>Martha Guzman Arango</v>
      </c>
      <c r="B1254" t="s">
        <v>186</v>
      </c>
      <c r="C1254" t="s">
        <v>203</v>
      </c>
      <c r="D1254" t="s">
        <v>90</v>
      </c>
      <c r="E1254" t="s">
        <v>206</v>
      </c>
      <c r="F1254" s="1">
        <v>105</v>
      </c>
    </row>
    <row r="1255" spans="1:6" x14ac:dyDescent="0.3">
      <c r="A1255">
        <f>_xlfn.XLOOKUP(ColombiaClientes[[#This Row],[Client]],VpsClientes[Client],VpsClientes[VP],"",0)</f>
        <v>0</v>
      </c>
      <c r="B1255" t="s">
        <v>141</v>
      </c>
      <c r="C1255" t="s">
        <v>202</v>
      </c>
      <c r="D1255" t="s">
        <v>90</v>
      </c>
      <c r="E1255" t="s">
        <v>91</v>
      </c>
      <c r="F1255" s="1">
        <v>369</v>
      </c>
    </row>
    <row r="1256" spans="1:6" x14ac:dyDescent="0.3">
      <c r="A1256" t="str">
        <f>_xlfn.XLOOKUP(ColombiaClientes[[#This Row],[Client]],VpsClientes[Client],VpsClientes[VP],"",0)</f>
        <v>Martha Guzman Arango</v>
      </c>
      <c r="B1256" t="s">
        <v>165</v>
      </c>
      <c r="C1256" t="s">
        <v>203</v>
      </c>
      <c r="D1256" t="s">
        <v>90</v>
      </c>
      <c r="E1256" t="s">
        <v>206</v>
      </c>
      <c r="F1256" s="1">
        <v>96</v>
      </c>
    </row>
    <row r="1257" spans="1:6" x14ac:dyDescent="0.3">
      <c r="A1257" t="str">
        <f>_xlfn.XLOOKUP(ColombiaClientes[[#This Row],[Client]],VpsClientes[Client],VpsClientes[VP],"",0)</f>
        <v>Juan Granados Castillo</v>
      </c>
      <c r="B1257" t="s">
        <v>149</v>
      </c>
      <c r="C1257" t="s">
        <v>203</v>
      </c>
      <c r="D1257" t="s">
        <v>90</v>
      </c>
      <c r="E1257" t="s">
        <v>206</v>
      </c>
      <c r="F1257" s="1">
        <v>94</v>
      </c>
    </row>
    <row r="1258" spans="1:6" x14ac:dyDescent="0.3">
      <c r="A1258">
        <f>_xlfn.XLOOKUP(ColombiaClientes[[#This Row],[Client]],VpsClientes[Client],VpsClientes[VP],"",0)</f>
        <v>0</v>
      </c>
      <c r="B1258" t="s">
        <v>141</v>
      </c>
      <c r="C1258" t="s">
        <v>203</v>
      </c>
      <c r="D1258" t="s">
        <v>90</v>
      </c>
      <c r="E1258" t="s">
        <v>91</v>
      </c>
      <c r="F1258" s="1">
        <v>139</v>
      </c>
    </row>
    <row r="1259" spans="1:6" x14ac:dyDescent="0.3">
      <c r="A1259" t="str">
        <f>_xlfn.XLOOKUP(ColombiaClientes[[#This Row],[Client]],VpsClientes[Client],VpsClientes[VP],"",0)</f>
        <v>Martha Guzman Arango</v>
      </c>
      <c r="B1259" t="s">
        <v>183</v>
      </c>
      <c r="C1259" t="s">
        <v>203</v>
      </c>
      <c r="D1259" t="s">
        <v>90</v>
      </c>
      <c r="E1259" t="s">
        <v>206</v>
      </c>
      <c r="F1259" s="1">
        <v>90</v>
      </c>
    </row>
    <row r="1260" spans="1:6" x14ac:dyDescent="0.3">
      <c r="A1260" t="str">
        <f>_xlfn.XLOOKUP(ColombiaClientes[[#This Row],[Client]],VpsClientes[Client],VpsClientes[VP],"",0)</f>
        <v>Martha Guzman Arango</v>
      </c>
      <c r="B1260" t="s">
        <v>180</v>
      </c>
      <c r="C1260" t="s">
        <v>203</v>
      </c>
      <c r="D1260" t="s">
        <v>90</v>
      </c>
      <c r="E1260" t="s">
        <v>206</v>
      </c>
      <c r="F1260" s="1">
        <v>87</v>
      </c>
    </row>
    <row r="1261" spans="1:6" x14ac:dyDescent="0.3">
      <c r="A1261" t="str">
        <f>_xlfn.XLOOKUP(ColombiaClientes[[#This Row],[Client]],VpsClientes[Client],VpsClientes[VP],"",0)</f>
        <v>Maria Forero Jara</v>
      </c>
      <c r="B1261" t="s">
        <v>161</v>
      </c>
      <c r="C1261" t="s">
        <v>203</v>
      </c>
      <c r="D1261" t="s">
        <v>90</v>
      </c>
      <c r="E1261" t="s">
        <v>206</v>
      </c>
      <c r="F1261" s="1">
        <v>85</v>
      </c>
    </row>
    <row r="1262" spans="1:6" x14ac:dyDescent="0.3">
      <c r="A1262" t="str">
        <f>_xlfn.XLOOKUP(ColombiaClientes[[#This Row],[Client]],VpsClientes[Client],VpsClientes[VP],"",0)</f>
        <v>Moises Saavedra Garcia</v>
      </c>
      <c r="B1262" t="s">
        <v>175</v>
      </c>
      <c r="C1262" t="s">
        <v>203</v>
      </c>
      <c r="D1262" t="s">
        <v>90</v>
      </c>
      <c r="E1262" t="s">
        <v>206</v>
      </c>
      <c r="F1262" s="1">
        <v>82</v>
      </c>
    </row>
    <row r="1263" spans="1:6" x14ac:dyDescent="0.3">
      <c r="A1263" t="str">
        <f>_xlfn.XLOOKUP(ColombiaClientes[[#This Row],[Client]],VpsClientes[Client],VpsClientes[VP],"",0)</f>
        <v>Moises Saavedra Garcia</v>
      </c>
      <c r="B1263" t="s">
        <v>187</v>
      </c>
      <c r="C1263" t="s">
        <v>203</v>
      </c>
      <c r="D1263" t="s">
        <v>90</v>
      </c>
      <c r="E1263" t="s">
        <v>206</v>
      </c>
      <c r="F1263" s="1">
        <v>66</v>
      </c>
    </row>
    <row r="1264" spans="1:6" x14ac:dyDescent="0.3">
      <c r="A1264" t="str">
        <f>_xlfn.XLOOKUP(ColombiaClientes[[#This Row],[Client]],VpsClientes[Client],VpsClientes[VP],"",0)</f>
        <v>Hector Muraira Garza</v>
      </c>
      <c r="B1264" t="s">
        <v>167</v>
      </c>
      <c r="C1264" t="s">
        <v>203</v>
      </c>
      <c r="D1264" t="s">
        <v>90</v>
      </c>
      <c r="E1264" t="s">
        <v>206</v>
      </c>
      <c r="F1264" s="1">
        <v>61</v>
      </c>
    </row>
    <row r="1265" spans="1:6" x14ac:dyDescent="0.3">
      <c r="A1265" t="str">
        <f>_xlfn.XLOOKUP(ColombiaClientes[[#This Row],[Client]],VpsClientes[Client],VpsClientes[VP],"",0)</f>
        <v>Martha Guzman Arango</v>
      </c>
      <c r="B1265" t="s">
        <v>176</v>
      </c>
      <c r="C1265" t="s">
        <v>203</v>
      </c>
      <c r="D1265" t="s">
        <v>90</v>
      </c>
      <c r="E1265" t="s">
        <v>206</v>
      </c>
      <c r="F1265" s="1">
        <v>60</v>
      </c>
    </row>
    <row r="1266" spans="1:6" x14ac:dyDescent="0.3">
      <c r="A1266" t="str">
        <f>_xlfn.XLOOKUP(ColombiaClientes[[#This Row],[Client]],VpsClientes[Client],VpsClientes[VP],"",0)</f>
        <v>Martha Guzman Arango</v>
      </c>
      <c r="B1266" t="s">
        <v>189</v>
      </c>
      <c r="C1266" t="s">
        <v>203</v>
      </c>
      <c r="D1266" t="s">
        <v>90</v>
      </c>
      <c r="E1266" t="s">
        <v>206</v>
      </c>
      <c r="F1266" s="1">
        <v>51</v>
      </c>
    </row>
    <row r="1267" spans="1:6" x14ac:dyDescent="0.3">
      <c r="A1267" t="str">
        <f>_xlfn.XLOOKUP(ColombiaClientes[[#This Row],[Client]],VpsClientes[Client],VpsClientes[VP],"",0)</f>
        <v>Jhonatan Izquierdo Rico</v>
      </c>
      <c r="B1267" t="s">
        <v>200</v>
      </c>
      <c r="C1267" t="s">
        <v>203</v>
      </c>
      <c r="D1267" t="s">
        <v>90</v>
      </c>
      <c r="E1267" t="s">
        <v>206</v>
      </c>
      <c r="F1267" s="1">
        <v>50</v>
      </c>
    </row>
    <row r="1268" spans="1:6" x14ac:dyDescent="0.3">
      <c r="A1268" t="str">
        <f>_xlfn.XLOOKUP(ColombiaClientes[[#This Row],[Client]],VpsClientes[Client],VpsClientes[VP],"",0)</f>
        <v>Martha Guzman Arango</v>
      </c>
      <c r="B1268" t="s">
        <v>188</v>
      </c>
      <c r="C1268" t="s">
        <v>203</v>
      </c>
      <c r="D1268" t="s">
        <v>90</v>
      </c>
      <c r="E1268" t="s">
        <v>206</v>
      </c>
      <c r="F1268" s="1">
        <v>36</v>
      </c>
    </row>
    <row r="1269" spans="1:6" x14ac:dyDescent="0.3">
      <c r="A1269" t="str">
        <f>_xlfn.XLOOKUP(ColombiaClientes[[#This Row],[Client]],VpsClientes[Client],VpsClientes[VP],"",0)</f>
        <v>Jhonatan Izquierdo Rico</v>
      </c>
      <c r="B1269" t="s">
        <v>159</v>
      </c>
      <c r="C1269" t="s">
        <v>203</v>
      </c>
      <c r="D1269" t="s">
        <v>90</v>
      </c>
      <c r="E1269" t="s">
        <v>206</v>
      </c>
      <c r="F1269" s="1">
        <v>17</v>
      </c>
    </row>
    <row r="1270" spans="1:6" x14ac:dyDescent="0.3">
      <c r="A1270">
        <f>_xlfn.XLOOKUP(ColombiaClientes[[#This Row],[Client]],VpsClientes[Client],VpsClientes[VP],"",0)</f>
        <v>0</v>
      </c>
      <c r="B1270" t="s">
        <v>141</v>
      </c>
      <c r="C1270" t="s">
        <v>205</v>
      </c>
      <c r="D1270" t="s">
        <v>90</v>
      </c>
      <c r="E1270" t="s">
        <v>91</v>
      </c>
      <c r="F1270" s="1">
        <v>41</v>
      </c>
    </row>
    <row r="1271" spans="1:6" x14ac:dyDescent="0.3">
      <c r="A1271" t="str">
        <f>_xlfn.XLOOKUP(ColombiaClientes[[#This Row],[Client]],VpsClientes[Client],VpsClientes[VP],"",0)</f>
        <v>Hector Muraira Garza</v>
      </c>
      <c r="B1271" t="s">
        <v>164</v>
      </c>
      <c r="C1271" t="s">
        <v>203</v>
      </c>
      <c r="D1271" t="s">
        <v>90</v>
      </c>
      <c r="E1271" t="s">
        <v>206</v>
      </c>
      <c r="F1271" s="1">
        <v>7</v>
      </c>
    </row>
    <row r="1272" spans="1:6" x14ac:dyDescent="0.3">
      <c r="A1272" t="str">
        <f>_xlfn.XLOOKUP(ColombiaClientes[[#This Row],[Client]],VpsClientes[Client],VpsClientes[VP],"",0)</f>
        <v>Jhonatan Izquierdo Rico</v>
      </c>
      <c r="B1272" t="s">
        <v>196</v>
      </c>
      <c r="C1272" t="s">
        <v>203</v>
      </c>
      <c r="D1272" t="s">
        <v>90</v>
      </c>
      <c r="E1272" t="s">
        <v>206</v>
      </c>
      <c r="F1272" s="1">
        <v>0</v>
      </c>
    </row>
    <row r="1273" spans="1:6" x14ac:dyDescent="0.3">
      <c r="A1273" t="str">
        <f>_xlfn.XLOOKUP(ColombiaClientes[[#This Row],[Client]],VpsClientes[Client],VpsClientes[VP],"",0)</f>
        <v>Carlos Beltran Hernandez</v>
      </c>
      <c r="B1273" t="s">
        <v>94</v>
      </c>
      <c r="C1273" t="s">
        <v>205</v>
      </c>
      <c r="D1273" t="s">
        <v>90</v>
      </c>
      <c r="E1273" t="s">
        <v>206</v>
      </c>
      <c r="F1273" s="1">
        <v>31579</v>
      </c>
    </row>
    <row r="1274" spans="1:6" x14ac:dyDescent="0.3">
      <c r="A1274" t="str">
        <f>_xlfn.XLOOKUP(ColombiaClientes[[#This Row],[Client]],VpsClientes[Client],VpsClientes[VP],"",0)</f>
        <v>Jhonatan Izquierdo Rico</v>
      </c>
      <c r="B1274" t="s">
        <v>104</v>
      </c>
      <c r="C1274" t="s">
        <v>205</v>
      </c>
      <c r="D1274" t="s">
        <v>90</v>
      </c>
      <c r="E1274" t="s">
        <v>206</v>
      </c>
      <c r="F1274" s="1">
        <v>24466</v>
      </c>
    </row>
    <row r="1275" spans="1:6" x14ac:dyDescent="0.3">
      <c r="A1275" t="str">
        <f>_xlfn.XLOOKUP(ColombiaClientes[[#This Row],[Client]],VpsClientes[Client],VpsClientes[VP],"",0)</f>
        <v>Moises Saavedra Garcia</v>
      </c>
      <c r="B1275" t="s">
        <v>99</v>
      </c>
      <c r="C1275" t="s">
        <v>205</v>
      </c>
      <c r="D1275" t="s">
        <v>90</v>
      </c>
      <c r="E1275" t="s">
        <v>206</v>
      </c>
      <c r="F1275" s="1">
        <v>22708</v>
      </c>
    </row>
    <row r="1276" spans="1:6" x14ac:dyDescent="0.3">
      <c r="A1276" t="str">
        <f>_xlfn.XLOOKUP(ColombiaClientes[[#This Row],[Client]],VpsClientes[Client],VpsClientes[VP],"",0)</f>
        <v>Carlos Beltran Hernandez</v>
      </c>
      <c r="B1276" t="s">
        <v>93</v>
      </c>
      <c r="C1276" t="s">
        <v>205</v>
      </c>
      <c r="D1276" t="s">
        <v>90</v>
      </c>
      <c r="E1276" t="s">
        <v>206</v>
      </c>
      <c r="F1276" s="1">
        <v>22229</v>
      </c>
    </row>
    <row r="1277" spans="1:6" x14ac:dyDescent="0.3">
      <c r="A1277" t="str">
        <f>_xlfn.XLOOKUP(ColombiaClientes[[#This Row],[Client]],VpsClientes[Client],VpsClientes[VP],"",0)</f>
        <v>Jhonatan Izquierdo Rico</v>
      </c>
      <c r="B1277" t="s">
        <v>128</v>
      </c>
      <c r="C1277" t="s">
        <v>205</v>
      </c>
      <c r="D1277" t="s">
        <v>90</v>
      </c>
      <c r="E1277" t="s">
        <v>206</v>
      </c>
      <c r="F1277" s="1">
        <v>18733</v>
      </c>
    </row>
    <row r="1278" spans="1:6" x14ac:dyDescent="0.3">
      <c r="A1278" t="str">
        <f>_xlfn.XLOOKUP(ColombiaClientes[[#This Row],[Client]],VpsClientes[Client],VpsClientes[VP],"",0)</f>
        <v>Carlos Beltran Hernandez</v>
      </c>
      <c r="B1278" t="s">
        <v>102</v>
      </c>
      <c r="C1278" t="s">
        <v>205</v>
      </c>
      <c r="D1278" t="s">
        <v>90</v>
      </c>
      <c r="E1278" t="s">
        <v>206</v>
      </c>
      <c r="F1278" s="1">
        <v>15999</v>
      </c>
    </row>
    <row r="1279" spans="1:6" x14ac:dyDescent="0.3">
      <c r="A1279" t="str">
        <f>_xlfn.XLOOKUP(ColombiaClientes[[#This Row],[Client]],VpsClientes[Client],VpsClientes[VP],"",0)</f>
        <v>Carlos Castillo Figueroa</v>
      </c>
      <c r="B1279" t="s">
        <v>105</v>
      </c>
      <c r="C1279" t="s">
        <v>205</v>
      </c>
      <c r="D1279" t="s">
        <v>90</v>
      </c>
      <c r="E1279" t="s">
        <v>206</v>
      </c>
      <c r="F1279" s="1">
        <v>15941</v>
      </c>
    </row>
    <row r="1280" spans="1:6" x14ac:dyDescent="0.3">
      <c r="A1280" t="str">
        <f>_xlfn.XLOOKUP(ColombiaClientes[[#This Row],[Client]],VpsClientes[Client],VpsClientes[VP],"",0)</f>
        <v>Martha Guzman Arango</v>
      </c>
      <c r="B1280" t="s">
        <v>96</v>
      </c>
      <c r="C1280" t="s">
        <v>205</v>
      </c>
      <c r="D1280" t="s">
        <v>90</v>
      </c>
      <c r="E1280" t="s">
        <v>206</v>
      </c>
      <c r="F1280" s="1">
        <v>15407</v>
      </c>
    </row>
    <row r="1281" spans="1:6" x14ac:dyDescent="0.3">
      <c r="A1281" t="str">
        <f>_xlfn.XLOOKUP(ColombiaClientes[[#This Row],[Client]],VpsClientes[Client],VpsClientes[VP],"",0)</f>
        <v>Martha Guzman Arango</v>
      </c>
      <c r="B1281" t="s">
        <v>100</v>
      </c>
      <c r="C1281" t="s">
        <v>205</v>
      </c>
      <c r="D1281" t="s">
        <v>90</v>
      </c>
      <c r="E1281" t="s">
        <v>206</v>
      </c>
      <c r="F1281" s="1">
        <v>13706</v>
      </c>
    </row>
    <row r="1282" spans="1:6" x14ac:dyDescent="0.3">
      <c r="A1282" t="str">
        <f>_xlfn.XLOOKUP(ColombiaClientes[[#This Row],[Client]],VpsClientes[Client],VpsClientes[VP],"",0)</f>
        <v>Martha Guzman Arango</v>
      </c>
      <c r="B1282" t="s">
        <v>98</v>
      </c>
      <c r="C1282" t="s">
        <v>205</v>
      </c>
      <c r="D1282" t="s">
        <v>90</v>
      </c>
      <c r="E1282" t="s">
        <v>206</v>
      </c>
      <c r="F1282" s="1">
        <v>13405</v>
      </c>
    </row>
    <row r="1283" spans="1:6" x14ac:dyDescent="0.3">
      <c r="A1283" t="str">
        <f>_xlfn.XLOOKUP(ColombiaClientes[[#This Row],[Client]],VpsClientes[Client],VpsClientes[VP],"",0)</f>
        <v>Sandra Romero Zuluaga</v>
      </c>
      <c r="B1283" t="s">
        <v>113</v>
      </c>
      <c r="C1283" t="s">
        <v>205</v>
      </c>
      <c r="D1283" t="s">
        <v>90</v>
      </c>
      <c r="E1283" t="s">
        <v>206</v>
      </c>
      <c r="F1283" s="1">
        <v>13085</v>
      </c>
    </row>
    <row r="1284" spans="1:6" x14ac:dyDescent="0.3">
      <c r="A1284" t="str">
        <f>_xlfn.XLOOKUP(ColombiaClientes[[#This Row],[Client]],VpsClientes[Client],VpsClientes[VP],"",0)</f>
        <v>Jhonatan Izquierdo Rico</v>
      </c>
      <c r="B1284" t="s">
        <v>107</v>
      </c>
      <c r="C1284" t="s">
        <v>205</v>
      </c>
      <c r="D1284" t="s">
        <v>90</v>
      </c>
      <c r="E1284" t="s">
        <v>206</v>
      </c>
      <c r="F1284" s="1">
        <v>12482</v>
      </c>
    </row>
    <row r="1285" spans="1:6" x14ac:dyDescent="0.3">
      <c r="A1285" t="str">
        <f>_xlfn.XLOOKUP(ColombiaClientes[[#This Row],[Client]],VpsClientes[Client],VpsClientes[VP],"",0)</f>
        <v>Hector Muraira Garza</v>
      </c>
      <c r="B1285" t="s">
        <v>137</v>
      </c>
      <c r="C1285" t="s">
        <v>205</v>
      </c>
      <c r="D1285" t="s">
        <v>90</v>
      </c>
      <c r="E1285" t="s">
        <v>206</v>
      </c>
      <c r="F1285" s="1">
        <v>10620</v>
      </c>
    </row>
    <row r="1286" spans="1:6" x14ac:dyDescent="0.3">
      <c r="A1286" t="str">
        <f>_xlfn.XLOOKUP(ColombiaClientes[[#This Row],[Client]],VpsClientes[Client],VpsClientes[VP],"",0)</f>
        <v>Maria Forero Jara</v>
      </c>
      <c r="B1286" t="s">
        <v>101</v>
      </c>
      <c r="C1286" t="s">
        <v>205</v>
      </c>
      <c r="D1286" t="s">
        <v>90</v>
      </c>
      <c r="E1286" t="s">
        <v>206</v>
      </c>
      <c r="F1286" s="1">
        <v>9363</v>
      </c>
    </row>
    <row r="1287" spans="1:6" x14ac:dyDescent="0.3">
      <c r="A1287" t="str">
        <f>_xlfn.XLOOKUP(ColombiaClientes[[#This Row],[Client]],VpsClientes[Client],VpsClientes[VP],"",0)</f>
        <v>Martha Guzman Arango</v>
      </c>
      <c r="B1287" t="s">
        <v>103</v>
      </c>
      <c r="C1287" t="s">
        <v>205</v>
      </c>
      <c r="D1287" t="s">
        <v>90</v>
      </c>
      <c r="E1287" t="s">
        <v>206</v>
      </c>
      <c r="F1287" s="1">
        <v>9059</v>
      </c>
    </row>
    <row r="1288" spans="1:6" x14ac:dyDescent="0.3">
      <c r="A1288" t="str">
        <f>_xlfn.XLOOKUP(ColombiaClientes[[#This Row],[Client]],VpsClientes[Client],VpsClientes[VP],"",0)</f>
        <v>Martha Guzman Arango</v>
      </c>
      <c r="B1288" t="s">
        <v>97</v>
      </c>
      <c r="C1288" t="s">
        <v>205</v>
      </c>
      <c r="D1288" t="s">
        <v>90</v>
      </c>
      <c r="E1288" t="s">
        <v>206</v>
      </c>
      <c r="F1288" s="1">
        <v>8191</v>
      </c>
    </row>
    <row r="1289" spans="1:6" x14ac:dyDescent="0.3">
      <c r="A1289" t="str">
        <f>_xlfn.XLOOKUP(ColombiaClientes[[#This Row],[Client]],VpsClientes[Client],VpsClientes[VP],"",0)</f>
        <v>Martha Guzman Arango</v>
      </c>
      <c r="B1289" t="s">
        <v>122</v>
      </c>
      <c r="C1289" t="s">
        <v>205</v>
      </c>
      <c r="D1289" t="s">
        <v>90</v>
      </c>
      <c r="E1289" t="s">
        <v>206</v>
      </c>
      <c r="F1289" s="1">
        <v>8058</v>
      </c>
    </row>
    <row r="1290" spans="1:6" x14ac:dyDescent="0.3">
      <c r="A1290" t="str">
        <f>_xlfn.XLOOKUP(ColombiaClientes[[#This Row],[Client]],VpsClientes[Client],VpsClientes[VP],"",0)</f>
        <v>Ludy Torres Benitez</v>
      </c>
      <c r="B1290" t="s">
        <v>95</v>
      </c>
      <c r="C1290" t="s">
        <v>205</v>
      </c>
      <c r="D1290" t="s">
        <v>90</v>
      </c>
      <c r="E1290" t="s">
        <v>206</v>
      </c>
      <c r="F1290" s="1">
        <v>7992</v>
      </c>
    </row>
    <row r="1291" spans="1:6" x14ac:dyDescent="0.3">
      <c r="A1291" t="str">
        <f>_xlfn.XLOOKUP(ColombiaClientes[[#This Row],[Client]],VpsClientes[Client],VpsClientes[VP],"",0)</f>
        <v>Jhonatan Izquierdo Rico</v>
      </c>
      <c r="B1291" t="s">
        <v>112</v>
      </c>
      <c r="C1291" t="s">
        <v>205</v>
      </c>
      <c r="D1291" t="s">
        <v>90</v>
      </c>
      <c r="E1291" t="s">
        <v>206</v>
      </c>
      <c r="F1291" s="1">
        <v>7814</v>
      </c>
    </row>
    <row r="1292" spans="1:6" x14ac:dyDescent="0.3">
      <c r="A1292" t="str">
        <f>_xlfn.XLOOKUP(ColombiaClientes[[#This Row],[Client]],VpsClientes[Client],VpsClientes[VP],"",0)</f>
        <v>Maria Forero Jara</v>
      </c>
      <c r="B1292" t="s">
        <v>125</v>
      </c>
      <c r="C1292" t="s">
        <v>205</v>
      </c>
      <c r="D1292" t="s">
        <v>90</v>
      </c>
      <c r="E1292" t="s">
        <v>206</v>
      </c>
      <c r="F1292" s="1">
        <v>5857</v>
      </c>
    </row>
    <row r="1293" spans="1:6" x14ac:dyDescent="0.3">
      <c r="A1293" t="str">
        <f>_xlfn.XLOOKUP(ColombiaClientes[[#This Row],[Client]],VpsClientes[Client],VpsClientes[VP],"",0)</f>
        <v>Martha Guzman Arango</v>
      </c>
      <c r="B1293" t="s">
        <v>114</v>
      </c>
      <c r="C1293" t="s">
        <v>205</v>
      </c>
      <c r="D1293" t="s">
        <v>90</v>
      </c>
      <c r="E1293" t="s">
        <v>206</v>
      </c>
      <c r="F1293" s="1">
        <v>4768</v>
      </c>
    </row>
    <row r="1294" spans="1:6" x14ac:dyDescent="0.3">
      <c r="A1294" t="str">
        <f>_xlfn.XLOOKUP(ColombiaClientes[[#This Row],[Client]],VpsClientes[Client],VpsClientes[VP],"",0)</f>
        <v>Juan Granados Castillo</v>
      </c>
      <c r="B1294" t="s">
        <v>136</v>
      </c>
      <c r="C1294" t="s">
        <v>205</v>
      </c>
      <c r="D1294" t="s">
        <v>90</v>
      </c>
      <c r="E1294" t="s">
        <v>206</v>
      </c>
      <c r="F1294" s="1">
        <v>4079</v>
      </c>
    </row>
    <row r="1295" spans="1:6" x14ac:dyDescent="0.3">
      <c r="A1295" t="str">
        <f>_xlfn.XLOOKUP(ColombiaClientes[[#This Row],[Client]],VpsClientes[Client],VpsClientes[VP],"",0)</f>
        <v>Maria Forero Jara</v>
      </c>
      <c r="B1295" t="s">
        <v>108</v>
      </c>
      <c r="C1295" t="s">
        <v>205</v>
      </c>
      <c r="D1295" t="s">
        <v>90</v>
      </c>
      <c r="E1295" t="s">
        <v>206</v>
      </c>
      <c r="F1295" s="1">
        <v>4070</v>
      </c>
    </row>
    <row r="1296" spans="1:6" x14ac:dyDescent="0.3">
      <c r="A1296" t="str">
        <f>_xlfn.XLOOKUP(ColombiaClientes[[#This Row],[Client]],VpsClientes[Client],VpsClientes[VP],"",0)</f>
        <v>Carlos Beltran Hernandez</v>
      </c>
      <c r="B1296" t="s">
        <v>119</v>
      </c>
      <c r="C1296" t="s">
        <v>205</v>
      </c>
      <c r="D1296" t="s">
        <v>90</v>
      </c>
      <c r="E1296" t="s">
        <v>206</v>
      </c>
      <c r="F1296" s="1">
        <v>3737</v>
      </c>
    </row>
    <row r="1297" spans="1:6" x14ac:dyDescent="0.3">
      <c r="A1297" t="str">
        <f>_xlfn.XLOOKUP(ColombiaClientes[[#This Row],[Client]],VpsClientes[Client],VpsClientes[VP],"",0)</f>
        <v>Maria Forero Jara</v>
      </c>
      <c r="B1297" t="s">
        <v>106</v>
      </c>
      <c r="C1297" t="s">
        <v>205</v>
      </c>
      <c r="D1297" t="s">
        <v>90</v>
      </c>
      <c r="E1297" t="s">
        <v>206</v>
      </c>
      <c r="F1297" s="1">
        <v>3441</v>
      </c>
    </row>
    <row r="1298" spans="1:6" x14ac:dyDescent="0.3">
      <c r="A1298" t="str">
        <f>_xlfn.XLOOKUP(ColombiaClientes[[#This Row],[Client]],VpsClientes[Client],VpsClientes[VP],"",0)</f>
        <v>Martha Guzman Arango</v>
      </c>
      <c r="B1298" t="s">
        <v>143</v>
      </c>
      <c r="C1298" t="s">
        <v>205</v>
      </c>
      <c r="D1298" t="s">
        <v>90</v>
      </c>
      <c r="E1298" t="s">
        <v>206</v>
      </c>
      <c r="F1298" s="1">
        <v>3433</v>
      </c>
    </row>
    <row r="1299" spans="1:6" x14ac:dyDescent="0.3">
      <c r="A1299" t="str">
        <f>_xlfn.XLOOKUP(ColombiaClientes[[#This Row],[Client]],VpsClientes[Client],VpsClientes[VP],"",0)</f>
        <v>Martha Guzman Arango</v>
      </c>
      <c r="B1299" t="s">
        <v>135</v>
      </c>
      <c r="C1299" t="s">
        <v>205</v>
      </c>
      <c r="D1299" t="s">
        <v>90</v>
      </c>
      <c r="E1299" t="s">
        <v>206</v>
      </c>
      <c r="F1299" s="1">
        <v>3407</v>
      </c>
    </row>
    <row r="1300" spans="1:6" x14ac:dyDescent="0.3">
      <c r="A1300" t="str">
        <f>_xlfn.XLOOKUP(ColombiaClientes[[#This Row],[Client]],VpsClientes[Client],VpsClientes[VP],"",0)</f>
        <v>Ernesto Rico Zuluaga</v>
      </c>
      <c r="B1300" t="s">
        <v>116</v>
      </c>
      <c r="C1300" t="s">
        <v>205</v>
      </c>
      <c r="D1300" t="s">
        <v>90</v>
      </c>
      <c r="E1300" t="s">
        <v>206</v>
      </c>
      <c r="F1300" s="1">
        <v>2993</v>
      </c>
    </row>
    <row r="1301" spans="1:6" x14ac:dyDescent="0.3">
      <c r="A1301" t="str">
        <f>_xlfn.XLOOKUP(ColombiaClientes[[#This Row],[Client]],VpsClientes[Client],VpsClientes[VP],"",0)</f>
        <v>Moises Saavedra Garcia</v>
      </c>
      <c r="B1301" t="s">
        <v>207</v>
      </c>
      <c r="C1301" t="s">
        <v>205</v>
      </c>
      <c r="D1301" t="s">
        <v>90</v>
      </c>
      <c r="E1301" t="s">
        <v>206</v>
      </c>
      <c r="F1301" s="1">
        <v>2693</v>
      </c>
    </row>
    <row r="1302" spans="1:6" x14ac:dyDescent="0.3">
      <c r="A1302" t="str">
        <f>_xlfn.XLOOKUP(ColombiaClientes[[#This Row],[Client]],VpsClientes[Client],VpsClientes[VP],"",0)</f>
        <v>Martha Guzman Arango</v>
      </c>
      <c r="B1302" t="s">
        <v>118</v>
      </c>
      <c r="C1302" t="s">
        <v>205</v>
      </c>
      <c r="D1302" t="s">
        <v>90</v>
      </c>
      <c r="E1302" t="s">
        <v>206</v>
      </c>
      <c r="F1302" s="1">
        <v>2654</v>
      </c>
    </row>
    <row r="1303" spans="1:6" x14ac:dyDescent="0.3">
      <c r="A1303" t="str">
        <f>_xlfn.XLOOKUP(ColombiaClientes[[#This Row],[Client]],VpsClientes[Client],VpsClientes[VP],"",0)</f>
        <v>Jhonatan Izquierdo Rico</v>
      </c>
      <c r="B1303" t="s">
        <v>126</v>
      </c>
      <c r="C1303" t="s">
        <v>205</v>
      </c>
      <c r="D1303" t="s">
        <v>90</v>
      </c>
      <c r="E1303" t="s">
        <v>206</v>
      </c>
      <c r="F1303" s="1">
        <v>2105</v>
      </c>
    </row>
    <row r="1304" spans="1:6" x14ac:dyDescent="0.3">
      <c r="A1304" t="str">
        <f>_xlfn.XLOOKUP(ColombiaClientes[[#This Row],[Client]],VpsClientes[Client],VpsClientes[VP],"",0)</f>
        <v>Moises Saavedra Garcia</v>
      </c>
      <c r="B1304" t="s">
        <v>115</v>
      </c>
      <c r="C1304" t="s">
        <v>205</v>
      </c>
      <c r="D1304" t="s">
        <v>90</v>
      </c>
      <c r="E1304" t="s">
        <v>206</v>
      </c>
      <c r="F1304" s="1">
        <v>1880</v>
      </c>
    </row>
    <row r="1305" spans="1:6" x14ac:dyDescent="0.3">
      <c r="A1305" t="str">
        <f>_xlfn.XLOOKUP(ColombiaClientes[[#This Row],[Client]],VpsClientes[Client],VpsClientes[VP],"",0)</f>
        <v>Jhonatan Izquierdo Rico</v>
      </c>
      <c r="B1305" t="s">
        <v>117</v>
      </c>
      <c r="C1305" t="s">
        <v>205</v>
      </c>
      <c r="D1305" t="s">
        <v>90</v>
      </c>
      <c r="E1305" t="s">
        <v>206</v>
      </c>
      <c r="F1305" s="1">
        <v>1862</v>
      </c>
    </row>
    <row r="1306" spans="1:6" x14ac:dyDescent="0.3">
      <c r="A1306" t="str">
        <f>_xlfn.XLOOKUP(ColombiaClientes[[#This Row],[Client]],VpsClientes[Client],VpsClientes[VP],"",0)</f>
        <v>Maria Forero Jara</v>
      </c>
      <c r="B1306" t="s">
        <v>123</v>
      </c>
      <c r="C1306" t="s">
        <v>205</v>
      </c>
      <c r="D1306" t="s">
        <v>90</v>
      </c>
      <c r="E1306" t="s">
        <v>206</v>
      </c>
      <c r="F1306" s="1">
        <v>1843</v>
      </c>
    </row>
    <row r="1307" spans="1:6" x14ac:dyDescent="0.3">
      <c r="A1307" t="str">
        <f>_xlfn.XLOOKUP(ColombiaClientes[[#This Row],[Client]],VpsClientes[Client],VpsClientes[VP],"",0)</f>
        <v>Martha Guzman Arango</v>
      </c>
      <c r="B1307" t="s">
        <v>109</v>
      </c>
      <c r="C1307" t="s">
        <v>205</v>
      </c>
      <c r="D1307" t="s">
        <v>90</v>
      </c>
      <c r="E1307" t="s">
        <v>206</v>
      </c>
      <c r="F1307" s="1">
        <v>1714</v>
      </c>
    </row>
    <row r="1308" spans="1:6" x14ac:dyDescent="0.3">
      <c r="A1308" t="str">
        <f>_xlfn.XLOOKUP(ColombiaClientes[[#This Row],[Client]],VpsClientes[Client],VpsClientes[VP],"",0)</f>
        <v>Maria Forero Jara</v>
      </c>
      <c r="B1308" t="s">
        <v>139</v>
      </c>
      <c r="C1308" t="s">
        <v>205</v>
      </c>
      <c r="D1308" t="s">
        <v>90</v>
      </c>
      <c r="E1308" t="s">
        <v>206</v>
      </c>
      <c r="F1308" s="1">
        <v>1678</v>
      </c>
    </row>
    <row r="1309" spans="1:6" x14ac:dyDescent="0.3">
      <c r="A1309" t="str">
        <f>_xlfn.XLOOKUP(ColombiaClientes[[#This Row],[Client]],VpsClientes[Client],VpsClientes[VP],"",0)</f>
        <v>Hector Muraira Garza</v>
      </c>
      <c r="B1309" t="s">
        <v>130</v>
      </c>
      <c r="C1309" t="s">
        <v>205</v>
      </c>
      <c r="D1309" t="s">
        <v>90</v>
      </c>
      <c r="E1309" t="s">
        <v>206</v>
      </c>
      <c r="F1309" s="1">
        <v>1635</v>
      </c>
    </row>
    <row r="1310" spans="1:6" x14ac:dyDescent="0.3">
      <c r="A1310" t="str">
        <f>_xlfn.XLOOKUP(ColombiaClientes[[#This Row],[Client]],VpsClientes[Client],VpsClientes[VP],"",0)</f>
        <v>Moises Saavedra Garcia</v>
      </c>
      <c r="B1310" t="s">
        <v>172</v>
      </c>
      <c r="C1310" t="s">
        <v>205</v>
      </c>
      <c r="D1310" t="s">
        <v>90</v>
      </c>
      <c r="E1310" t="s">
        <v>206</v>
      </c>
      <c r="F1310" s="1">
        <v>1622</v>
      </c>
    </row>
    <row r="1311" spans="1:6" x14ac:dyDescent="0.3">
      <c r="A1311" t="str">
        <f>_xlfn.XLOOKUP(ColombiaClientes[[#This Row],[Client]],VpsClientes[Client],VpsClientes[VP],"",0)</f>
        <v>Martha Guzman Arango</v>
      </c>
      <c r="B1311" t="s">
        <v>166</v>
      </c>
      <c r="C1311" t="s">
        <v>205</v>
      </c>
      <c r="D1311" t="s">
        <v>90</v>
      </c>
      <c r="E1311" t="s">
        <v>206</v>
      </c>
      <c r="F1311" s="1">
        <v>1513</v>
      </c>
    </row>
    <row r="1312" spans="1:6" x14ac:dyDescent="0.3">
      <c r="A1312" t="str">
        <f>_xlfn.XLOOKUP(ColombiaClientes[[#This Row],[Client]],VpsClientes[Client],VpsClientes[VP],"",0)</f>
        <v>Moises Saavedra Garcia</v>
      </c>
      <c r="B1312" t="s">
        <v>150</v>
      </c>
      <c r="C1312" t="s">
        <v>205</v>
      </c>
      <c r="D1312" t="s">
        <v>90</v>
      </c>
      <c r="E1312" t="s">
        <v>206</v>
      </c>
      <c r="F1312" s="1">
        <v>1376</v>
      </c>
    </row>
    <row r="1313" spans="1:6" x14ac:dyDescent="0.3">
      <c r="A1313" t="str">
        <f>_xlfn.XLOOKUP(ColombiaClientes[[#This Row],[Client]],VpsClientes[Client],VpsClientes[VP],"",0)</f>
        <v>Ernesto Rico Zuluaga</v>
      </c>
      <c r="B1313" t="s">
        <v>121</v>
      </c>
      <c r="C1313" t="s">
        <v>205</v>
      </c>
      <c r="D1313" t="s">
        <v>90</v>
      </c>
      <c r="E1313" t="s">
        <v>206</v>
      </c>
      <c r="F1313" s="1">
        <v>1299</v>
      </c>
    </row>
    <row r="1314" spans="1:6" x14ac:dyDescent="0.3">
      <c r="A1314" t="str">
        <f>_xlfn.XLOOKUP(ColombiaClientes[[#This Row],[Client]],VpsClientes[Client],VpsClientes[VP],"",0)</f>
        <v>Martha Guzman Arango</v>
      </c>
      <c r="B1314" t="s">
        <v>152</v>
      </c>
      <c r="C1314" t="s">
        <v>205</v>
      </c>
      <c r="D1314" t="s">
        <v>90</v>
      </c>
      <c r="E1314" t="s">
        <v>206</v>
      </c>
      <c r="F1314" s="1">
        <v>1296</v>
      </c>
    </row>
    <row r="1315" spans="1:6" x14ac:dyDescent="0.3">
      <c r="A1315" t="str">
        <f>_xlfn.XLOOKUP(ColombiaClientes[[#This Row],[Client]],VpsClientes[Client],VpsClientes[VP],"",0)</f>
        <v>Moises Saavedra Garcia</v>
      </c>
      <c r="B1315" t="s">
        <v>120</v>
      </c>
      <c r="C1315" t="s">
        <v>205</v>
      </c>
      <c r="D1315" t="s">
        <v>90</v>
      </c>
      <c r="E1315" t="s">
        <v>206</v>
      </c>
      <c r="F1315" s="1">
        <v>1159</v>
      </c>
    </row>
    <row r="1316" spans="1:6" x14ac:dyDescent="0.3">
      <c r="A1316" t="str">
        <f>_xlfn.XLOOKUP(ColombiaClientes[[#This Row],[Client]],VpsClientes[Client],VpsClientes[VP],"",0)</f>
        <v>Martha Guzman Arango</v>
      </c>
      <c r="B1316" t="s">
        <v>199</v>
      </c>
      <c r="C1316" t="s">
        <v>205</v>
      </c>
      <c r="D1316" t="s">
        <v>90</v>
      </c>
      <c r="E1316" t="s">
        <v>206</v>
      </c>
      <c r="F1316" s="1">
        <v>1140</v>
      </c>
    </row>
    <row r="1317" spans="1:6" x14ac:dyDescent="0.3">
      <c r="A1317" t="str">
        <f>_xlfn.XLOOKUP(ColombiaClientes[[#This Row],[Client]],VpsClientes[Client],VpsClientes[VP],"",0)</f>
        <v>Martha Guzman Arango</v>
      </c>
      <c r="B1317" t="s">
        <v>146</v>
      </c>
      <c r="C1317" t="s">
        <v>205</v>
      </c>
      <c r="D1317" t="s">
        <v>90</v>
      </c>
      <c r="E1317" t="s">
        <v>206</v>
      </c>
      <c r="F1317" s="1">
        <v>1122</v>
      </c>
    </row>
    <row r="1318" spans="1:6" x14ac:dyDescent="0.3">
      <c r="A1318" t="str">
        <f>_xlfn.XLOOKUP(ColombiaClientes[[#This Row],[Client]],VpsClientes[Client],VpsClientes[VP],"",0)</f>
        <v>Carlos Beltran Hernandez</v>
      </c>
      <c r="B1318" t="s">
        <v>173</v>
      </c>
      <c r="C1318" t="s">
        <v>205</v>
      </c>
      <c r="D1318" t="s">
        <v>90</v>
      </c>
      <c r="E1318" t="s">
        <v>206</v>
      </c>
      <c r="F1318" s="1">
        <v>1081</v>
      </c>
    </row>
    <row r="1319" spans="1:6" x14ac:dyDescent="0.3">
      <c r="A1319" t="str">
        <f>_xlfn.XLOOKUP(ColombiaClientes[[#This Row],[Client]],VpsClientes[Client],VpsClientes[VP],"",0)</f>
        <v>Juan Granados Castillo</v>
      </c>
      <c r="B1319" t="s">
        <v>134</v>
      </c>
      <c r="C1319" t="s">
        <v>205</v>
      </c>
      <c r="D1319" t="s">
        <v>90</v>
      </c>
      <c r="E1319" t="s">
        <v>206</v>
      </c>
      <c r="F1319" s="1">
        <v>991</v>
      </c>
    </row>
    <row r="1320" spans="1:6" x14ac:dyDescent="0.3">
      <c r="A1320" t="str">
        <f>_xlfn.XLOOKUP(ColombiaClientes[[#This Row],[Client]],VpsClientes[Client],VpsClientes[VP],"",0)</f>
        <v>Martha Guzman Arango</v>
      </c>
      <c r="B1320" t="s">
        <v>156</v>
      </c>
      <c r="C1320" t="s">
        <v>205</v>
      </c>
      <c r="D1320" t="s">
        <v>90</v>
      </c>
      <c r="E1320" t="s">
        <v>206</v>
      </c>
      <c r="F1320" s="1">
        <v>979</v>
      </c>
    </row>
    <row r="1321" spans="1:6" x14ac:dyDescent="0.3">
      <c r="A1321" t="str">
        <f>_xlfn.XLOOKUP(ColombiaClientes[[#This Row],[Client]],VpsClientes[Client],VpsClientes[VP],"",0)</f>
        <v>Maria Forero Jara</v>
      </c>
      <c r="B1321" t="s">
        <v>111</v>
      </c>
      <c r="C1321" t="s">
        <v>205</v>
      </c>
      <c r="D1321" t="s">
        <v>90</v>
      </c>
      <c r="E1321" t="s">
        <v>206</v>
      </c>
      <c r="F1321" s="1">
        <v>952</v>
      </c>
    </row>
    <row r="1322" spans="1:6" x14ac:dyDescent="0.3">
      <c r="A1322" t="str">
        <f>_xlfn.XLOOKUP(ColombiaClientes[[#This Row],[Client]],VpsClientes[Client],VpsClientes[VP],"",0)</f>
        <v>Martha Guzman Arango</v>
      </c>
      <c r="B1322" t="s">
        <v>162</v>
      </c>
      <c r="C1322" t="s">
        <v>205</v>
      </c>
      <c r="D1322" t="s">
        <v>90</v>
      </c>
      <c r="E1322" t="s">
        <v>206</v>
      </c>
      <c r="F1322" s="1">
        <v>943</v>
      </c>
    </row>
    <row r="1323" spans="1:6" x14ac:dyDescent="0.3">
      <c r="A1323" t="str">
        <f>_xlfn.XLOOKUP(ColombiaClientes[[#This Row],[Client]],VpsClientes[Client],VpsClientes[VP],"",0)</f>
        <v>System System</v>
      </c>
      <c r="B1323" t="s">
        <v>208</v>
      </c>
      <c r="C1323" t="s">
        <v>205</v>
      </c>
      <c r="D1323" t="s">
        <v>90</v>
      </c>
      <c r="E1323" t="s">
        <v>206</v>
      </c>
      <c r="F1323" s="1">
        <v>888</v>
      </c>
    </row>
    <row r="1324" spans="1:6" x14ac:dyDescent="0.3">
      <c r="A1324" t="str">
        <f>_xlfn.XLOOKUP(ColombiaClientes[[#This Row],[Client]],VpsClientes[Client],VpsClientes[VP],"",0)</f>
        <v>Martha Guzman Arango</v>
      </c>
      <c r="B1324" t="s">
        <v>168</v>
      </c>
      <c r="C1324" t="s">
        <v>205</v>
      </c>
      <c r="D1324" t="s">
        <v>90</v>
      </c>
      <c r="E1324" t="s">
        <v>206</v>
      </c>
      <c r="F1324" s="1">
        <v>866</v>
      </c>
    </row>
    <row r="1325" spans="1:6" x14ac:dyDescent="0.3">
      <c r="A1325" t="str">
        <f>_xlfn.XLOOKUP(ColombiaClientes[[#This Row],[Client]],VpsClientes[Client],VpsClientes[VP],"",0)</f>
        <v>Martha Guzman Arango</v>
      </c>
      <c r="B1325" t="s">
        <v>124</v>
      </c>
      <c r="C1325" t="s">
        <v>205</v>
      </c>
      <c r="D1325" t="s">
        <v>90</v>
      </c>
      <c r="E1325" t="s">
        <v>206</v>
      </c>
      <c r="F1325" s="1">
        <v>851</v>
      </c>
    </row>
    <row r="1326" spans="1:6" x14ac:dyDescent="0.3">
      <c r="A1326" t="str">
        <f>_xlfn.XLOOKUP(ColombiaClientes[[#This Row],[Client]],VpsClientes[Client],VpsClientes[VP],"",0)</f>
        <v>Jhonatan Izquierdo Rico</v>
      </c>
      <c r="B1326" t="s">
        <v>138</v>
      </c>
      <c r="C1326" t="s">
        <v>205</v>
      </c>
      <c r="D1326" t="s">
        <v>90</v>
      </c>
      <c r="E1326" t="s">
        <v>206</v>
      </c>
      <c r="F1326" s="1">
        <v>839</v>
      </c>
    </row>
    <row r="1327" spans="1:6" x14ac:dyDescent="0.3">
      <c r="A1327" t="str">
        <f>_xlfn.XLOOKUP(ColombiaClientes[[#This Row],[Client]],VpsClientes[Client],VpsClientes[VP],"",0)</f>
        <v>Jhonatan Izquierdo Rico</v>
      </c>
      <c r="B1327" t="s">
        <v>157</v>
      </c>
      <c r="C1327" t="s">
        <v>205</v>
      </c>
      <c r="D1327" t="s">
        <v>90</v>
      </c>
      <c r="E1327" t="s">
        <v>206</v>
      </c>
      <c r="F1327" s="1">
        <v>839</v>
      </c>
    </row>
    <row r="1328" spans="1:6" x14ac:dyDescent="0.3">
      <c r="A1328" t="str">
        <f>_xlfn.XLOOKUP(ColombiaClientes[[#This Row],[Client]],VpsClientes[Client],VpsClientes[VP],"",0)</f>
        <v>Maria Forero Jara</v>
      </c>
      <c r="B1328" t="s">
        <v>179</v>
      </c>
      <c r="C1328" t="s">
        <v>205</v>
      </c>
      <c r="D1328" t="s">
        <v>90</v>
      </c>
      <c r="E1328" t="s">
        <v>206</v>
      </c>
      <c r="F1328" s="1">
        <v>826</v>
      </c>
    </row>
    <row r="1329" spans="1:6" x14ac:dyDescent="0.3">
      <c r="A1329" t="str">
        <f>_xlfn.XLOOKUP(ColombiaClientes[[#This Row],[Client]],VpsClientes[Client],VpsClientes[VP],"",0)</f>
        <v>Hector Muraira Garza</v>
      </c>
      <c r="B1329" t="s">
        <v>154</v>
      </c>
      <c r="C1329" t="s">
        <v>205</v>
      </c>
      <c r="D1329" t="s">
        <v>90</v>
      </c>
      <c r="E1329" t="s">
        <v>206</v>
      </c>
      <c r="F1329" s="1">
        <v>794</v>
      </c>
    </row>
    <row r="1330" spans="1:6" x14ac:dyDescent="0.3">
      <c r="A1330" t="str">
        <f>_xlfn.XLOOKUP(ColombiaClientes[[#This Row],[Client]],VpsClientes[Client],VpsClientes[VP],"",0)</f>
        <v>Jhonatan Izquierdo Rico</v>
      </c>
      <c r="B1330" t="s">
        <v>129</v>
      </c>
      <c r="C1330" t="s">
        <v>205</v>
      </c>
      <c r="D1330" t="s">
        <v>90</v>
      </c>
      <c r="E1330" t="s">
        <v>206</v>
      </c>
      <c r="F1330" s="1">
        <v>654</v>
      </c>
    </row>
    <row r="1331" spans="1:6" x14ac:dyDescent="0.3">
      <c r="A1331" t="str">
        <f>_xlfn.XLOOKUP(ColombiaClientes[[#This Row],[Client]],VpsClientes[Client],VpsClientes[VP],"",0)</f>
        <v>Carlos Beltran Hernandez</v>
      </c>
      <c r="B1331" t="s">
        <v>158</v>
      </c>
      <c r="C1331" t="s">
        <v>205</v>
      </c>
      <c r="D1331" t="s">
        <v>90</v>
      </c>
      <c r="E1331" t="s">
        <v>206</v>
      </c>
      <c r="F1331" s="1">
        <v>596</v>
      </c>
    </row>
    <row r="1332" spans="1:6" x14ac:dyDescent="0.3">
      <c r="A1332" t="str">
        <f>_xlfn.XLOOKUP(ColombiaClientes[[#This Row],[Client]],VpsClientes[Client],VpsClientes[VP],"",0)</f>
        <v>Juan Granados Castillo</v>
      </c>
      <c r="B1332" t="s">
        <v>142</v>
      </c>
      <c r="C1332" t="s">
        <v>205</v>
      </c>
      <c r="D1332" t="s">
        <v>90</v>
      </c>
      <c r="E1332" t="s">
        <v>206</v>
      </c>
      <c r="F1332" s="1">
        <v>595</v>
      </c>
    </row>
    <row r="1333" spans="1:6" x14ac:dyDescent="0.3">
      <c r="A1333" t="str">
        <f>_xlfn.XLOOKUP(ColombiaClientes[[#This Row],[Client]],VpsClientes[Client],VpsClientes[VP],"",0)</f>
        <v>Martha Guzman Arango</v>
      </c>
      <c r="B1333" t="s">
        <v>153</v>
      </c>
      <c r="C1333" t="s">
        <v>205</v>
      </c>
      <c r="D1333" t="s">
        <v>90</v>
      </c>
      <c r="E1333" t="s">
        <v>206</v>
      </c>
      <c r="F1333" s="1">
        <v>587</v>
      </c>
    </row>
    <row r="1334" spans="1:6" x14ac:dyDescent="0.3">
      <c r="A1334" t="str">
        <f>_xlfn.XLOOKUP(ColombiaClientes[[#This Row],[Client]],VpsClientes[Client],VpsClientes[VP],"",0)</f>
        <v>Moises Saavedra Garcia</v>
      </c>
      <c r="B1334" t="s">
        <v>190</v>
      </c>
      <c r="C1334" t="s">
        <v>205</v>
      </c>
      <c r="D1334" t="s">
        <v>90</v>
      </c>
      <c r="E1334" t="s">
        <v>206</v>
      </c>
      <c r="F1334" s="1">
        <v>558</v>
      </c>
    </row>
    <row r="1335" spans="1:6" x14ac:dyDescent="0.3">
      <c r="A1335" t="str">
        <f>_xlfn.XLOOKUP(ColombiaClientes[[#This Row],[Client]],VpsClientes[Client],VpsClientes[VP],"",0)</f>
        <v>Martha Guzman Arango</v>
      </c>
      <c r="B1335" t="s">
        <v>145</v>
      </c>
      <c r="C1335" t="s">
        <v>205</v>
      </c>
      <c r="D1335" t="s">
        <v>90</v>
      </c>
      <c r="E1335" t="s">
        <v>206</v>
      </c>
      <c r="F1335" s="1">
        <v>510</v>
      </c>
    </row>
    <row r="1336" spans="1:6" x14ac:dyDescent="0.3">
      <c r="A1336" t="str">
        <f>_xlfn.XLOOKUP(ColombiaClientes[[#This Row],[Client]],VpsClientes[Client],VpsClientes[VP],"",0)</f>
        <v>Maria Forero Jara</v>
      </c>
      <c r="B1336" t="s">
        <v>182</v>
      </c>
      <c r="C1336" t="s">
        <v>205</v>
      </c>
      <c r="D1336" t="s">
        <v>90</v>
      </c>
      <c r="E1336" t="s">
        <v>206</v>
      </c>
      <c r="F1336" s="1">
        <v>505</v>
      </c>
    </row>
    <row r="1337" spans="1:6" x14ac:dyDescent="0.3">
      <c r="A1337" t="str">
        <f>_xlfn.XLOOKUP(ColombiaClientes[[#This Row],[Client]],VpsClientes[Client],VpsClientes[VP],"",0)</f>
        <v>Martha Guzman Arango</v>
      </c>
      <c r="B1337" t="s">
        <v>170</v>
      </c>
      <c r="C1337" t="s">
        <v>205</v>
      </c>
      <c r="D1337" t="s">
        <v>90</v>
      </c>
      <c r="E1337" t="s">
        <v>206</v>
      </c>
      <c r="F1337" s="1">
        <v>446</v>
      </c>
    </row>
    <row r="1338" spans="1:6" x14ac:dyDescent="0.3">
      <c r="A1338" t="str">
        <f>_xlfn.XLOOKUP(ColombiaClientes[[#This Row],[Client]],VpsClientes[Client],VpsClientes[VP],"",0)</f>
        <v>Martha Guzman Arango</v>
      </c>
      <c r="B1338" t="s">
        <v>185</v>
      </c>
      <c r="C1338" t="s">
        <v>205</v>
      </c>
      <c r="D1338" t="s">
        <v>90</v>
      </c>
      <c r="E1338" t="s">
        <v>206</v>
      </c>
      <c r="F1338" s="1">
        <v>424</v>
      </c>
    </row>
    <row r="1339" spans="1:6" x14ac:dyDescent="0.3">
      <c r="A1339" t="str">
        <f>_xlfn.XLOOKUP(ColombiaClientes[[#This Row],[Client]],VpsClientes[Client],VpsClientes[VP],"",0)</f>
        <v>Martha Guzman Arango</v>
      </c>
      <c r="B1339" t="s">
        <v>171</v>
      </c>
      <c r="C1339" t="s">
        <v>205</v>
      </c>
      <c r="D1339" t="s">
        <v>90</v>
      </c>
      <c r="E1339" t="s">
        <v>206</v>
      </c>
      <c r="F1339" s="1">
        <v>397</v>
      </c>
    </row>
    <row r="1340" spans="1:6" x14ac:dyDescent="0.3">
      <c r="A1340" t="str">
        <f>_xlfn.XLOOKUP(ColombiaClientes[[#This Row],[Client]],VpsClientes[Client],VpsClientes[VP],"",0)</f>
        <v>Martha Guzman Arango</v>
      </c>
      <c r="B1340" t="s">
        <v>148</v>
      </c>
      <c r="C1340" t="s">
        <v>205</v>
      </c>
      <c r="D1340" t="s">
        <v>90</v>
      </c>
      <c r="E1340" t="s">
        <v>206</v>
      </c>
      <c r="F1340" s="1">
        <v>386</v>
      </c>
    </row>
    <row r="1341" spans="1:6" x14ac:dyDescent="0.3">
      <c r="A1341" t="str">
        <f>_xlfn.XLOOKUP(ColombiaClientes[[#This Row],[Client]],VpsClientes[Client],VpsClientes[VP],"",0)</f>
        <v>Maria Forero Jara</v>
      </c>
      <c r="B1341" t="s">
        <v>163</v>
      </c>
      <c r="C1341" t="s">
        <v>205</v>
      </c>
      <c r="D1341" t="s">
        <v>90</v>
      </c>
      <c r="E1341" t="s">
        <v>206</v>
      </c>
      <c r="F1341" s="1">
        <v>337</v>
      </c>
    </row>
    <row r="1342" spans="1:6" x14ac:dyDescent="0.3">
      <c r="A1342" t="str">
        <f>_xlfn.XLOOKUP(ColombiaClientes[[#This Row],[Client]],VpsClientes[Client],VpsClientes[VP],"",0)</f>
        <v>Martha Guzman Arango</v>
      </c>
      <c r="B1342" t="s">
        <v>169</v>
      </c>
      <c r="C1342" t="s">
        <v>205</v>
      </c>
      <c r="D1342" t="s">
        <v>90</v>
      </c>
      <c r="E1342" t="s">
        <v>206</v>
      </c>
      <c r="F1342" s="1">
        <v>323</v>
      </c>
    </row>
    <row r="1343" spans="1:6" x14ac:dyDescent="0.3">
      <c r="A1343" t="str">
        <f>_xlfn.XLOOKUP(ColombiaClientes[[#This Row],[Client]],VpsClientes[Client],VpsClientes[VP],"",0)</f>
        <v>Jhonatan Izquierdo Rico</v>
      </c>
      <c r="B1343" t="s">
        <v>197</v>
      </c>
      <c r="C1343" t="s">
        <v>205</v>
      </c>
      <c r="D1343" t="s">
        <v>90</v>
      </c>
      <c r="E1343" t="s">
        <v>206</v>
      </c>
      <c r="F1343" s="1">
        <v>317</v>
      </c>
    </row>
    <row r="1344" spans="1:6" x14ac:dyDescent="0.3">
      <c r="A1344" t="str">
        <f>_xlfn.XLOOKUP(ColombiaClientes[[#This Row],[Client]],VpsClientes[Client],VpsClientes[VP],"",0)</f>
        <v>Martha Guzman Arango</v>
      </c>
      <c r="B1344" t="s">
        <v>186</v>
      </c>
      <c r="C1344" t="s">
        <v>205</v>
      </c>
      <c r="D1344" t="s">
        <v>90</v>
      </c>
      <c r="E1344" t="s">
        <v>206</v>
      </c>
      <c r="F1344" s="1">
        <v>268</v>
      </c>
    </row>
    <row r="1345" spans="1:6" x14ac:dyDescent="0.3">
      <c r="A1345" t="str">
        <f>_xlfn.XLOOKUP(ColombiaClientes[[#This Row],[Client]],VpsClientes[Client],VpsClientes[VP],"",0)</f>
        <v>Martha Guzman Arango</v>
      </c>
      <c r="B1345" t="s">
        <v>131</v>
      </c>
      <c r="C1345" t="s">
        <v>205</v>
      </c>
      <c r="D1345" t="s">
        <v>90</v>
      </c>
      <c r="E1345" t="s">
        <v>206</v>
      </c>
      <c r="F1345" s="1">
        <v>262</v>
      </c>
    </row>
    <row r="1346" spans="1:6" x14ac:dyDescent="0.3">
      <c r="A1346" t="str">
        <f>_xlfn.XLOOKUP(ColombiaClientes[[#This Row],[Client]],VpsClientes[Client],VpsClientes[VP],"",0)</f>
        <v>Hector Muraira Garza</v>
      </c>
      <c r="B1346" t="s">
        <v>140</v>
      </c>
      <c r="C1346" t="s">
        <v>205</v>
      </c>
      <c r="D1346" t="s">
        <v>90</v>
      </c>
      <c r="E1346" t="s">
        <v>206</v>
      </c>
      <c r="F1346" s="1">
        <v>261</v>
      </c>
    </row>
    <row r="1347" spans="1:6" x14ac:dyDescent="0.3">
      <c r="A1347" t="str">
        <f>_xlfn.XLOOKUP(ColombiaClientes[[#This Row],[Client]],VpsClientes[Client],VpsClientes[VP],"",0)</f>
        <v>Moises Saavedra Garcia</v>
      </c>
      <c r="B1347" t="s">
        <v>110</v>
      </c>
      <c r="C1347" t="s">
        <v>205</v>
      </c>
      <c r="D1347" t="s">
        <v>90</v>
      </c>
      <c r="E1347" t="s">
        <v>206</v>
      </c>
      <c r="F1347" s="1">
        <v>259</v>
      </c>
    </row>
    <row r="1348" spans="1:6" x14ac:dyDescent="0.3">
      <c r="A1348" t="str">
        <f>_xlfn.XLOOKUP(ColombiaClientes[[#This Row],[Client]],VpsClientes[Client],VpsClientes[VP],"",0)</f>
        <v>Maria Forero Jara</v>
      </c>
      <c r="B1348" t="s">
        <v>144</v>
      </c>
      <c r="C1348" t="s">
        <v>205</v>
      </c>
      <c r="D1348" t="s">
        <v>90</v>
      </c>
      <c r="E1348" t="s">
        <v>206</v>
      </c>
      <c r="F1348" s="1">
        <v>218</v>
      </c>
    </row>
    <row r="1349" spans="1:6" x14ac:dyDescent="0.3">
      <c r="A1349" t="str">
        <f>_xlfn.XLOOKUP(ColombiaClientes[[#This Row],[Client]],VpsClientes[Client],VpsClientes[VP],"",0)</f>
        <v>Martha Guzman Arango</v>
      </c>
      <c r="B1349" t="s">
        <v>165</v>
      </c>
      <c r="C1349" t="s">
        <v>205</v>
      </c>
      <c r="D1349" t="s">
        <v>90</v>
      </c>
      <c r="E1349" t="s">
        <v>206</v>
      </c>
      <c r="F1349" s="1">
        <v>215</v>
      </c>
    </row>
    <row r="1350" spans="1:6" x14ac:dyDescent="0.3">
      <c r="A1350" t="str">
        <f>_xlfn.XLOOKUP(ColombiaClientes[[#This Row],[Client]],VpsClientes[Client],VpsClientes[VP],"",0)</f>
        <v>Moises Saavedra Garcia</v>
      </c>
      <c r="B1350" t="s">
        <v>187</v>
      </c>
      <c r="C1350" t="s">
        <v>205</v>
      </c>
      <c r="D1350" t="s">
        <v>90</v>
      </c>
      <c r="E1350" t="s">
        <v>206</v>
      </c>
      <c r="F1350" s="1">
        <v>178</v>
      </c>
    </row>
    <row r="1351" spans="1:6" x14ac:dyDescent="0.3">
      <c r="A1351" t="str">
        <f>_xlfn.XLOOKUP(ColombiaClientes[[#This Row],[Client]],VpsClientes[Client],VpsClientes[VP],"",0)</f>
        <v>Martha Guzman Arango</v>
      </c>
      <c r="B1351" t="s">
        <v>174</v>
      </c>
      <c r="C1351" t="s">
        <v>205</v>
      </c>
      <c r="D1351" t="s">
        <v>90</v>
      </c>
      <c r="E1351" t="s">
        <v>206</v>
      </c>
      <c r="F1351" s="1">
        <v>160</v>
      </c>
    </row>
    <row r="1352" spans="1:6" x14ac:dyDescent="0.3">
      <c r="A1352" t="str">
        <f>_xlfn.XLOOKUP(ColombiaClientes[[#This Row],[Client]],VpsClientes[Client],VpsClientes[VP],"",0)</f>
        <v>Martha Guzman Arango</v>
      </c>
      <c r="B1352" t="s">
        <v>155</v>
      </c>
      <c r="C1352" t="s">
        <v>205</v>
      </c>
      <c r="D1352" t="s">
        <v>90</v>
      </c>
      <c r="E1352" t="s">
        <v>206</v>
      </c>
      <c r="F1352" s="1">
        <v>131</v>
      </c>
    </row>
    <row r="1353" spans="1:6" x14ac:dyDescent="0.3">
      <c r="A1353" t="str">
        <f>_xlfn.XLOOKUP(ColombiaClientes[[#This Row],[Client]],VpsClientes[Client],VpsClientes[VP],"",0)</f>
        <v>Maria Forero Jara</v>
      </c>
      <c r="B1353" t="s">
        <v>161</v>
      </c>
      <c r="C1353" t="s">
        <v>205</v>
      </c>
      <c r="D1353" t="s">
        <v>90</v>
      </c>
      <c r="E1353" t="s">
        <v>206</v>
      </c>
      <c r="F1353" s="1">
        <v>111</v>
      </c>
    </row>
    <row r="1354" spans="1:6" x14ac:dyDescent="0.3">
      <c r="A1354" t="str">
        <f>_xlfn.XLOOKUP(ColombiaClientes[[#This Row],[Client]],VpsClientes[Client],VpsClientes[VP],"",0)</f>
        <v>Hector Muraira Garza</v>
      </c>
      <c r="B1354" t="s">
        <v>164</v>
      </c>
      <c r="C1354" t="s">
        <v>205</v>
      </c>
      <c r="D1354" t="s">
        <v>90</v>
      </c>
      <c r="E1354" t="s">
        <v>206</v>
      </c>
      <c r="F1354" s="1">
        <v>88</v>
      </c>
    </row>
    <row r="1355" spans="1:6" x14ac:dyDescent="0.3">
      <c r="A1355" t="str">
        <f>_xlfn.XLOOKUP(ColombiaClientes[[#This Row],[Client]],VpsClientes[Client],VpsClientes[VP],"",0)</f>
        <v>Martha Guzman Arango</v>
      </c>
      <c r="B1355" t="s">
        <v>183</v>
      </c>
      <c r="C1355" t="s">
        <v>205</v>
      </c>
      <c r="D1355" t="s">
        <v>90</v>
      </c>
      <c r="E1355" t="s">
        <v>206</v>
      </c>
      <c r="F1355" s="1">
        <v>79</v>
      </c>
    </row>
    <row r="1356" spans="1:6" x14ac:dyDescent="0.3">
      <c r="A1356" t="str">
        <f>_xlfn.XLOOKUP(ColombiaClientes[[#This Row],[Client]],VpsClientes[Client],VpsClientes[VP],"",0)</f>
        <v>Maria Forero Jara</v>
      </c>
      <c r="B1356" t="s">
        <v>198</v>
      </c>
      <c r="C1356" t="s">
        <v>205</v>
      </c>
      <c r="D1356" t="s">
        <v>90</v>
      </c>
      <c r="E1356" t="s">
        <v>206</v>
      </c>
      <c r="F1356" s="1">
        <v>76</v>
      </c>
    </row>
    <row r="1357" spans="1:6" x14ac:dyDescent="0.3">
      <c r="A1357" t="str">
        <f>_xlfn.XLOOKUP(ColombiaClientes[[#This Row],[Client]],VpsClientes[Client],VpsClientes[VP],"",0)</f>
        <v>Jhonatan Izquierdo Rico</v>
      </c>
      <c r="B1357" t="s">
        <v>159</v>
      </c>
      <c r="C1357" t="s">
        <v>205</v>
      </c>
      <c r="D1357" t="s">
        <v>90</v>
      </c>
      <c r="E1357" t="s">
        <v>206</v>
      </c>
      <c r="F1357" s="1">
        <v>73</v>
      </c>
    </row>
    <row r="1358" spans="1:6" x14ac:dyDescent="0.3">
      <c r="A1358" t="str">
        <f>_xlfn.XLOOKUP(ColombiaClientes[[#This Row],[Client]],VpsClientes[Client],VpsClientes[VP],"",0)</f>
        <v>Carlos Beltran Hernandez</v>
      </c>
      <c r="B1358" t="s">
        <v>151</v>
      </c>
      <c r="C1358" t="s">
        <v>205</v>
      </c>
      <c r="D1358" t="s">
        <v>90</v>
      </c>
      <c r="E1358" t="s">
        <v>206</v>
      </c>
      <c r="F1358" s="1">
        <v>73</v>
      </c>
    </row>
    <row r="1359" spans="1:6" x14ac:dyDescent="0.3">
      <c r="A1359" t="str">
        <f>_xlfn.XLOOKUP(ColombiaClientes[[#This Row],[Client]],VpsClientes[Client],VpsClientes[VP],"",0)</f>
        <v>Jhonatan Izquierdo Rico</v>
      </c>
      <c r="B1359" t="s">
        <v>196</v>
      </c>
      <c r="C1359" t="s">
        <v>205</v>
      </c>
      <c r="D1359" t="s">
        <v>90</v>
      </c>
      <c r="E1359" t="s">
        <v>206</v>
      </c>
      <c r="F1359" s="1">
        <v>70</v>
      </c>
    </row>
    <row r="1360" spans="1:6" x14ac:dyDescent="0.3">
      <c r="A1360" t="str">
        <f>_xlfn.XLOOKUP(ColombiaClientes[[#This Row],[Client]],VpsClientes[Client],VpsClientes[VP],"",0)</f>
        <v>Jhonatan Izquierdo Rico</v>
      </c>
      <c r="B1360" t="s">
        <v>200</v>
      </c>
      <c r="C1360" t="s">
        <v>205</v>
      </c>
      <c r="D1360" t="s">
        <v>90</v>
      </c>
      <c r="E1360" t="s">
        <v>206</v>
      </c>
      <c r="F1360" s="1">
        <v>68</v>
      </c>
    </row>
    <row r="1361" spans="1:6" x14ac:dyDescent="0.3">
      <c r="A1361" t="str">
        <f>_xlfn.XLOOKUP(ColombiaClientes[[#This Row],[Client]],VpsClientes[Client],VpsClientes[VP],"",0)</f>
        <v>Martha Guzman Arango</v>
      </c>
      <c r="B1361" t="s">
        <v>176</v>
      </c>
      <c r="C1361" t="s">
        <v>205</v>
      </c>
      <c r="D1361" t="s">
        <v>90</v>
      </c>
      <c r="E1361" t="s">
        <v>206</v>
      </c>
      <c r="F1361" s="1">
        <v>64</v>
      </c>
    </row>
    <row r="1362" spans="1:6" x14ac:dyDescent="0.3">
      <c r="A1362" t="str">
        <f>_xlfn.XLOOKUP(ColombiaClientes[[#This Row],[Client]],VpsClientes[Client],VpsClientes[VP],"",0)</f>
        <v>Juan Granados Castillo</v>
      </c>
      <c r="B1362" t="s">
        <v>149</v>
      </c>
      <c r="C1362" t="s">
        <v>205</v>
      </c>
      <c r="D1362" t="s">
        <v>90</v>
      </c>
      <c r="E1362" t="s">
        <v>206</v>
      </c>
      <c r="F1362" s="1">
        <v>59</v>
      </c>
    </row>
    <row r="1363" spans="1:6" x14ac:dyDescent="0.3">
      <c r="A1363" t="str">
        <f>_xlfn.XLOOKUP(ColombiaClientes[[#This Row],[Client]],VpsClientes[Client],VpsClientes[VP],"",0)</f>
        <v>Moises Saavedra Garcia</v>
      </c>
      <c r="B1363" t="s">
        <v>175</v>
      </c>
      <c r="C1363" t="s">
        <v>205</v>
      </c>
      <c r="D1363" t="s">
        <v>90</v>
      </c>
      <c r="E1363" t="s">
        <v>206</v>
      </c>
      <c r="F1363" s="1">
        <v>57</v>
      </c>
    </row>
    <row r="1364" spans="1:6" x14ac:dyDescent="0.3">
      <c r="A1364">
        <f>_xlfn.XLOOKUP(ColombiaClientes[[#This Row],[Client]],VpsClientes[Client],VpsClientes[VP],"",0)</f>
        <v>0</v>
      </c>
      <c r="B1364" t="s">
        <v>141</v>
      </c>
      <c r="C1364" t="s">
        <v>92</v>
      </c>
      <c r="D1364" t="s">
        <v>90</v>
      </c>
      <c r="E1364" t="s">
        <v>206</v>
      </c>
      <c r="F1364" s="1">
        <v>1603</v>
      </c>
    </row>
    <row r="1365" spans="1:6" x14ac:dyDescent="0.3">
      <c r="A1365">
        <f>_xlfn.XLOOKUP(ColombiaClientes[[#This Row],[Client]],VpsClientes[Client],VpsClientes[VP],"",0)</f>
        <v>0</v>
      </c>
      <c r="B1365" t="s">
        <v>141</v>
      </c>
      <c r="C1365" t="s">
        <v>191</v>
      </c>
      <c r="D1365" t="s">
        <v>90</v>
      </c>
      <c r="E1365" t="s">
        <v>206</v>
      </c>
      <c r="F1365" s="1">
        <v>1318</v>
      </c>
    </row>
    <row r="1366" spans="1:6" x14ac:dyDescent="0.3">
      <c r="A1366" t="str">
        <f>_xlfn.XLOOKUP(ColombiaClientes[[#This Row],[Client]],VpsClientes[Client],VpsClientes[VP],"",0)</f>
        <v>Hector Muraira Garza</v>
      </c>
      <c r="B1366" t="s">
        <v>167</v>
      </c>
      <c r="C1366" t="s">
        <v>205</v>
      </c>
      <c r="D1366" t="s">
        <v>90</v>
      </c>
      <c r="E1366" t="s">
        <v>206</v>
      </c>
      <c r="F1366" s="1">
        <v>21</v>
      </c>
    </row>
    <row r="1367" spans="1:6" x14ac:dyDescent="0.3">
      <c r="A1367" t="str">
        <f>_xlfn.XLOOKUP(ColombiaClientes[[#This Row],[Client]],VpsClientes[Client],VpsClientes[VP],"",0)</f>
        <v>Martha Guzman Arango</v>
      </c>
      <c r="B1367" t="s">
        <v>188</v>
      </c>
      <c r="C1367" t="s">
        <v>205</v>
      </c>
      <c r="D1367" t="s">
        <v>90</v>
      </c>
      <c r="E1367" t="s">
        <v>206</v>
      </c>
      <c r="F1367" s="1">
        <v>15</v>
      </c>
    </row>
    <row r="1368" spans="1:6" x14ac:dyDescent="0.3">
      <c r="A1368" t="str">
        <f>_xlfn.XLOOKUP(ColombiaClientes[[#This Row],[Client]],VpsClientes[Client],VpsClientes[VP],"",0)</f>
        <v>Martha Guzman Arango</v>
      </c>
      <c r="B1368" t="s">
        <v>189</v>
      </c>
      <c r="C1368" t="s">
        <v>205</v>
      </c>
      <c r="D1368" t="s">
        <v>90</v>
      </c>
      <c r="E1368" t="s">
        <v>206</v>
      </c>
      <c r="F1368" s="1">
        <v>13</v>
      </c>
    </row>
    <row r="1369" spans="1:6" x14ac:dyDescent="0.3">
      <c r="A1369" t="str">
        <f>_xlfn.XLOOKUP(ColombiaClientes[[#This Row],[Client]],VpsClientes[Client],VpsClientes[VP],"",0)</f>
        <v>Martha Guzman Arango</v>
      </c>
      <c r="B1369" t="s">
        <v>180</v>
      </c>
      <c r="C1369" t="s">
        <v>205</v>
      </c>
      <c r="D1369" t="s">
        <v>90</v>
      </c>
      <c r="E1369" t="s">
        <v>206</v>
      </c>
      <c r="F1369" s="1">
        <v>1</v>
      </c>
    </row>
    <row r="1370" spans="1:6" x14ac:dyDescent="0.3">
      <c r="A1370">
        <f>_xlfn.XLOOKUP(ColombiaClientes[[#This Row],[Client]],VpsClientes[Client],VpsClientes[VP],"",0)</f>
        <v>0</v>
      </c>
      <c r="B1370" t="s">
        <v>141</v>
      </c>
      <c r="C1370" t="s">
        <v>192</v>
      </c>
      <c r="D1370" t="s">
        <v>90</v>
      </c>
      <c r="E1370" t="s">
        <v>206</v>
      </c>
      <c r="F1370" s="1">
        <v>476</v>
      </c>
    </row>
    <row r="1371" spans="1:6" x14ac:dyDescent="0.3">
      <c r="A1371" t="str">
        <f>_xlfn.XLOOKUP(ColombiaClientes[[#This Row],[Client]],VpsClientes[Client],VpsClientes[VP],"",0)</f>
        <v>Carlos Beltran Hernandez</v>
      </c>
      <c r="B1371" t="s">
        <v>93</v>
      </c>
      <c r="C1371" t="s">
        <v>92</v>
      </c>
      <c r="D1371" t="s">
        <v>219</v>
      </c>
      <c r="E1371" t="s">
        <v>91</v>
      </c>
      <c r="F1371" s="1">
        <v>37448</v>
      </c>
    </row>
    <row r="1372" spans="1:6" x14ac:dyDescent="0.3">
      <c r="A1372" t="str">
        <f>_xlfn.XLOOKUP(ColombiaClientes[[#This Row],[Client]],VpsClientes[Client],VpsClientes[VP],"",0)</f>
        <v>Carlos Beltran Hernandez</v>
      </c>
      <c r="B1372" t="s">
        <v>94</v>
      </c>
      <c r="C1372" t="s">
        <v>92</v>
      </c>
      <c r="D1372" t="s">
        <v>219</v>
      </c>
      <c r="E1372" t="s">
        <v>91</v>
      </c>
      <c r="F1372" s="1">
        <v>25492</v>
      </c>
    </row>
    <row r="1373" spans="1:6" x14ac:dyDescent="0.3">
      <c r="A1373" t="str">
        <f>_xlfn.XLOOKUP(ColombiaClientes[[#This Row],[Client]],VpsClientes[Client],VpsClientes[VP],"",0)</f>
        <v>Jhonatan Izquierdo Rico</v>
      </c>
      <c r="B1373" t="s">
        <v>104</v>
      </c>
      <c r="C1373" t="s">
        <v>92</v>
      </c>
      <c r="D1373" t="s">
        <v>219</v>
      </c>
      <c r="E1373" t="s">
        <v>91</v>
      </c>
      <c r="F1373" s="1">
        <v>19614</v>
      </c>
    </row>
    <row r="1374" spans="1:6" x14ac:dyDescent="0.3">
      <c r="A1374" t="str">
        <f>_xlfn.XLOOKUP(ColombiaClientes[[#This Row],[Client]],VpsClientes[Client],VpsClientes[VP],"",0)</f>
        <v>Martha Guzman Arango</v>
      </c>
      <c r="B1374" t="s">
        <v>96</v>
      </c>
      <c r="C1374" t="s">
        <v>92</v>
      </c>
      <c r="D1374" t="s">
        <v>219</v>
      </c>
      <c r="E1374" t="s">
        <v>91</v>
      </c>
      <c r="F1374" s="1">
        <v>14680</v>
      </c>
    </row>
    <row r="1375" spans="1:6" x14ac:dyDescent="0.3">
      <c r="A1375" t="str">
        <f>_xlfn.XLOOKUP(ColombiaClientes[[#This Row],[Client]],VpsClientes[Client],VpsClientes[VP],"",0)</f>
        <v>Moises Saavedra Garcia</v>
      </c>
      <c r="B1375" t="s">
        <v>99</v>
      </c>
      <c r="C1375" t="s">
        <v>92</v>
      </c>
      <c r="D1375" t="s">
        <v>219</v>
      </c>
      <c r="E1375" t="s">
        <v>91</v>
      </c>
      <c r="F1375" s="1">
        <v>9043</v>
      </c>
    </row>
    <row r="1376" spans="1:6" x14ac:dyDescent="0.3">
      <c r="A1376" t="str">
        <f>_xlfn.XLOOKUP(ColombiaClientes[[#This Row],[Client]],VpsClientes[Client],VpsClientes[VP],"",0)</f>
        <v>Martha Guzman Arango</v>
      </c>
      <c r="B1376" t="s">
        <v>98</v>
      </c>
      <c r="C1376" t="s">
        <v>92</v>
      </c>
      <c r="D1376" t="s">
        <v>219</v>
      </c>
      <c r="E1376" t="s">
        <v>91</v>
      </c>
      <c r="F1376" s="1">
        <v>8127</v>
      </c>
    </row>
    <row r="1377" spans="1:6" x14ac:dyDescent="0.3">
      <c r="A1377" t="str">
        <f>_xlfn.XLOOKUP(ColombiaClientes[[#This Row],[Client]],VpsClientes[Client],VpsClientes[VP],"",0)</f>
        <v>Maria Forero Jara</v>
      </c>
      <c r="B1377" t="s">
        <v>101</v>
      </c>
      <c r="C1377" t="s">
        <v>92</v>
      </c>
      <c r="D1377" t="s">
        <v>219</v>
      </c>
      <c r="E1377" t="s">
        <v>91</v>
      </c>
      <c r="F1377" s="1">
        <v>6992</v>
      </c>
    </row>
    <row r="1378" spans="1:6" x14ac:dyDescent="0.3">
      <c r="A1378" t="str">
        <f>_xlfn.XLOOKUP(ColombiaClientes[[#This Row],[Client]],VpsClientes[Client],VpsClientes[VP],"",0)</f>
        <v>Maria Forero Jara</v>
      </c>
      <c r="B1378" t="s">
        <v>123</v>
      </c>
      <c r="C1378" t="s">
        <v>92</v>
      </c>
      <c r="D1378" t="s">
        <v>219</v>
      </c>
      <c r="E1378" t="s">
        <v>91</v>
      </c>
      <c r="F1378" s="1">
        <v>5962</v>
      </c>
    </row>
    <row r="1379" spans="1:6" x14ac:dyDescent="0.3">
      <c r="A1379" t="str">
        <f>_xlfn.XLOOKUP(ColombiaClientes[[#This Row],[Client]],VpsClientes[Client],VpsClientes[VP],"",0)</f>
        <v>Carlos Castillo Figueroa</v>
      </c>
      <c r="B1379" t="s">
        <v>105</v>
      </c>
      <c r="C1379" t="s">
        <v>92</v>
      </c>
      <c r="D1379" t="s">
        <v>219</v>
      </c>
      <c r="E1379" t="s">
        <v>91</v>
      </c>
      <c r="F1379" s="1">
        <v>5698</v>
      </c>
    </row>
    <row r="1380" spans="1:6" x14ac:dyDescent="0.3">
      <c r="A1380" t="str">
        <f>_xlfn.XLOOKUP(ColombiaClientes[[#This Row],[Client]],VpsClientes[Client],VpsClientes[VP],"",0)</f>
        <v>Carlos Beltran Hernandez</v>
      </c>
      <c r="B1380" t="s">
        <v>102</v>
      </c>
      <c r="C1380" t="s">
        <v>92</v>
      </c>
      <c r="D1380" t="s">
        <v>219</v>
      </c>
      <c r="E1380" t="s">
        <v>91</v>
      </c>
      <c r="F1380" s="1">
        <v>5551</v>
      </c>
    </row>
    <row r="1381" spans="1:6" x14ac:dyDescent="0.3">
      <c r="A1381" t="str">
        <f>_xlfn.XLOOKUP(ColombiaClientes[[#This Row],[Client]],VpsClientes[Client],VpsClientes[VP],"",0)</f>
        <v>Ludy Torres Benitez</v>
      </c>
      <c r="B1381" t="s">
        <v>95</v>
      </c>
      <c r="C1381" t="s">
        <v>92</v>
      </c>
      <c r="D1381" t="s">
        <v>219</v>
      </c>
      <c r="E1381" t="s">
        <v>91</v>
      </c>
      <c r="F1381" s="1">
        <v>4784</v>
      </c>
    </row>
    <row r="1382" spans="1:6" x14ac:dyDescent="0.3">
      <c r="A1382" t="str">
        <f>_xlfn.XLOOKUP(ColombiaClientes[[#This Row],[Client]],VpsClientes[Client],VpsClientes[VP],"",0)</f>
        <v>Jhonatan Izquierdo Rico</v>
      </c>
      <c r="B1382" t="s">
        <v>112</v>
      </c>
      <c r="C1382" t="s">
        <v>92</v>
      </c>
      <c r="D1382" t="s">
        <v>219</v>
      </c>
      <c r="E1382" t="s">
        <v>91</v>
      </c>
      <c r="F1382" s="1">
        <v>4354</v>
      </c>
    </row>
    <row r="1383" spans="1:6" x14ac:dyDescent="0.3">
      <c r="A1383" t="str">
        <f>_xlfn.XLOOKUP(ColombiaClientes[[#This Row],[Client]],VpsClientes[Client],VpsClientes[VP],"",0)</f>
        <v>Ernesto Rico Zuluaga</v>
      </c>
      <c r="B1383" t="s">
        <v>121</v>
      </c>
      <c r="C1383" t="s">
        <v>92</v>
      </c>
      <c r="D1383" t="s">
        <v>219</v>
      </c>
      <c r="E1383" t="s">
        <v>91</v>
      </c>
      <c r="F1383" s="1">
        <v>4029</v>
      </c>
    </row>
    <row r="1384" spans="1:6" x14ac:dyDescent="0.3">
      <c r="A1384" t="str">
        <f>_xlfn.XLOOKUP(ColombiaClientes[[#This Row],[Client]],VpsClientes[Client],VpsClientes[VP],"",0)</f>
        <v>Martha Guzman Arango</v>
      </c>
      <c r="B1384" t="s">
        <v>100</v>
      </c>
      <c r="C1384" t="s">
        <v>92</v>
      </c>
      <c r="D1384" t="s">
        <v>219</v>
      </c>
      <c r="E1384" t="s">
        <v>91</v>
      </c>
      <c r="F1384" s="1">
        <v>3992</v>
      </c>
    </row>
    <row r="1385" spans="1:6" x14ac:dyDescent="0.3">
      <c r="A1385" t="str">
        <f>_xlfn.XLOOKUP(ColombiaClientes[[#This Row],[Client]],VpsClientes[Client],VpsClientes[VP],"",0)</f>
        <v>Martha Guzman Arango</v>
      </c>
      <c r="B1385" t="s">
        <v>109</v>
      </c>
      <c r="C1385" t="s">
        <v>92</v>
      </c>
      <c r="D1385" t="s">
        <v>219</v>
      </c>
      <c r="E1385" t="s">
        <v>91</v>
      </c>
      <c r="F1385" s="1">
        <v>3917</v>
      </c>
    </row>
    <row r="1386" spans="1:6" x14ac:dyDescent="0.3">
      <c r="A1386" t="str">
        <f>_xlfn.XLOOKUP(ColombiaClientes[[#This Row],[Client]],VpsClientes[Client],VpsClientes[VP],"",0)</f>
        <v>Jhonatan Izquierdo Rico</v>
      </c>
      <c r="B1386" t="s">
        <v>107</v>
      </c>
      <c r="C1386" t="s">
        <v>92</v>
      </c>
      <c r="D1386" t="s">
        <v>219</v>
      </c>
      <c r="E1386" t="s">
        <v>91</v>
      </c>
      <c r="F1386" s="1">
        <v>3879</v>
      </c>
    </row>
    <row r="1387" spans="1:6" x14ac:dyDescent="0.3">
      <c r="A1387" t="str">
        <f>_xlfn.XLOOKUP(ColombiaClientes[[#This Row],[Client]],VpsClientes[Client],VpsClientes[VP],"",0)</f>
        <v>Moises Saavedra Garcia</v>
      </c>
      <c r="B1387" t="s">
        <v>120</v>
      </c>
      <c r="C1387" t="s">
        <v>92</v>
      </c>
      <c r="D1387" t="s">
        <v>219</v>
      </c>
      <c r="E1387" t="s">
        <v>91</v>
      </c>
      <c r="F1387" s="1">
        <v>3083</v>
      </c>
    </row>
    <row r="1388" spans="1:6" x14ac:dyDescent="0.3">
      <c r="A1388" t="str">
        <f>_xlfn.XLOOKUP(ColombiaClientes[[#This Row],[Client]],VpsClientes[Client],VpsClientes[VP],"",0)</f>
        <v>Moises Saavedra Garcia</v>
      </c>
      <c r="B1388" t="s">
        <v>110</v>
      </c>
      <c r="C1388" t="s">
        <v>92</v>
      </c>
      <c r="D1388" t="s">
        <v>219</v>
      </c>
      <c r="E1388" t="s">
        <v>91</v>
      </c>
      <c r="F1388" s="1">
        <v>2781</v>
      </c>
    </row>
    <row r="1389" spans="1:6" x14ac:dyDescent="0.3">
      <c r="A1389" t="str">
        <f>_xlfn.XLOOKUP(ColombiaClientes[[#This Row],[Client]],VpsClientes[Client],VpsClientes[VP],"",0)</f>
        <v>Sandra Romero Zuluaga</v>
      </c>
      <c r="B1389" t="s">
        <v>113</v>
      </c>
      <c r="C1389" t="s">
        <v>92</v>
      </c>
      <c r="D1389" t="s">
        <v>219</v>
      </c>
      <c r="E1389" t="s">
        <v>91</v>
      </c>
      <c r="F1389" s="1">
        <v>2706</v>
      </c>
    </row>
    <row r="1390" spans="1:6" x14ac:dyDescent="0.3">
      <c r="A1390" t="str">
        <f>_xlfn.XLOOKUP(ColombiaClientes[[#This Row],[Client]],VpsClientes[Client],VpsClientes[VP],"",0)</f>
        <v>Maria Forero Jara</v>
      </c>
      <c r="B1390" t="s">
        <v>125</v>
      </c>
      <c r="C1390" t="s">
        <v>92</v>
      </c>
      <c r="D1390" t="s">
        <v>219</v>
      </c>
      <c r="E1390" t="s">
        <v>91</v>
      </c>
      <c r="F1390" s="1">
        <v>2697</v>
      </c>
    </row>
    <row r="1391" spans="1:6" x14ac:dyDescent="0.3">
      <c r="A1391" t="str">
        <f>_xlfn.XLOOKUP(ColombiaClientes[[#This Row],[Client]],VpsClientes[Client],VpsClientes[VP],"",0)</f>
        <v>Jhonatan Izquierdo Rico</v>
      </c>
      <c r="B1391" t="s">
        <v>128</v>
      </c>
      <c r="C1391" t="s">
        <v>92</v>
      </c>
      <c r="D1391" t="s">
        <v>219</v>
      </c>
      <c r="E1391" t="s">
        <v>91</v>
      </c>
      <c r="F1391" s="1">
        <v>2577</v>
      </c>
    </row>
    <row r="1392" spans="1:6" x14ac:dyDescent="0.3">
      <c r="A1392" t="str">
        <f>_xlfn.XLOOKUP(ColombiaClientes[[#This Row],[Client]],VpsClientes[Client],VpsClientes[VP],"",0)</f>
        <v>Martha Guzman Arango</v>
      </c>
      <c r="B1392" t="s">
        <v>103</v>
      </c>
      <c r="C1392" t="s">
        <v>92</v>
      </c>
      <c r="D1392" t="s">
        <v>219</v>
      </c>
      <c r="E1392" t="s">
        <v>91</v>
      </c>
      <c r="F1392" s="1">
        <v>2552</v>
      </c>
    </row>
    <row r="1393" spans="1:6" x14ac:dyDescent="0.3">
      <c r="A1393" t="str">
        <f>_xlfn.XLOOKUP(ColombiaClientes[[#This Row],[Client]],VpsClientes[Client],VpsClientes[VP],"",0)</f>
        <v>Martha Guzman Arango</v>
      </c>
      <c r="B1393" t="s">
        <v>122</v>
      </c>
      <c r="C1393" t="s">
        <v>92</v>
      </c>
      <c r="D1393" t="s">
        <v>219</v>
      </c>
      <c r="E1393" t="s">
        <v>91</v>
      </c>
      <c r="F1393" s="1">
        <v>2503</v>
      </c>
    </row>
    <row r="1394" spans="1:6" x14ac:dyDescent="0.3">
      <c r="A1394" t="str">
        <f>_xlfn.XLOOKUP(ColombiaClientes[[#This Row],[Client]],VpsClientes[Client],VpsClientes[VP],"",0)</f>
        <v>Ernesto Rico Zuluaga</v>
      </c>
      <c r="B1394" t="s">
        <v>116</v>
      </c>
      <c r="C1394" t="s">
        <v>92</v>
      </c>
      <c r="D1394" t="s">
        <v>219</v>
      </c>
      <c r="E1394" t="s">
        <v>91</v>
      </c>
      <c r="F1394" s="1">
        <v>2164</v>
      </c>
    </row>
    <row r="1395" spans="1:6" x14ac:dyDescent="0.3">
      <c r="A1395" t="str">
        <f>_xlfn.XLOOKUP(ColombiaClientes[[#This Row],[Client]],VpsClientes[Client],VpsClientes[VP],"",0)</f>
        <v>Maria Forero Jara</v>
      </c>
      <c r="B1395" t="s">
        <v>108</v>
      </c>
      <c r="C1395" t="s">
        <v>92</v>
      </c>
      <c r="D1395" t="s">
        <v>219</v>
      </c>
      <c r="E1395" t="s">
        <v>91</v>
      </c>
      <c r="F1395" s="1">
        <v>1760</v>
      </c>
    </row>
    <row r="1396" spans="1:6" x14ac:dyDescent="0.3">
      <c r="A1396" t="str">
        <f>_xlfn.XLOOKUP(ColombiaClientes[[#This Row],[Client]],VpsClientes[Client],VpsClientes[VP],"",0)</f>
        <v>Maria Forero Jara</v>
      </c>
      <c r="B1396" t="s">
        <v>106</v>
      </c>
      <c r="C1396" t="s">
        <v>92</v>
      </c>
      <c r="D1396" t="s">
        <v>219</v>
      </c>
      <c r="E1396" t="s">
        <v>91</v>
      </c>
      <c r="F1396" s="1">
        <v>1725</v>
      </c>
    </row>
    <row r="1397" spans="1:6" x14ac:dyDescent="0.3">
      <c r="A1397" t="str">
        <f>_xlfn.XLOOKUP(ColombiaClientes[[#This Row],[Client]],VpsClientes[Client],VpsClientes[VP],"",0)</f>
        <v>Moises Saavedra Garcia</v>
      </c>
      <c r="B1397" t="s">
        <v>115</v>
      </c>
      <c r="C1397" t="s">
        <v>92</v>
      </c>
      <c r="D1397" t="s">
        <v>219</v>
      </c>
      <c r="E1397" t="s">
        <v>91</v>
      </c>
      <c r="F1397" s="1">
        <v>1680</v>
      </c>
    </row>
    <row r="1398" spans="1:6" x14ac:dyDescent="0.3">
      <c r="A1398" t="str">
        <f>_xlfn.XLOOKUP(ColombiaClientes[[#This Row],[Client]],VpsClientes[Client],VpsClientes[VP],"",0)</f>
        <v>Carlos Beltran Hernandez</v>
      </c>
      <c r="B1398" t="s">
        <v>119</v>
      </c>
      <c r="C1398" t="s">
        <v>92</v>
      </c>
      <c r="D1398" t="s">
        <v>219</v>
      </c>
      <c r="E1398" t="s">
        <v>91</v>
      </c>
      <c r="F1398" s="1">
        <v>1582</v>
      </c>
    </row>
    <row r="1399" spans="1:6" x14ac:dyDescent="0.3">
      <c r="A1399" t="str">
        <f>_xlfn.XLOOKUP(ColombiaClientes[[#This Row],[Client]],VpsClientes[Client],VpsClientes[VP],"",0)</f>
        <v>Jhonatan Izquierdo Rico</v>
      </c>
      <c r="B1399" t="s">
        <v>138</v>
      </c>
      <c r="C1399" t="s">
        <v>92</v>
      </c>
      <c r="D1399" t="s">
        <v>219</v>
      </c>
      <c r="E1399" t="s">
        <v>91</v>
      </c>
      <c r="F1399" s="1">
        <v>1555</v>
      </c>
    </row>
    <row r="1400" spans="1:6" x14ac:dyDescent="0.3">
      <c r="A1400" t="str">
        <f>_xlfn.XLOOKUP(ColombiaClientes[[#This Row],[Client]],VpsClientes[Client],VpsClientes[VP],"",0)</f>
        <v>Martha Guzman Arango</v>
      </c>
      <c r="B1400" t="s">
        <v>118</v>
      </c>
      <c r="C1400" t="s">
        <v>92</v>
      </c>
      <c r="D1400" t="s">
        <v>219</v>
      </c>
      <c r="E1400" t="s">
        <v>91</v>
      </c>
      <c r="F1400" s="1">
        <v>1535</v>
      </c>
    </row>
    <row r="1401" spans="1:6" x14ac:dyDescent="0.3">
      <c r="A1401" t="str">
        <f>_xlfn.XLOOKUP(ColombiaClientes[[#This Row],[Client]],VpsClientes[Client],VpsClientes[VP],"",0)</f>
        <v>Maria Forero Jara</v>
      </c>
      <c r="B1401" t="s">
        <v>139</v>
      </c>
      <c r="C1401" t="s">
        <v>92</v>
      </c>
      <c r="D1401" t="s">
        <v>219</v>
      </c>
      <c r="E1401" t="s">
        <v>91</v>
      </c>
      <c r="F1401" s="1">
        <v>1492</v>
      </c>
    </row>
    <row r="1402" spans="1:6" x14ac:dyDescent="0.3">
      <c r="A1402" t="str">
        <f>_xlfn.XLOOKUP(ColombiaClientes[[#This Row],[Client]],VpsClientes[Client],VpsClientes[VP],"",0)</f>
        <v>Jhonatan Izquierdo Rico</v>
      </c>
      <c r="B1402" t="s">
        <v>126</v>
      </c>
      <c r="C1402" t="s">
        <v>92</v>
      </c>
      <c r="D1402" t="s">
        <v>219</v>
      </c>
      <c r="E1402" t="s">
        <v>91</v>
      </c>
      <c r="F1402" s="1">
        <v>1311</v>
      </c>
    </row>
    <row r="1403" spans="1:6" x14ac:dyDescent="0.3">
      <c r="A1403" t="str">
        <f>_xlfn.XLOOKUP(ColombiaClientes[[#This Row],[Client]],VpsClientes[Client],VpsClientes[VP],"",0)</f>
        <v>Juan Granados Castillo</v>
      </c>
      <c r="B1403" t="s">
        <v>134</v>
      </c>
      <c r="C1403" t="s">
        <v>92</v>
      </c>
      <c r="D1403" t="s">
        <v>219</v>
      </c>
      <c r="E1403" t="s">
        <v>91</v>
      </c>
      <c r="F1403" s="1">
        <v>1249</v>
      </c>
    </row>
    <row r="1404" spans="1:6" x14ac:dyDescent="0.3">
      <c r="A1404" t="str">
        <f>_xlfn.XLOOKUP(ColombiaClientes[[#This Row],[Client]],VpsClientes[Client],VpsClientes[VP],"",0)</f>
        <v>Martha Guzman Arango</v>
      </c>
      <c r="B1404" t="s">
        <v>152</v>
      </c>
      <c r="C1404" t="s">
        <v>92</v>
      </c>
      <c r="D1404" t="s">
        <v>219</v>
      </c>
      <c r="E1404" t="s">
        <v>91</v>
      </c>
      <c r="F1404" s="1">
        <v>1081</v>
      </c>
    </row>
    <row r="1405" spans="1:6" x14ac:dyDescent="0.3">
      <c r="A1405" t="str">
        <f>_xlfn.XLOOKUP(ColombiaClientes[[#This Row],[Client]],VpsClientes[Client],VpsClientes[VP],"",0)</f>
        <v>Martha Guzman Arango</v>
      </c>
      <c r="B1405" t="s">
        <v>114</v>
      </c>
      <c r="C1405" t="s">
        <v>92</v>
      </c>
      <c r="D1405" t="s">
        <v>219</v>
      </c>
      <c r="E1405" t="s">
        <v>91</v>
      </c>
      <c r="F1405" s="1">
        <v>1040</v>
      </c>
    </row>
    <row r="1406" spans="1:6" x14ac:dyDescent="0.3">
      <c r="A1406" t="str">
        <f>_xlfn.XLOOKUP(ColombiaClientes[[#This Row],[Client]],VpsClientes[Client],VpsClientes[VP],"",0)</f>
        <v>Juan Granados Castillo</v>
      </c>
      <c r="B1406" t="s">
        <v>136</v>
      </c>
      <c r="C1406" t="s">
        <v>92</v>
      </c>
      <c r="D1406" t="s">
        <v>219</v>
      </c>
      <c r="E1406" t="s">
        <v>91</v>
      </c>
      <c r="F1406" s="1">
        <v>919</v>
      </c>
    </row>
    <row r="1407" spans="1:6" x14ac:dyDescent="0.3">
      <c r="A1407" t="str">
        <f>_xlfn.XLOOKUP(ColombiaClientes[[#This Row],[Client]],VpsClientes[Client],VpsClientes[VP],"",0)</f>
        <v>Hector Muraira Garza</v>
      </c>
      <c r="B1407" t="s">
        <v>130</v>
      </c>
      <c r="C1407" t="s">
        <v>92</v>
      </c>
      <c r="D1407" t="s">
        <v>219</v>
      </c>
      <c r="E1407" t="s">
        <v>91</v>
      </c>
      <c r="F1407" s="1">
        <v>876</v>
      </c>
    </row>
    <row r="1408" spans="1:6" x14ac:dyDescent="0.3">
      <c r="A1408" t="str">
        <f>_xlfn.XLOOKUP(ColombiaClientes[[#This Row],[Client]],VpsClientes[Client],VpsClientes[VP],"",0)</f>
        <v>Martha Guzman Arango</v>
      </c>
      <c r="B1408" t="s">
        <v>97</v>
      </c>
      <c r="C1408" t="s">
        <v>92</v>
      </c>
      <c r="D1408" t="s">
        <v>219</v>
      </c>
      <c r="E1408" t="s">
        <v>91</v>
      </c>
      <c r="F1408" s="1">
        <v>866</v>
      </c>
    </row>
    <row r="1409" spans="1:6" x14ac:dyDescent="0.3">
      <c r="A1409" t="str">
        <f>_xlfn.XLOOKUP(ColombiaClientes[[#This Row],[Client]],VpsClientes[Client],VpsClientes[VP],"",0)</f>
        <v>Jhonatan Izquierdo Rico</v>
      </c>
      <c r="B1409" t="s">
        <v>157</v>
      </c>
      <c r="C1409" t="s">
        <v>92</v>
      </c>
      <c r="D1409" t="s">
        <v>219</v>
      </c>
      <c r="E1409" t="s">
        <v>91</v>
      </c>
      <c r="F1409" s="1">
        <v>841</v>
      </c>
    </row>
    <row r="1410" spans="1:6" x14ac:dyDescent="0.3">
      <c r="A1410" t="str">
        <f>_xlfn.XLOOKUP(ColombiaClientes[[#This Row],[Client]],VpsClientes[Client],VpsClientes[VP],"",0)</f>
        <v>Hector Muraira Garza</v>
      </c>
      <c r="B1410" t="s">
        <v>137</v>
      </c>
      <c r="C1410" t="s">
        <v>92</v>
      </c>
      <c r="D1410" t="s">
        <v>219</v>
      </c>
      <c r="E1410" t="s">
        <v>91</v>
      </c>
      <c r="F1410" s="1">
        <v>785</v>
      </c>
    </row>
    <row r="1411" spans="1:6" x14ac:dyDescent="0.3">
      <c r="A1411" t="str">
        <f>_xlfn.XLOOKUP(ColombiaClientes[[#This Row],[Client]],VpsClientes[Client],VpsClientes[VP],"",0)</f>
        <v>Jhonatan Izquierdo Rico</v>
      </c>
      <c r="B1411" t="s">
        <v>129</v>
      </c>
      <c r="C1411" t="s">
        <v>92</v>
      </c>
      <c r="D1411" t="s">
        <v>219</v>
      </c>
      <c r="E1411" t="s">
        <v>91</v>
      </c>
      <c r="F1411" s="1">
        <v>709</v>
      </c>
    </row>
    <row r="1412" spans="1:6" x14ac:dyDescent="0.3">
      <c r="A1412" t="str">
        <f>_xlfn.XLOOKUP(ColombiaClientes[[#This Row],[Client]],VpsClientes[Client],VpsClientes[VP],"",0)</f>
        <v>Martha Guzman Arango</v>
      </c>
      <c r="B1412" t="s">
        <v>135</v>
      </c>
      <c r="C1412" t="s">
        <v>92</v>
      </c>
      <c r="D1412" t="s">
        <v>219</v>
      </c>
      <c r="E1412" t="s">
        <v>91</v>
      </c>
      <c r="F1412" s="1">
        <v>652</v>
      </c>
    </row>
    <row r="1413" spans="1:6" x14ac:dyDescent="0.3">
      <c r="A1413" t="str">
        <f>_xlfn.XLOOKUP(ColombiaClientes[[#This Row],[Client]],VpsClientes[Client],VpsClientes[VP],"",0)</f>
        <v>Hector Muraira Garza</v>
      </c>
      <c r="B1413" t="s">
        <v>132</v>
      </c>
      <c r="C1413" t="s">
        <v>92</v>
      </c>
      <c r="D1413" t="s">
        <v>219</v>
      </c>
      <c r="E1413" t="s">
        <v>91</v>
      </c>
      <c r="F1413" s="1">
        <v>639</v>
      </c>
    </row>
    <row r="1414" spans="1:6" x14ac:dyDescent="0.3">
      <c r="A1414">
        <f>_xlfn.XLOOKUP(ColombiaClientes[[#This Row],[Client]],VpsClientes[Client],VpsClientes[VP],"",0)</f>
        <v>0</v>
      </c>
      <c r="B1414" t="s">
        <v>141</v>
      </c>
      <c r="C1414" t="s">
        <v>194</v>
      </c>
      <c r="D1414" t="s">
        <v>90</v>
      </c>
      <c r="E1414" t="s">
        <v>206</v>
      </c>
      <c r="F1414" s="1">
        <v>707</v>
      </c>
    </row>
    <row r="1415" spans="1:6" x14ac:dyDescent="0.3">
      <c r="A1415" t="str">
        <f>_xlfn.XLOOKUP(ColombiaClientes[[#This Row],[Client]],VpsClientes[Client],VpsClientes[VP],"",0)</f>
        <v>Martha Guzman Arango</v>
      </c>
      <c r="B1415" t="s">
        <v>156</v>
      </c>
      <c r="C1415" t="s">
        <v>92</v>
      </c>
      <c r="D1415" t="s">
        <v>219</v>
      </c>
      <c r="E1415" t="s">
        <v>91</v>
      </c>
      <c r="F1415" s="1">
        <v>534</v>
      </c>
    </row>
    <row r="1416" spans="1:6" x14ac:dyDescent="0.3">
      <c r="A1416" t="str">
        <f>_xlfn.XLOOKUP(ColombiaClientes[[#This Row],[Client]],VpsClientes[Client],VpsClientes[VP],"",0)</f>
        <v>Hector Muraira Garza</v>
      </c>
      <c r="B1416" t="s">
        <v>140</v>
      </c>
      <c r="C1416" t="s">
        <v>92</v>
      </c>
      <c r="D1416" t="s">
        <v>219</v>
      </c>
      <c r="E1416" t="s">
        <v>91</v>
      </c>
      <c r="F1416" s="1">
        <v>474</v>
      </c>
    </row>
    <row r="1417" spans="1:6" x14ac:dyDescent="0.3">
      <c r="A1417" t="str">
        <f>_xlfn.XLOOKUP(ColombiaClientes[[#This Row],[Client]],VpsClientes[Client],VpsClientes[VP],"",0)</f>
        <v>Jhonatan Izquierdo Rico</v>
      </c>
      <c r="B1417" t="s">
        <v>117</v>
      </c>
      <c r="C1417" t="s">
        <v>92</v>
      </c>
      <c r="D1417" t="s">
        <v>219</v>
      </c>
      <c r="E1417" t="s">
        <v>91</v>
      </c>
      <c r="F1417" s="1">
        <v>471</v>
      </c>
    </row>
    <row r="1418" spans="1:6" x14ac:dyDescent="0.3">
      <c r="A1418" t="str">
        <f>_xlfn.XLOOKUP(ColombiaClientes[[#This Row],[Client]],VpsClientes[Client],VpsClientes[VP],"",0)</f>
        <v>Moises Saavedra Garcia</v>
      </c>
      <c r="B1418" t="s">
        <v>150</v>
      </c>
      <c r="C1418" t="s">
        <v>92</v>
      </c>
      <c r="D1418" t="s">
        <v>219</v>
      </c>
      <c r="E1418" t="s">
        <v>91</v>
      </c>
      <c r="F1418" s="1">
        <v>456</v>
      </c>
    </row>
    <row r="1419" spans="1:6" x14ac:dyDescent="0.3">
      <c r="A1419" t="str">
        <f>_xlfn.XLOOKUP(ColombiaClientes[[#This Row],[Client]],VpsClientes[Client],VpsClientes[VP],"",0)</f>
        <v>Martha Guzman Arango</v>
      </c>
      <c r="B1419" t="s">
        <v>146</v>
      </c>
      <c r="C1419" t="s">
        <v>92</v>
      </c>
      <c r="D1419" t="s">
        <v>219</v>
      </c>
      <c r="E1419" t="s">
        <v>91</v>
      </c>
      <c r="F1419" s="1">
        <v>454</v>
      </c>
    </row>
    <row r="1420" spans="1:6" x14ac:dyDescent="0.3">
      <c r="A1420" t="str">
        <f>_xlfn.XLOOKUP(ColombiaClientes[[#This Row],[Client]],VpsClientes[Client],VpsClientes[VP],"",0)</f>
        <v>Martha Guzman Arango</v>
      </c>
      <c r="B1420" t="s">
        <v>153</v>
      </c>
      <c r="C1420" t="s">
        <v>92</v>
      </c>
      <c r="D1420" t="s">
        <v>219</v>
      </c>
      <c r="E1420" t="s">
        <v>91</v>
      </c>
      <c r="F1420" s="1">
        <v>443</v>
      </c>
    </row>
    <row r="1421" spans="1:6" x14ac:dyDescent="0.3">
      <c r="A1421" t="str">
        <f>_xlfn.XLOOKUP(ColombiaClientes[[#This Row],[Client]],VpsClientes[Client],VpsClientes[VP],"",0)</f>
        <v>Maria Forero Jara</v>
      </c>
      <c r="B1421" t="s">
        <v>111</v>
      </c>
      <c r="C1421" t="s">
        <v>92</v>
      </c>
      <c r="D1421" t="s">
        <v>219</v>
      </c>
      <c r="E1421" t="s">
        <v>91</v>
      </c>
      <c r="F1421" s="1">
        <v>409</v>
      </c>
    </row>
    <row r="1422" spans="1:6" x14ac:dyDescent="0.3">
      <c r="A1422">
        <f>_xlfn.XLOOKUP(ColombiaClientes[[#This Row],[Client]],VpsClientes[Client],VpsClientes[VP],"",0)</f>
        <v>0</v>
      </c>
      <c r="B1422" t="s">
        <v>141</v>
      </c>
      <c r="C1422" t="s">
        <v>202</v>
      </c>
      <c r="D1422" t="s">
        <v>90</v>
      </c>
      <c r="E1422" t="s">
        <v>206</v>
      </c>
      <c r="F1422" s="1">
        <v>503</v>
      </c>
    </row>
    <row r="1423" spans="1:6" x14ac:dyDescent="0.3">
      <c r="A1423" t="str">
        <f>_xlfn.XLOOKUP(ColombiaClientes[[#This Row],[Client]],VpsClientes[Client],VpsClientes[VP],"",0)</f>
        <v>Martha Guzman Arango</v>
      </c>
      <c r="B1423" t="s">
        <v>143</v>
      </c>
      <c r="C1423" t="s">
        <v>92</v>
      </c>
      <c r="D1423" t="s">
        <v>219</v>
      </c>
      <c r="E1423" t="s">
        <v>91</v>
      </c>
      <c r="F1423" s="1">
        <v>322</v>
      </c>
    </row>
    <row r="1424" spans="1:6" x14ac:dyDescent="0.3">
      <c r="A1424" t="str">
        <f>_xlfn.XLOOKUP(ColombiaClientes[[#This Row],[Client]],VpsClientes[Client],VpsClientes[VP],"",0)</f>
        <v>Maria Forero Jara</v>
      </c>
      <c r="B1424" t="s">
        <v>144</v>
      </c>
      <c r="C1424" t="s">
        <v>92</v>
      </c>
      <c r="D1424" t="s">
        <v>219</v>
      </c>
      <c r="E1424" t="s">
        <v>91</v>
      </c>
      <c r="F1424" s="1">
        <v>292</v>
      </c>
    </row>
    <row r="1425" spans="1:6" x14ac:dyDescent="0.3">
      <c r="A1425" t="str">
        <f>_xlfn.XLOOKUP(ColombiaClientes[[#This Row],[Client]],VpsClientes[Client],VpsClientes[VP],"",0)</f>
        <v>Carlos Beltran Hernandez</v>
      </c>
      <c r="B1425" t="s">
        <v>158</v>
      </c>
      <c r="C1425" t="s">
        <v>92</v>
      </c>
      <c r="D1425" t="s">
        <v>219</v>
      </c>
      <c r="E1425" t="s">
        <v>91</v>
      </c>
      <c r="F1425" s="1">
        <v>283</v>
      </c>
    </row>
    <row r="1426" spans="1:6" x14ac:dyDescent="0.3">
      <c r="A1426" t="str">
        <f>_xlfn.XLOOKUP(ColombiaClientes[[#This Row],[Client]],VpsClientes[Client],VpsClientes[VP],"",0)</f>
        <v>Martha Guzman Arango</v>
      </c>
      <c r="B1426" t="s">
        <v>124</v>
      </c>
      <c r="C1426" t="s">
        <v>92</v>
      </c>
      <c r="D1426" t="s">
        <v>219</v>
      </c>
      <c r="E1426" t="s">
        <v>91</v>
      </c>
      <c r="F1426" s="1">
        <v>265</v>
      </c>
    </row>
    <row r="1427" spans="1:6" x14ac:dyDescent="0.3">
      <c r="A1427" t="str">
        <f>_xlfn.XLOOKUP(ColombiaClientes[[#This Row],[Client]],VpsClientes[Client],VpsClientes[VP],"",0)</f>
        <v>Hector Muraira Garza</v>
      </c>
      <c r="B1427" t="s">
        <v>154</v>
      </c>
      <c r="C1427" t="s">
        <v>92</v>
      </c>
      <c r="D1427" t="s">
        <v>219</v>
      </c>
      <c r="E1427" t="s">
        <v>91</v>
      </c>
      <c r="F1427" s="1">
        <v>249</v>
      </c>
    </row>
    <row r="1428" spans="1:6" x14ac:dyDescent="0.3">
      <c r="A1428" t="str">
        <f>_xlfn.XLOOKUP(ColombiaClientes[[#This Row],[Client]],VpsClientes[Client],VpsClientes[VP],"",0)</f>
        <v>Martha Guzman Arango</v>
      </c>
      <c r="B1428" t="s">
        <v>168</v>
      </c>
      <c r="C1428" t="s">
        <v>92</v>
      </c>
      <c r="D1428" t="s">
        <v>219</v>
      </c>
      <c r="E1428" t="s">
        <v>91</v>
      </c>
      <c r="F1428" s="1">
        <v>242</v>
      </c>
    </row>
    <row r="1429" spans="1:6" x14ac:dyDescent="0.3">
      <c r="A1429" t="str">
        <f>_xlfn.XLOOKUP(ColombiaClientes[[#This Row],[Client]],VpsClientes[Client],VpsClientes[VP],"",0)</f>
        <v>Martha Guzman Arango</v>
      </c>
      <c r="B1429" t="s">
        <v>145</v>
      </c>
      <c r="C1429" t="s">
        <v>92</v>
      </c>
      <c r="D1429" t="s">
        <v>219</v>
      </c>
      <c r="E1429" t="s">
        <v>91</v>
      </c>
      <c r="F1429" s="1">
        <v>209</v>
      </c>
    </row>
    <row r="1430" spans="1:6" x14ac:dyDescent="0.3">
      <c r="A1430" t="str">
        <f>_xlfn.XLOOKUP(ColombiaClientes[[#This Row],[Client]],VpsClientes[Client],VpsClientes[VP],"",0)</f>
        <v>Juan Granados Castillo</v>
      </c>
      <c r="B1430" t="s">
        <v>142</v>
      </c>
      <c r="C1430" t="s">
        <v>92</v>
      </c>
      <c r="D1430" t="s">
        <v>219</v>
      </c>
      <c r="E1430" t="s">
        <v>91</v>
      </c>
      <c r="F1430" s="1">
        <v>196</v>
      </c>
    </row>
    <row r="1431" spans="1:6" x14ac:dyDescent="0.3">
      <c r="A1431" t="str">
        <f>_xlfn.XLOOKUP(ColombiaClientes[[#This Row],[Client]],VpsClientes[Client],VpsClientes[VP],"",0)</f>
        <v>Martha Guzman Arango</v>
      </c>
      <c r="B1431" t="s">
        <v>166</v>
      </c>
      <c r="C1431" t="s">
        <v>92</v>
      </c>
      <c r="D1431" t="s">
        <v>219</v>
      </c>
      <c r="E1431" t="s">
        <v>91</v>
      </c>
      <c r="F1431" s="1">
        <v>191</v>
      </c>
    </row>
    <row r="1432" spans="1:6" x14ac:dyDescent="0.3">
      <c r="A1432" t="str">
        <f>_xlfn.XLOOKUP(ColombiaClientes[[#This Row],[Client]],VpsClientes[Client],VpsClientes[VP],"",0)</f>
        <v>Maria Forero Jara</v>
      </c>
      <c r="B1432" t="s">
        <v>163</v>
      </c>
      <c r="C1432" t="s">
        <v>92</v>
      </c>
      <c r="D1432" t="s">
        <v>219</v>
      </c>
      <c r="E1432" t="s">
        <v>91</v>
      </c>
      <c r="F1432" s="1">
        <v>185</v>
      </c>
    </row>
    <row r="1433" spans="1:6" x14ac:dyDescent="0.3">
      <c r="A1433" t="str">
        <f>_xlfn.XLOOKUP(ColombiaClientes[[#This Row],[Client]],VpsClientes[Client],VpsClientes[VP],"",0)</f>
        <v>Martha Guzman Arango</v>
      </c>
      <c r="B1433" t="s">
        <v>171</v>
      </c>
      <c r="C1433" t="s">
        <v>92</v>
      </c>
      <c r="D1433" t="s">
        <v>219</v>
      </c>
      <c r="E1433" t="s">
        <v>91</v>
      </c>
      <c r="F1433" s="1">
        <v>168</v>
      </c>
    </row>
    <row r="1434" spans="1:6" x14ac:dyDescent="0.3">
      <c r="A1434" t="str">
        <f>_xlfn.XLOOKUP(ColombiaClientes[[#This Row],[Client]],VpsClientes[Client],VpsClientes[VP],"",0)</f>
        <v>Martha Guzman Arango</v>
      </c>
      <c r="B1434" t="s">
        <v>165</v>
      </c>
      <c r="C1434" t="s">
        <v>92</v>
      </c>
      <c r="D1434" t="s">
        <v>219</v>
      </c>
      <c r="E1434" t="s">
        <v>91</v>
      </c>
      <c r="F1434" s="1">
        <v>162</v>
      </c>
    </row>
    <row r="1435" spans="1:6" x14ac:dyDescent="0.3">
      <c r="A1435" t="str">
        <f>_xlfn.XLOOKUP(ColombiaClientes[[#This Row],[Client]],VpsClientes[Client],VpsClientes[VP],"",0)</f>
        <v>Martha Guzman Arango</v>
      </c>
      <c r="B1435" t="s">
        <v>170</v>
      </c>
      <c r="C1435" t="s">
        <v>92</v>
      </c>
      <c r="D1435" t="s">
        <v>219</v>
      </c>
      <c r="E1435" t="s">
        <v>91</v>
      </c>
      <c r="F1435" s="1">
        <v>152</v>
      </c>
    </row>
    <row r="1436" spans="1:6" x14ac:dyDescent="0.3">
      <c r="A1436">
        <f>_xlfn.XLOOKUP(ColombiaClientes[[#This Row],[Client]],VpsClientes[Client],VpsClientes[VP],"",0)</f>
        <v>0</v>
      </c>
      <c r="B1436" t="s">
        <v>141</v>
      </c>
      <c r="C1436" t="s">
        <v>203</v>
      </c>
      <c r="D1436" t="s">
        <v>90</v>
      </c>
      <c r="E1436" t="s">
        <v>206</v>
      </c>
      <c r="F1436" s="1">
        <v>97</v>
      </c>
    </row>
    <row r="1437" spans="1:6" x14ac:dyDescent="0.3">
      <c r="A1437" t="str">
        <f>_xlfn.XLOOKUP(ColombiaClientes[[#This Row],[Client]],VpsClientes[Client],VpsClientes[VP],"",0)</f>
        <v>Martha Guzman Arango</v>
      </c>
      <c r="B1437" t="s">
        <v>155</v>
      </c>
      <c r="C1437" t="s">
        <v>92</v>
      </c>
      <c r="D1437" t="s">
        <v>219</v>
      </c>
      <c r="E1437" t="s">
        <v>91</v>
      </c>
      <c r="F1437" s="1">
        <v>149</v>
      </c>
    </row>
    <row r="1438" spans="1:6" x14ac:dyDescent="0.3">
      <c r="A1438" t="str">
        <f>_xlfn.XLOOKUP(ColombiaClientes[[#This Row],[Client]],VpsClientes[Client],VpsClientes[VP],"",0)</f>
        <v>Martha Guzman Arango</v>
      </c>
      <c r="B1438" t="s">
        <v>148</v>
      </c>
      <c r="C1438" t="s">
        <v>92</v>
      </c>
      <c r="D1438" t="s">
        <v>219</v>
      </c>
      <c r="E1438" t="s">
        <v>91</v>
      </c>
      <c r="F1438" s="1">
        <v>136</v>
      </c>
    </row>
    <row r="1439" spans="1:6" x14ac:dyDescent="0.3">
      <c r="A1439" t="str">
        <f>_xlfn.XLOOKUP(ColombiaClientes[[#This Row],[Client]],VpsClientes[Client],VpsClientes[VP],"",0)</f>
        <v>Moises Saavedra Garcia</v>
      </c>
      <c r="B1439" t="s">
        <v>172</v>
      </c>
      <c r="C1439" t="s">
        <v>92</v>
      </c>
      <c r="D1439" t="s">
        <v>219</v>
      </c>
      <c r="E1439" t="s">
        <v>91</v>
      </c>
      <c r="F1439" s="1">
        <v>134</v>
      </c>
    </row>
    <row r="1440" spans="1:6" x14ac:dyDescent="0.3">
      <c r="A1440">
        <f>_xlfn.XLOOKUP(ColombiaClientes[[#This Row],[Client]],VpsClientes[Client],VpsClientes[VP],"",0)</f>
        <v>0</v>
      </c>
      <c r="B1440" t="s">
        <v>141</v>
      </c>
      <c r="C1440" t="s">
        <v>205</v>
      </c>
      <c r="D1440" t="s">
        <v>90</v>
      </c>
      <c r="E1440" t="s">
        <v>206</v>
      </c>
      <c r="F1440" s="1">
        <v>0</v>
      </c>
    </row>
    <row r="1441" spans="1:6" x14ac:dyDescent="0.3">
      <c r="A1441" t="str">
        <f>_xlfn.XLOOKUP(ColombiaClientes[[#This Row],[Client]],VpsClientes[Client],VpsClientes[VP],"",0)</f>
        <v>Hector Muraira Garza</v>
      </c>
      <c r="B1441" t="s">
        <v>164</v>
      </c>
      <c r="C1441" t="s">
        <v>92</v>
      </c>
      <c r="D1441" t="s">
        <v>219</v>
      </c>
      <c r="E1441" t="s">
        <v>91</v>
      </c>
      <c r="F1441" s="1">
        <v>125</v>
      </c>
    </row>
    <row r="1442" spans="1:6" x14ac:dyDescent="0.3">
      <c r="A1442" t="str">
        <f>_xlfn.XLOOKUP(ColombiaClientes[[#This Row],[Client]],VpsClientes[Client],VpsClientes[VP],"",0)</f>
        <v>Juan Granados Castillo</v>
      </c>
      <c r="B1442" t="s">
        <v>149</v>
      </c>
      <c r="C1442" t="s">
        <v>92</v>
      </c>
      <c r="D1442" t="s">
        <v>219</v>
      </c>
      <c r="E1442" t="s">
        <v>91</v>
      </c>
      <c r="F1442" s="1">
        <v>122</v>
      </c>
    </row>
    <row r="1443" spans="1:6" x14ac:dyDescent="0.3">
      <c r="A1443" t="str">
        <f>_xlfn.XLOOKUP(ColombiaClientes[[#This Row],[Client]],VpsClientes[Client],VpsClientes[VP],"",0)</f>
        <v>Carlos Beltran Hernandez</v>
      </c>
      <c r="B1443" t="s">
        <v>173</v>
      </c>
      <c r="C1443" t="s">
        <v>92</v>
      </c>
      <c r="D1443" t="s">
        <v>219</v>
      </c>
      <c r="E1443" t="s">
        <v>91</v>
      </c>
      <c r="F1443" s="1">
        <v>122</v>
      </c>
    </row>
    <row r="1444" spans="1:6" x14ac:dyDescent="0.3">
      <c r="A1444">
        <f>_xlfn.XLOOKUP(ColombiaClientes[[#This Row],[Client]],VpsClientes[Client],VpsClientes[VP],"",0)</f>
        <v>0</v>
      </c>
      <c r="B1444" t="s">
        <v>141</v>
      </c>
      <c r="C1444" t="s">
        <v>92</v>
      </c>
      <c r="D1444" t="s">
        <v>219</v>
      </c>
      <c r="E1444" t="s">
        <v>91</v>
      </c>
      <c r="F1444" s="1">
        <v>358</v>
      </c>
    </row>
    <row r="1445" spans="1:6" x14ac:dyDescent="0.3">
      <c r="A1445" t="str">
        <f>_xlfn.XLOOKUP(ColombiaClientes[[#This Row],[Client]],VpsClientes[Client],VpsClientes[VP],"",0)</f>
        <v>Moises Saavedra Garcia</v>
      </c>
      <c r="B1445" t="s">
        <v>175</v>
      </c>
      <c r="C1445" t="s">
        <v>92</v>
      </c>
      <c r="D1445" t="s">
        <v>219</v>
      </c>
      <c r="E1445" t="s">
        <v>91</v>
      </c>
      <c r="F1445" s="1">
        <v>103</v>
      </c>
    </row>
    <row r="1446" spans="1:6" x14ac:dyDescent="0.3">
      <c r="A1446" t="str">
        <f>_xlfn.XLOOKUP(ColombiaClientes[[#This Row],[Client]],VpsClientes[Client],VpsClientes[VP],"",0)</f>
        <v>Martha Guzman Arango</v>
      </c>
      <c r="B1446" t="s">
        <v>162</v>
      </c>
      <c r="C1446" t="s">
        <v>92</v>
      </c>
      <c r="D1446" t="s">
        <v>219</v>
      </c>
      <c r="E1446" t="s">
        <v>91</v>
      </c>
      <c r="F1446" s="1">
        <v>101</v>
      </c>
    </row>
    <row r="1447" spans="1:6" x14ac:dyDescent="0.3">
      <c r="A1447" t="str">
        <f>_xlfn.XLOOKUP(ColombiaClientes[[#This Row],[Client]],VpsClientes[Client],VpsClientes[VP],"",0)</f>
        <v>Martha Guzman Arango</v>
      </c>
      <c r="B1447" t="s">
        <v>176</v>
      </c>
      <c r="C1447" t="s">
        <v>92</v>
      </c>
      <c r="D1447" t="s">
        <v>219</v>
      </c>
      <c r="E1447" t="s">
        <v>91</v>
      </c>
      <c r="F1447" s="1">
        <v>100</v>
      </c>
    </row>
    <row r="1448" spans="1:6" x14ac:dyDescent="0.3">
      <c r="A1448" t="str">
        <f>_xlfn.XLOOKUP(ColombiaClientes[[#This Row],[Client]],VpsClientes[Client],VpsClientes[VP],"",0)</f>
        <v>Maria Forero Jara</v>
      </c>
      <c r="B1448" t="s">
        <v>179</v>
      </c>
      <c r="C1448" t="s">
        <v>92</v>
      </c>
      <c r="D1448" t="s">
        <v>219</v>
      </c>
      <c r="E1448" t="s">
        <v>91</v>
      </c>
      <c r="F1448" s="1">
        <v>87</v>
      </c>
    </row>
    <row r="1449" spans="1:6" x14ac:dyDescent="0.3">
      <c r="A1449" t="str">
        <f>_xlfn.XLOOKUP(ColombiaClientes[[#This Row],[Client]],VpsClientes[Client],VpsClientes[VP],"",0)</f>
        <v>Maria Forero Jara</v>
      </c>
      <c r="B1449" t="s">
        <v>161</v>
      </c>
      <c r="C1449" t="s">
        <v>92</v>
      </c>
      <c r="D1449" t="s">
        <v>219</v>
      </c>
      <c r="E1449" t="s">
        <v>91</v>
      </c>
      <c r="F1449" s="1">
        <v>87</v>
      </c>
    </row>
    <row r="1450" spans="1:6" x14ac:dyDescent="0.3">
      <c r="A1450" t="str">
        <f>_xlfn.XLOOKUP(ColombiaClientes[[#This Row],[Client]],VpsClientes[Client],VpsClientes[VP],"",0)</f>
        <v>Martha Guzman Arango</v>
      </c>
      <c r="B1450" t="s">
        <v>174</v>
      </c>
      <c r="C1450" t="s">
        <v>92</v>
      </c>
      <c r="D1450" t="s">
        <v>219</v>
      </c>
      <c r="E1450" t="s">
        <v>91</v>
      </c>
      <c r="F1450" s="1">
        <v>82</v>
      </c>
    </row>
    <row r="1451" spans="1:6" x14ac:dyDescent="0.3">
      <c r="A1451" t="str">
        <f>_xlfn.XLOOKUP(ColombiaClientes[[#This Row],[Client]],VpsClientes[Client],VpsClientes[VP],"",0)</f>
        <v>Martha Guzman Arango</v>
      </c>
      <c r="B1451" t="s">
        <v>169</v>
      </c>
      <c r="C1451" t="s">
        <v>92</v>
      </c>
      <c r="D1451" t="s">
        <v>219</v>
      </c>
      <c r="E1451" t="s">
        <v>91</v>
      </c>
      <c r="F1451" s="1">
        <v>81</v>
      </c>
    </row>
    <row r="1452" spans="1:6" x14ac:dyDescent="0.3">
      <c r="A1452">
        <f>_xlfn.XLOOKUP(ColombiaClientes[[#This Row],[Client]],VpsClientes[Client],VpsClientes[VP],"",0)</f>
        <v>0</v>
      </c>
      <c r="B1452" t="s">
        <v>141</v>
      </c>
      <c r="C1452" t="s">
        <v>191</v>
      </c>
      <c r="D1452" t="s">
        <v>219</v>
      </c>
      <c r="E1452" t="s">
        <v>91</v>
      </c>
      <c r="F1452" s="1">
        <v>236</v>
      </c>
    </row>
    <row r="1453" spans="1:6" x14ac:dyDescent="0.3">
      <c r="A1453" t="str">
        <f>_xlfn.XLOOKUP(ColombiaClientes[[#This Row],[Client]],VpsClientes[Client],VpsClientes[VP],"",0)</f>
        <v>Martha Guzman Arango</v>
      </c>
      <c r="B1453" t="s">
        <v>185</v>
      </c>
      <c r="C1453" t="s">
        <v>92</v>
      </c>
      <c r="D1453" t="s">
        <v>219</v>
      </c>
      <c r="E1453" t="s">
        <v>91</v>
      </c>
      <c r="F1453" s="1">
        <v>56</v>
      </c>
    </row>
    <row r="1454" spans="1:6" x14ac:dyDescent="0.3">
      <c r="A1454" t="str">
        <f>_xlfn.XLOOKUP(ColombiaClientes[[#This Row],[Client]],VpsClientes[Client],VpsClientes[VP],"",0)</f>
        <v>Jhonatan Izquierdo Rico</v>
      </c>
      <c r="B1454" t="s">
        <v>159</v>
      </c>
      <c r="C1454" t="s">
        <v>92</v>
      </c>
      <c r="D1454" t="s">
        <v>219</v>
      </c>
      <c r="E1454" t="s">
        <v>91</v>
      </c>
      <c r="F1454" s="1">
        <v>34</v>
      </c>
    </row>
    <row r="1455" spans="1:6" x14ac:dyDescent="0.3">
      <c r="A1455">
        <f>_xlfn.XLOOKUP(ColombiaClientes[[#This Row],[Client]],VpsClientes[Client],VpsClientes[VP],"",0)</f>
        <v>0</v>
      </c>
      <c r="B1455" t="s">
        <v>141</v>
      </c>
      <c r="C1455" t="s">
        <v>192</v>
      </c>
      <c r="D1455" t="s">
        <v>219</v>
      </c>
      <c r="E1455" t="s">
        <v>91</v>
      </c>
      <c r="F1455" s="1">
        <v>266</v>
      </c>
    </row>
    <row r="1456" spans="1:6" x14ac:dyDescent="0.3">
      <c r="A1456" t="str">
        <f>_xlfn.XLOOKUP(ColombiaClientes[[#This Row],[Client]],VpsClientes[Client],VpsClientes[VP],"",0)</f>
        <v>Maria Forero Jara</v>
      </c>
      <c r="B1456" t="s">
        <v>182</v>
      </c>
      <c r="C1456" t="s">
        <v>92</v>
      </c>
      <c r="D1456" t="s">
        <v>219</v>
      </c>
      <c r="E1456" t="s">
        <v>91</v>
      </c>
      <c r="F1456" s="1">
        <v>29</v>
      </c>
    </row>
    <row r="1457" spans="1:6" x14ac:dyDescent="0.3">
      <c r="A1457" t="str">
        <f>_xlfn.XLOOKUP(ColombiaClientes[[#This Row],[Client]],VpsClientes[Client],VpsClientes[VP],"",0)</f>
        <v>Martha Guzman Arango</v>
      </c>
      <c r="B1457" t="s">
        <v>183</v>
      </c>
      <c r="C1457" t="s">
        <v>92</v>
      </c>
      <c r="D1457" t="s">
        <v>219</v>
      </c>
      <c r="E1457" t="s">
        <v>91</v>
      </c>
      <c r="F1457" s="1">
        <v>28</v>
      </c>
    </row>
    <row r="1458" spans="1:6" x14ac:dyDescent="0.3">
      <c r="A1458" t="str">
        <f>_xlfn.XLOOKUP(ColombiaClientes[[#This Row],[Client]],VpsClientes[Client],VpsClientes[VP],"",0)</f>
        <v>Carlos Beltran Hernandez</v>
      </c>
      <c r="B1458" t="s">
        <v>151</v>
      </c>
      <c r="C1458" t="s">
        <v>92</v>
      </c>
      <c r="D1458" t="s">
        <v>219</v>
      </c>
      <c r="E1458" t="s">
        <v>91</v>
      </c>
      <c r="F1458" s="1">
        <v>27</v>
      </c>
    </row>
    <row r="1459" spans="1:6" x14ac:dyDescent="0.3">
      <c r="A1459" t="str">
        <f>_xlfn.XLOOKUP(ColombiaClientes[[#This Row],[Client]],VpsClientes[Client],VpsClientes[VP],"",0)</f>
        <v>Martha Guzman Arango</v>
      </c>
      <c r="B1459" t="s">
        <v>180</v>
      </c>
      <c r="C1459" t="s">
        <v>92</v>
      </c>
      <c r="D1459" t="s">
        <v>219</v>
      </c>
      <c r="E1459" t="s">
        <v>91</v>
      </c>
      <c r="F1459" s="1">
        <v>24</v>
      </c>
    </row>
    <row r="1460" spans="1:6" x14ac:dyDescent="0.3">
      <c r="A1460" t="str">
        <f>_xlfn.XLOOKUP(ColombiaClientes[[#This Row],[Client]],VpsClientes[Client],VpsClientes[VP],"",0)</f>
        <v>Moises Saavedra Garcia</v>
      </c>
      <c r="B1460" t="s">
        <v>187</v>
      </c>
      <c r="C1460" t="s">
        <v>92</v>
      </c>
      <c r="D1460" t="s">
        <v>219</v>
      </c>
      <c r="E1460" t="s">
        <v>91</v>
      </c>
      <c r="F1460" s="1">
        <v>23</v>
      </c>
    </row>
    <row r="1461" spans="1:6" x14ac:dyDescent="0.3">
      <c r="A1461" t="str">
        <f>_xlfn.XLOOKUP(ColombiaClientes[[#This Row],[Client]],VpsClientes[Client],VpsClientes[VP],"",0)</f>
        <v>Hector Muraira Garza</v>
      </c>
      <c r="B1461" t="s">
        <v>167</v>
      </c>
      <c r="C1461" t="s">
        <v>92</v>
      </c>
      <c r="D1461" t="s">
        <v>219</v>
      </c>
      <c r="E1461" t="s">
        <v>91</v>
      </c>
      <c r="F1461" s="1">
        <v>20</v>
      </c>
    </row>
    <row r="1462" spans="1:6" x14ac:dyDescent="0.3">
      <c r="A1462" t="str">
        <f>_xlfn.XLOOKUP(ColombiaClientes[[#This Row],[Client]],VpsClientes[Client],VpsClientes[VP],"",0)</f>
        <v>Martha Guzman Arango</v>
      </c>
      <c r="B1462" t="s">
        <v>131</v>
      </c>
      <c r="C1462" t="s">
        <v>92</v>
      </c>
      <c r="D1462" t="s">
        <v>219</v>
      </c>
      <c r="E1462" t="s">
        <v>91</v>
      </c>
      <c r="F1462" s="1">
        <v>10</v>
      </c>
    </row>
    <row r="1463" spans="1:6" x14ac:dyDescent="0.3">
      <c r="A1463" t="str">
        <f>_xlfn.XLOOKUP(ColombiaClientes[[#This Row],[Client]],VpsClientes[Client],VpsClientes[VP],"",0)</f>
        <v>Martha Guzman Arango</v>
      </c>
      <c r="B1463" t="s">
        <v>188</v>
      </c>
      <c r="C1463" t="s">
        <v>92</v>
      </c>
      <c r="D1463" t="s">
        <v>219</v>
      </c>
      <c r="E1463" t="s">
        <v>91</v>
      </c>
      <c r="F1463" s="1">
        <v>9</v>
      </c>
    </row>
    <row r="1464" spans="1:6" x14ac:dyDescent="0.3">
      <c r="A1464" t="str">
        <f>_xlfn.XLOOKUP(ColombiaClientes[[#This Row],[Client]],VpsClientes[Client],VpsClientes[VP],"",0)</f>
        <v>Martha Guzman Arango</v>
      </c>
      <c r="B1464" t="s">
        <v>186</v>
      </c>
      <c r="C1464" t="s">
        <v>92</v>
      </c>
      <c r="D1464" t="s">
        <v>219</v>
      </c>
      <c r="E1464" t="s">
        <v>91</v>
      </c>
      <c r="F1464" s="1">
        <v>7</v>
      </c>
    </row>
    <row r="1465" spans="1:6" x14ac:dyDescent="0.3">
      <c r="A1465" t="str">
        <f>_xlfn.XLOOKUP(ColombiaClientes[[#This Row],[Client]],VpsClientes[Client],VpsClientes[VP],"",0)</f>
        <v>Martha Guzman Arango</v>
      </c>
      <c r="B1465" t="s">
        <v>189</v>
      </c>
      <c r="C1465" t="s">
        <v>92</v>
      </c>
      <c r="D1465" t="s">
        <v>219</v>
      </c>
      <c r="E1465" t="s">
        <v>91</v>
      </c>
      <c r="F1465" s="1">
        <v>0</v>
      </c>
    </row>
    <row r="1466" spans="1:6" x14ac:dyDescent="0.3">
      <c r="A1466" t="str">
        <f>_xlfn.XLOOKUP(ColombiaClientes[[#This Row],[Client]],VpsClientes[Client],VpsClientes[VP],"",0)</f>
        <v>Carlos Beltran Hernandez</v>
      </c>
      <c r="B1466" t="s">
        <v>93</v>
      </c>
      <c r="C1466" t="s">
        <v>191</v>
      </c>
      <c r="D1466" t="s">
        <v>219</v>
      </c>
      <c r="E1466" t="s">
        <v>91</v>
      </c>
      <c r="F1466" s="1">
        <v>26697</v>
      </c>
    </row>
    <row r="1467" spans="1:6" x14ac:dyDescent="0.3">
      <c r="A1467" t="str">
        <f>_xlfn.XLOOKUP(ColombiaClientes[[#This Row],[Client]],VpsClientes[Client],VpsClientes[VP],"",0)</f>
        <v>Carlos Beltran Hernandez</v>
      </c>
      <c r="B1467" t="s">
        <v>94</v>
      </c>
      <c r="C1467" t="s">
        <v>191</v>
      </c>
      <c r="D1467" t="s">
        <v>219</v>
      </c>
      <c r="E1467" t="s">
        <v>91</v>
      </c>
      <c r="F1467" s="1">
        <v>18694</v>
      </c>
    </row>
    <row r="1468" spans="1:6" x14ac:dyDescent="0.3">
      <c r="A1468" t="str">
        <f>_xlfn.XLOOKUP(ColombiaClientes[[#This Row],[Client]],VpsClientes[Client],VpsClientes[VP],"",0)</f>
        <v>Jhonatan Izquierdo Rico</v>
      </c>
      <c r="B1468" t="s">
        <v>104</v>
      </c>
      <c r="C1468" t="s">
        <v>191</v>
      </c>
      <c r="D1468" t="s">
        <v>219</v>
      </c>
      <c r="E1468" t="s">
        <v>91</v>
      </c>
      <c r="F1468" s="1">
        <v>15539</v>
      </c>
    </row>
    <row r="1469" spans="1:6" x14ac:dyDescent="0.3">
      <c r="A1469" t="str">
        <f>_xlfn.XLOOKUP(ColombiaClientes[[#This Row],[Client]],VpsClientes[Client],VpsClientes[VP],"",0)</f>
        <v>Martha Guzman Arango</v>
      </c>
      <c r="B1469" t="s">
        <v>96</v>
      </c>
      <c r="C1469" t="s">
        <v>191</v>
      </c>
      <c r="D1469" t="s">
        <v>219</v>
      </c>
      <c r="E1469" t="s">
        <v>91</v>
      </c>
      <c r="F1469" s="1">
        <v>14789</v>
      </c>
    </row>
    <row r="1470" spans="1:6" x14ac:dyDescent="0.3">
      <c r="A1470" t="str">
        <f>_xlfn.XLOOKUP(ColombiaClientes[[#This Row],[Client]],VpsClientes[Client],VpsClientes[VP],"",0)</f>
        <v>Moises Saavedra Garcia</v>
      </c>
      <c r="B1470" t="s">
        <v>99</v>
      </c>
      <c r="C1470" t="s">
        <v>191</v>
      </c>
      <c r="D1470" t="s">
        <v>219</v>
      </c>
      <c r="E1470" t="s">
        <v>91</v>
      </c>
      <c r="F1470" s="1">
        <v>9121</v>
      </c>
    </row>
    <row r="1471" spans="1:6" x14ac:dyDescent="0.3">
      <c r="A1471" t="str">
        <f>_xlfn.XLOOKUP(ColombiaClientes[[#This Row],[Client]],VpsClientes[Client],VpsClientes[VP],"",0)</f>
        <v>Maria Forero Jara</v>
      </c>
      <c r="B1471" t="s">
        <v>123</v>
      </c>
      <c r="C1471" t="s">
        <v>191</v>
      </c>
      <c r="D1471" t="s">
        <v>219</v>
      </c>
      <c r="E1471" t="s">
        <v>91</v>
      </c>
      <c r="F1471" s="1">
        <v>7442</v>
      </c>
    </row>
    <row r="1472" spans="1:6" x14ac:dyDescent="0.3">
      <c r="A1472" t="str">
        <f>_xlfn.XLOOKUP(ColombiaClientes[[#This Row],[Client]],VpsClientes[Client],VpsClientes[VP],"",0)</f>
        <v>Martha Guzman Arango</v>
      </c>
      <c r="B1472" t="s">
        <v>98</v>
      </c>
      <c r="C1472" t="s">
        <v>191</v>
      </c>
      <c r="D1472" t="s">
        <v>219</v>
      </c>
      <c r="E1472" t="s">
        <v>91</v>
      </c>
      <c r="F1472" s="1">
        <v>6926</v>
      </c>
    </row>
    <row r="1473" spans="1:6" x14ac:dyDescent="0.3">
      <c r="A1473" t="str">
        <f>_xlfn.XLOOKUP(ColombiaClientes[[#This Row],[Client]],VpsClientes[Client],VpsClientes[VP],"",0)</f>
        <v>Maria Forero Jara</v>
      </c>
      <c r="B1473" t="s">
        <v>101</v>
      </c>
      <c r="C1473" t="s">
        <v>191</v>
      </c>
      <c r="D1473" t="s">
        <v>219</v>
      </c>
      <c r="E1473" t="s">
        <v>91</v>
      </c>
      <c r="F1473" s="1">
        <v>5630</v>
      </c>
    </row>
    <row r="1474" spans="1:6" x14ac:dyDescent="0.3">
      <c r="A1474" t="str">
        <f>_xlfn.XLOOKUP(ColombiaClientes[[#This Row],[Client]],VpsClientes[Client],VpsClientes[VP],"",0)</f>
        <v>Carlos Beltran Hernandez</v>
      </c>
      <c r="B1474" t="s">
        <v>102</v>
      </c>
      <c r="C1474" t="s">
        <v>191</v>
      </c>
      <c r="D1474" t="s">
        <v>219</v>
      </c>
      <c r="E1474" t="s">
        <v>91</v>
      </c>
      <c r="F1474" s="1">
        <v>5439</v>
      </c>
    </row>
    <row r="1475" spans="1:6" x14ac:dyDescent="0.3">
      <c r="A1475" t="str">
        <f>_xlfn.XLOOKUP(ColombiaClientes[[#This Row],[Client]],VpsClientes[Client],VpsClientes[VP],"",0)</f>
        <v>Jhonatan Izquierdo Rico</v>
      </c>
      <c r="B1475" t="s">
        <v>112</v>
      </c>
      <c r="C1475" t="s">
        <v>191</v>
      </c>
      <c r="D1475" t="s">
        <v>219</v>
      </c>
      <c r="E1475" t="s">
        <v>91</v>
      </c>
      <c r="F1475" s="1">
        <v>4948</v>
      </c>
    </row>
    <row r="1476" spans="1:6" x14ac:dyDescent="0.3">
      <c r="A1476" t="str">
        <f>_xlfn.XLOOKUP(ColombiaClientes[[#This Row],[Client]],VpsClientes[Client],VpsClientes[VP],"",0)</f>
        <v>Carlos Castillo Figueroa</v>
      </c>
      <c r="B1476" t="s">
        <v>105</v>
      </c>
      <c r="C1476" t="s">
        <v>191</v>
      </c>
      <c r="D1476" t="s">
        <v>219</v>
      </c>
      <c r="E1476" t="s">
        <v>91</v>
      </c>
      <c r="F1476" s="1">
        <v>4739</v>
      </c>
    </row>
    <row r="1477" spans="1:6" x14ac:dyDescent="0.3">
      <c r="A1477" t="str">
        <f>_xlfn.XLOOKUP(ColombiaClientes[[#This Row],[Client]],VpsClientes[Client],VpsClientes[VP],"",0)</f>
        <v>Martha Guzman Arango</v>
      </c>
      <c r="B1477" t="s">
        <v>109</v>
      </c>
      <c r="C1477" t="s">
        <v>191</v>
      </c>
      <c r="D1477" t="s">
        <v>219</v>
      </c>
      <c r="E1477" t="s">
        <v>91</v>
      </c>
      <c r="F1477" s="1">
        <v>4651</v>
      </c>
    </row>
    <row r="1478" spans="1:6" x14ac:dyDescent="0.3">
      <c r="A1478" t="str">
        <f>_xlfn.XLOOKUP(ColombiaClientes[[#This Row],[Client]],VpsClientes[Client],VpsClientes[VP],"",0)</f>
        <v>Ludy Torres Benitez</v>
      </c>
      <c r="B1478" t="s">
        <v>95</v>
      </c>
      <c r="C1478" t="s">
        <v>191</v>
      </c>
      <c r="D1478" t="s">
        <v>219</v>
      </c>
      <c r="E1478" t="s">
        <v>91</v>
      </c>
      <c r="F1478" s="1">
        <v>4505</v>
      </c>
    </row>
    <row r="1479" spans="1:6" x14ac:dyDescent="0.3">
      <c r="A1479" t="str">
        <f>_xlfn.XLOOKUP(ColombiaClientes[[#This Row],[Client]],VpsClientes[Client],VpsClientes[VP],"",0)</f>
        <v>Jhonatan Izquierdo Rico</v>
      </c>
      <c r="B1479" t="s">
        <v>107</v>
      </c>
      <c r="C1479" t="s">
        <v>191</v>
      </c>
      <c r="D1479" t="s">
        <v>219</v>
      </c>
      <c r="E1479" t="s">
        <v>91</v>
      </c>
      <c r="F1479" s="1">
        <v>4495</v>
      </c>
    </row>
    <row r="1480" spans="1:6" x14ac:dyDescent="0.3">
      <c r="A1480" t="str">
        <f>_xlfn.XLOOKUP(ColombiaClientes[[#This Row],[Client]],VpsClientes[Client],VpsClientes[VP],"",0)</f>
        <v>Martha Guzman Arango</v>
      </c>
      <c r="B1480" t="s">
        <v>100</v>
      </c>
      <c r="C1480" t="s">
        <v>191</v>
      </c>
      <c r="D1480" t="s">
        <v>219</v>
      </c>
      <c r="E1480" t="s">
        <v>91</v>
      </c>
      <c r="F1480" s="1">
        <v>3897</v>
      </c>
    </row>
    <row r="1481" spans="1:6" x14ac:dyDescent="0.3">
      <c r="A1481" t="str">
        <f>_xlfn.XLOOKUP(ColombiaClientes[[#This Row],[Client]],VpsClientes[Client],VpsClientes[VP],"",0)</f>
        <v>Ernesto Rico Zuluaga</v>
      </c>
      <c r="B1481" t="s">
        <v>121</v>
      </c>
      <c r="C1481" t="s">
        <v>191</v>
      </c>
      <c r="D1481" t="s">
        <v>219</v>
      </c>
      <c r="E1481" t="s">
        <v>91</v>
      </c>
      <c r="F1481" s="1">
        <v>3824</v>
      </c>
    </row>
    <row r="1482" spans="1:6" x14ac:dyDescent="0.3">
      <c r="A1482" t="str">
        <f>_xlfn.XLOOKUP(ColombiaClientes[[#This Row],[Client]],VpsClientes[Client],VpsClientes[VP],"",0)</f>
        <v>Jhonatan Izquierdo Rico</v>
      </c>
      <c r="B1482" t="s">
        <v>128</v>
      </c>
      <c r="C1482" t="s">
        <v>191</v>
      </c>
      <c r="D1482" t="s">
        <v>219</v>
      </c>
      <c r="E1482" t="s">
        <v>91</v>
      </c>
      <c r="F1482" s="1">
        <v>2998</v>
      </c>
    </row>
    <row r="1483" spans="1:6" x14ac:dyDescent="0.3">
      <c r="A1483" t="str">
        <f>_xlfn.XLOOKUP(ColombiaClientes[[#This Row],[Client]],VpsClientes[Client],VpsClientes[VP],"",0)</f>
        <v>Maria Forero Jara</v>
      </c>
      <c r="B1483" t="s">
        <v>125</v>
      </c>
      <c r="C1483" t="s">
        <v>191</v>
      </c>
      <c r="D1483" t="s">
        <v>219</v>
      </c>
      <c r="E1483" t="s">
        <v>91</v>
      </c>
      <c r="F1483" s="1">
        <v>2891</v>
      </c>
    </row>
    <row r="1484" spans="1:6" x14ac:dyDescent="0.3">
      <c r="A1484" t="str">
        <f>_xlfn.XLOOKUP(ColombiaClientes[[#This Row],[Client]],VpsClientes[Client],VpsClientes[VP],"",0)</f>
        <v>Moises Saavedra Garcia</v>
      </c>
      <c r="B1484" t="s">
        <v>120</v>
      </c>
      <c r="C1484" t="s">
        <v>191</v>
      </c>
      <c r="D1484" t="s">
        <v>219</v>
      </c>
      <c r="E1484" t="s">
        <v>91</v>
      </c>
      <c r="F1484" s="1">
        <v>2785</v>
      </c>
    </row>
    <row r="1485" spans="1:6" x14ac:dyDescent="0.3">
      <c r="A1485" t="str">
        <f>_xlfn.XLOOKUP(ColombiaClientes[[#This Row],[Client]],VpsClientes[Client],VpsClientes[VP],"",0)</f>
        <v>Martha Guzman Arango</v>
      </c>
      <c r="B1485" t="s">
        <v>122</v>
      </c>
      <c r="C1485" t="s">
        <v>191</v>
      </c>
      <c r="D1485" t="s">
        <v>219</v>
      </c>
      <c r="E1485" t="s">
        <v>91</v>
      </c>
      <c r="F1485" s="1">
        <v>2516</v>
      </c>
    </row>
    <row r="1486" spans="1:6" x14ac:dyDescent="0.3">
      <c r="A1486" t="str">
        <f>_xlfn.XLOOKUP(ColombiaClientes[[#This Row],[Client]],VpsClientes[Client],VpsClientes[VP],"",0)</f>
        <v>Maria Forero Jara</v>
      </c>
      <c r="B1486" t="s">
        <v>106</v>
      </c>
      <c r="C1486" t="s">
        <v>191</v>
      </c>
      <c r="D1486" t="s">
        <v>219</v>
      </c>
      <c r="E1486" t="s">
        <v>91</v>
      </c>
      <c r="F1486" s="1">
        <v>2312</v>
      </c>
    </row>
    <row r="1487" spans="1:6" x14ac:dyDescent="0.3">
      <c r="A1487" t="str">
        <f>_xlfn.XLOOKUP(ColombiaClientes[[#This Row],[Client]],VpsClientes[Client],VpsClientes[VP],"",0)</f>
        <v>Ernesto Rico Zuluaga</v>
      </c>
      <c r="B1487" t="s">
        <v>116</v>
      </c>
      <c r="C1487" t="s">
        <v>191</v>
      </c>
      <c r="D1487" t="s">
        <v>219</v>
      </c>
      <c r="E1487" t="s">
        <v>91</v>
      </c>
      <c r="F1487" s="1">
        <v>2310</v>
      </c>
    </row>
    <row r="1488" spans="1:6" x14ac:dyDescent="0.3">
      <c r="A1488" t="str">
        <f>_xlfn.XLOOKUP(ColombiaClientes[[#This Row],[Client]],VpsClientes[Client],VpsClientes[VP],"",0)</f>
        <v>Moises Saavedra Garcia</v>
      </c>
      <c r="B1488" t="s">
        <v>110</v>
      </c>
      <c r="C1488" t="s">
        <v>191</v>
      </c>
      <c r="D1488" t="s">
        <v>219</v>
      </c>
      <c r="E1488" t="s">
        <v>91</v>
      </c>
      <c r="F1488" s="1">
        <v>2196</v>
      </c>
    </row>
    <row r="1489" spans="1:6" x14ac:dyDescent="0.3">
      <c r="A1489" t="str">
        <f>_xlfn.XLOOKUP(ColombiaClientes[[#This Row],[Client]],VpsClientes[Client],VpsClientes[VP],"",0)</f>
        <v>Maria Forero Jara</v>
      </c>
      <c r="B1489" t="s">
        <v>108</v>
      </c>
      <c r="C1489" t="s">
        <v>191</v>
      </c>
      <c r="D1489" t="s">
        <v>219</v>
      </c>
      <c r="E1489" t="s">
        <v>91</v>
      </c>
      <c r="F1489" s="1">
        <v>2036</v>
      </c>
    </row>
    <row r="1490" spans="1:6" x14ac:dyDescent="0.3">
      <c r="A1490" t="str">
        <f>_xlfn.XLOOKUP(ColombiaClientes[[#This Row],[Client]],VpsClientes[Client],VpsClientes[VP],"",0)</f>
        <v>Sandra Romero Zuluaga</v>
      </c>
      <c r="B1490" t="s">
        <v>113</v>
      </c>
      <c r="C1490" t="s">
        <v>191</v>
      </c>
      <c r="D1490" t="s">
        <v>219</v>
      </c>
      <c r="E1490" t="s">
        <v>91</v>
      </c>
      <c r="F1490" s="1">
        <v>1755</v>
      </c>
    </row>
    <row r="1491" spans="1:6" x14ac:dyDescent="0.3">
      <c r="A1491" t="str">
        <f>_xlfn.XLOOKUP(ColombiaClientes[[#This Row],[Client]],VpsClientes[Client],VpsClientes[VP],"",0)</f>
        <v>Maria Forero Jara</v>
      </c>
      <c r="B1491" t="s">
        <v>139</v>
      </c>
      <c r="C1491" t="s">
        <v>191</v>
      </c>
      <c r="D1491" t="s">
        <v>219</v>
      </c>
      <c r="E1491" t="s">
        <v>91</v>
      </c>
      <c r="F1491" s="1">
        <v>1744</v>
      </c>
    </row>
    <row r="1492" spans="1:6" x14ac:dyDescent="0.3">
      <c r="A1492" t="str">
        <f>_xlfn.XLOOKUP(ColombiaClientes[[#This Row],[Client]],VpsClientes[Client],VpsClientes[VP],"",0)</f>
        <v>Moises Saavedra Garcia</v>
      </c>
      <c r="B1492" t="s">
        <v>115</v>
      </c>
      <c r="C1492" t="s">
        <v>191</v>
      </c>
      <c r="D1492" t="s">
        <v>219</v>
      </c>
      <c r="E1492" t="s">
        <v>91</v>
      </c>
      <c r="F1492" s="1">
        <v>1718</v>
      </c>
    </row>
    <row r="1493" spans="1:6" x14ac:dyDescent="0.3">
      <c r="A1493" t="str">
        <f>_xlfn.XLOOKUP(ColombiaClientes[[#This Row],[Client]],VpsClientes[Client],VpsClientes[VP],"",0)</f>
        <v>Martha Guzman Arango</v>
      </c>
      <c r="B1493" t="s">
        <v>114</v>
      </c>
      <c r="C1493" t="s">
        <v>191</v>
      </c>
      <c r="D1493" t="s">
        <v>219</v>
      </c>
      <c r="E1493" t="s">
        <v>91</v>
      </c>
      <c r="F1493" s="1">
        <v>1689</v>
      </c>
    </row>
    <row r="1494" spans="1:6" x14ac:dyDescent="0.3">
      <c r="A1494" t="str">
        <f>_xlfn.XLOOKUP(ColombiaClientes[[#This Row],[Client]],VpsClientes[Client],VpsClientes[VP],"",0)</f>
        <v>Martha Guzman Arango</v>
      </c>
      <c r="B1494" t="s">
        <v>103</v>
      </c>
      <c r="C1494" t="s">
        <v>191</v>
      </c>
      <c r="D1494" t="s">
        <v>219</v>
      </c>
      <c r="E1494" t="s">
        <v>91</v>
      </c>
      <c r="F1494" s="1">
        <v>1637</v>
      </c>
    </row>
    <row r="1495" spans="1:6" x14ac:dyDescent="0.3">
      <c r="A1495" t="str">
        <f>_xlfn.XLOOKUP(ColombiaClientes[[#This Row],[Client]],VpsClientes[Client],VpsClientes[VP],"",0)</f>
        <v>Martha Guzman Arango</v>
      </c>
      <c r="B1495" t="s">
        <v>97</v>
      </c>
      <c r="C1495" t="s">
        <v>191</v>
      </c>
      <c r="D1495" t="s">
        <v>219</v>
      </c>
      <c r="E1495" t="s">
        <v>91</v>
      </c>
      <c r="F1495" s="1">
        <v>1425</v>
      </c>
    </row>
    <row r="1496" spans="1:6" x14ac:dyDescent="0.3">
      <c r="A1496" t="str">
        <f>_xlfn.XLOOKUP(ColombiaClientes[[#This Row],[Client]],VpsClientes[Client],VpsClientes[VP],"",0)</f>
        <v>Jhonatan Izquierdo Rico</v>
      </c>
      <c r="B1496" t="s">
        <v>126</v>
      </c>
      <c r="C1496" t="s">
        <v>191</v>
      </c>
      <c r="D1496" t="s">
        <v>219</v>
      </c>
      <c r="E1496" t="s">
        <v>91</v>
      </c>
      <c r="F1496" s="1">
        <v>1314</v>
      </c>
    </row>
    <row r="1497" spans="1:6" x14ac:dyDescent="0.3">
      <c r="A1497" t="str">
        <f>_xlfn.XLOOKUP(ColombiaClientes[[#This Row],[Client]],VpsClientes[Client],VpsClientes[VP],"",0)</f>
        <v>Martha Guzman Arango</v>
      </c>
      <c r="B1497" t="s">
        <v>118</v>
      </c>
      <c r="C1497" t="s">
        <v>191</v>
      </c>
      <c r="D1497" t="s">
        <v>219</v>
      </c>
      <c r="E1497" t="s">
        <v>91</v>
      </c>
      <c r="F1497" s="1">
        <v>1284</v>
      </c>
    </row>
    <row r="1498" spans="1:6" x14ac:dyDescent="0.3">
      <c r="A1498" t="str">
        <f>_xlfn.XLOOKUP(ColombiaClientes[[#This Row],[Client]],VpsClientes[Client],VpsClientes[VP],"",0)</f>
        <v>Jhonatan Izquierdo Rico</v>
      </c>
      <c r="B1498" t="s">
        <v>138</v>
      </c>
      <c r="C1498" t="s">
        <v>191</v>
      </c>
      <c r="D1498" t="s">
        <v>219</v>
      </c>
      <c r="E1498" t="s">
        <v>91</v>
      </c>
      <c r="F1498" s="1">
        <v>1250</v>
      </c>
    </row>
    <row r="1499" spans="1:6" x14ac:dyDescent="0.3">
      <c r="A1499" t="str">
        <f>_xlfn.XLOOKUP(ColombiaClientes[[#This Row],[Client]],VpsClientes[Client],VpsClientes[VP],"",0)</f>
        <v>Juan Granados Castillo</v>
      </c>
      <c r="B1499" t="s">
        <v>136</v>
      </c>
      <c r="C1499" t="s">
        <v>191</v>
      </c>
      <c r="D1499" t="s">
        <v>219</v>
      </c>
      <c r="E1499" t="s">
        <v>91</v>
      </c>
      <c r="F1499" s="1">
        <v>1023</v>
      </c>
    </row>
    <row r="1500" spans="1:6" x14ac:dyDescent="0.3">
      <c r="A1500" t="str">
        <f>_xlfn.XLOOKUP(ColombiaClientes[[#This Row],[Client]],VpsClientes[Client],VpsClientes[VP],"",0)</f>
        <v>Jhonatan Izquierdo Rico</v>
      </c>
      <c r="B1500" t="s">
        <v>117</v>
      </c>
      <c r="C1500" t="s">
        <v>191</v>
      </c>
      <c r="D1500" t="s">
        <v>219</v>
      </c>
      <c r="E1500" t="s">
        <v>91</v>
      </c>
      <c r="F1500" s="1">
        <v>983</v>
      </c>
    </row>
    <row r="1501" spans="1:6" x14ac:dyDescent="0.3">
      <c r="A1501" t="str">
        <f>_xlfn.XLOOKUP(ColombiaClientes[[#This Row],[Client]],VpsClientes[Client],VpsClientes[VP],"",0)</f>
        <v>Carlos Beltran Hernandez</v>
      </c>
      <c r="B1501" t="s">
        <v>119</v>
      </c>
      <c r="C1501" t="s">
        <v>191</v>
      </c>
      <c r="D1501" t="s">
        <v>219</v>
      </c>
      <c r="E1501" t="s">
        <v>91</v>
      </c>
      <c r="F1501" s="1">
        <v>981</v>
      </c>
    </row>
    <row r="1502" spans="1:6" x14ac:dyDescent="0.3">
      <c r="A1502" t="str">
        <f>_xlfn.XLOOKUP(ColombiaClientes[[#This Row],[Client]],VpsClientes[Client],VpsClientes[VP],"",0)</f>
        <v>Hector Muraira Garza</v>
      </c>
      <c r="B1502" t="s">
        <v>132</v>
      </c>
      <c r="C1502" t="s">
        <v>191</v>
      </c>
      <c r="D1502" t="s">
        <v>219</v>
      </c>
      <c r="E1502" t="s">
        <v>91</v>
      </c>
      <c r="F1502" s="1">
        <v>977</v>
      </c>
    </row>
    <row r="1503" spans="1:6" x14ac:dyDescent="0.3">
      <c r="A1503" t="str">
        <f>_xlfn.XLOOKUP(ColombiaClientes[[#This Row],[Client]],VpsClientes[Client],VpsClientes[VP],"",0)</f>
        <v>Juan Granados Castillo</v>
      </c>
      <c r="B1503" t="s">
        <v>134</v>
      </c>
      <c r="C1503" t="s">
        <v>191</v>
      </c>
      <c r="D1503" t="s">
        <v>219</v>
      </c>
      <c r="E1503" t="s">
        <v>91</v>
      </c>
      <c r="F1503" s="1">
        <v>913</v>
      </c>
    </row>
    <row r="1504" spans="1:6" x14ac:dyDescent="0.3">
      <c r="A1504" t="str">
        <f>_xlfn.XLOOKUP(ColombiaClientes[[#This Row],[Client]],VpsClientes[Client],VpsClientes[VP],"",0)</f>
        <v>Hector Muraira Garza</v>
      </c>
      <c r="B1504" t="s">
        <v>130</v>
      </c>
      <c r="C1504" t="s">
        <v>191</v>
      </c>
      <c r="D1504" t="s">
        <v>219</v>
      </c>
      <c r="E1504" t="s">
        <v>91</v>
      </c>
      <c r="F1504" s="1">
        <v>902</v>
      </c>
    </row>
    <row r="1505" spans="1:6" x14ac:dyDescent="0.3">
      <c r="A1505" t="str">
        <f>_xlfn.XLOOKUP(ColombiaClientes[[#This Row],[Client]],VpsClientes[Client],VpsClientes[VP],"",0)</f>
        <v>Hector Muraira Garza</v>
      </c>
      <c r="B1505" t="s">
        <v>137</v>
      </c>
      <c r="C1505" t="s">
        <v>191</v>
      </c>
      <c r="D1505" t="s">
        <v>219</v>
      </c>
      <c r="E1505" t="s">
        <v>91</v>
      </c>
      <c r="F1505" s="1">
        <v>858</v>
      </c>
    </row>
    <row r="1506" spans="1:6" x14ac:dyDescent="0.3">
      <c r="A1506" t="str">
        <f>_xlfn.XLOOKUP(ColombiaClientes[[#This Row],[Client]],VpsClientes[Client],VpsClientes[VP],"",0)</f>
        <v>Martha Guzman Arango</v>
      </c>
      <c r="B1506" t="s">
        <v>152</v>
      </c>
      <c r="C1506" t="s">
        <v>191</v>
      </c>
      <c r="D1506" t="s">
        <v>219</v>
      </c>
      <c r="E1506" t="s">
        <v>91</v>
      </c>
      <c r="F1506" s="1">
        <v>746</v>
      </c>
    </row>
    <row r="1507" spans="1:6" x14ac:dyDescent="0.3">
      <c r="A1507" t="str">
        <f>_xlfn.XLOOKUP(ColombiaClientes[[#This Row],[Client]],VpsClientes[Client],VpsClientes[VP],"",0)</f>
        <v>Martha Guzman Arango</v>
      </c>
      <c r="B1507" t="s">
        <v>135</v>
      </c>
      <c r="C1507" t="s">
        <v>191</v>
      </c>
      <c r="D1507" t="s">
        <v>219</v>
      </c>
      <c r="E1507" t="s">
        <v>91</v>
      </c>
      <c r="F1507" s="1">
        <v>661</v>
      </c>
    </row>
    <row r="1508" spans="1:6" x14ac:dyDescent="0.3">
      <c r="A1508" t="str">
        <f>_xlfn.XLOOKUP(ColombiaClientes[[#This Row],[Client]],VpsClientes[Client],VpsClientes[VP],"",0)</f>
        <v>Martha Guzman Arango</v>
      </c>
      <c r="B1508" t="s">
        <v>143</v>
      </c>
      <c r="C1508" t="s">
        <v>191</v>
      </c>
      <c r="D1508" t="s">
        <v>219</v>
      </c>
      <c r="E1508" t="s">
        <v>91</v>
      </c>
      <c r="F1508" s="1">
        <v>571</v>
      </c>
    </row>
    <row r="1509" spans="1:6" x14ac:dyDescent="0.3">
      <c r="A1509" t="str">
        <f>_xlfn.XLOOKUP(ColombiaClientes[[#This Row],[Client]],VpsClientes[Client],VpsClientes[VP],"",0)</f>
        <v>Jhonatan Izquierdo Rico</v>
      </c>
      <c r="B1509" t="s">
        <v>157</v>
      </c>
      <c r="C1509" t="s">
        <v>191</v>
      </c>
      <c r="D1509" t="s">
        <v>219</v>
      </c>
      <c r="E1509" t="s">
        <v>91</v>
      </c>
      <c r="F1509" s="1">
        <v>490</v>
      </c>
    </row>
    <row r="1510" spans="1:6" x14ac:dyDescent="0.3">
      <c r="A1510" t="str">
        <f>_xlfn.XLOOKUP(ColombiaClientes[[#This Row],[Client]],VpsClientes[Client],VpsClientes[VP],"",0)</f>
        <v>Martha Guzman Arango</v>
      </c>
      <c r="B1510" t="s">
        <v>156</v>
      </c>
      <c r="C1510" t="s">
        <v>191</v>
      </c>
      <c r="D1510" t="s">
        <v>219</v>
      </c>
      <c r="E1510" t="s">
        <v>91</v>
      </c>
      <c r="F1510" s="1">
        <v>457</v>
      </c>
    </row>
    <row r="1511" spans="1:6" x14ac:dyDescent="0.3">
      <c r="A1511" t="str">
        <f>_xlfn.XLOOKUP(ColombiaClientes[[#This Row],[Client]],VpsClientes[Client],VpsClientes[VP],"",0)</f>
        <v>Maria Forero Jara</v>
      </c>
      <c r="B1511" t="s">
        <v>111</v>
      </c>
      <c r="C1511" t="s">
        <v>191</v>
      </c>
      <c r="D1511" t="s">
        <v>219</v>
      </c>
      <c r="E1511" t="s">
        <v>91</v>
      </c>
      <c r="F1511" s="1">
        <v>450</v>
      </c>
    </row>
    <row r="1512" spans="1:6" x14ac:dyDescent="0.3">
      <c r="A1512" t="str">
        <f>_xlfn.XLOOKUP(ColombiaClientes[[#This Row],[Client]],VpsClientes[Client],VpsClientes[VP],"",0)</f>
        <v>Moises Saavedra Garcia</v>
      </c>
      <c r="B1512" t="s">
        <v>150</v>
      </c>
      <c r="C1512" t="s">
        <v>191</v>
      </c>
      <c r="D1512" t="s">
        <v>219</v>
      </c>
      <c r="E1512" t="s">
        <v>91</v>
      </c>
      <c r="F1512" s="1">
        <v>440</v>
      </c>
    </row>
    <row r="1513" spans="1:6" x14ac:dyDescent="0.3">
      <c r="A1513" t="str">
        <f>_xlfn.XLOOKUP(ColombiaClientes[[#This Row],[Client]],VpsClientes[Client],VpsClientes[VP],"",0)</f>
        <v>Hector Muraira Garza</v>
      </c>
      <c r="B1513" t="s">
        <v>140</v>
      </c>
      <c r="C1513" t="s">
        <v>191</v>
      </c>
      <c r="D1513" t="s">
        <v>219</v>
      </c>
      <c r="E1513" t="s">
        <v>91</v>
      </c>
      <c r="F1513" s="1">
        <v>413</v>
      </c>
    </row>
    <row r="1514" spans="1:6" x14ac:dyDescent="0.3">
      <c r="A1514" t="str">
        <f>_xlfn.XLOOKUP(ColombiaClientes[[#This Row],[Client]],VpsClientes[Client],VpsClientes[VP],"",0)</f>
        <v>Martha Guzman Arango</v>
      </c>
      <c r="B1514" t="s">
        <v>146</v>
      </c>
      <c r="C1514" t="s">
        <v>191</v>
      </c>
      <c r="D1514" t="s">
        <v>219</v>
      </c>
      <c r="E1514" t="s">
        <v>91</v>
      </c>
      <c r="F1514" s="1">
        <v>397</v>
      </c>
    </row>
    <row r="1515" spans="1:6" x14ac:dyDescent="0.3">
      <c r="A1515" t="str">
        <f>_xlfn.XLOOKUP(ColombiaClientes[[#This Row],[Client]],VpsClientes[Client],VpsClientes[VP],"",0)</f>
        <v>Martha Guzman Arango</v>
      </c>
      <c r="B1515" t="s">
        <v>168</v>
      </c>
      <c r="C1515" t="s">
        <v>191</v>
      </c>
      <c r="D1515" t="s">
        <v>219</v>
      </c>
      <c r="E1515" t="s">
        <v>91</v>
      </c>
      <c r="F1515" s="1">
        <v>376</v>
      </c>
    </row>
    <row r="1516" spans="1:6" x14ac:dyDescent="0.3">
      <c r="A1516" t="str">
        <f>_xlfn.XLOOKUP(ColombiaClientes[[#This Row],[Client]],VpsClientes[Client],VpsClientes[VP],"",0)</f>
        <v>Hector Muraira Garza</v>
      </c>
      <c r="B1516" t="s">
        <v>154</v>
      </c>
      <c r="C1516" t="s">
        <v>191</v>
      </c>
      <c r="D1516" t="s">
        <v>219</v>
      </c>
      <c r="E1516" t="s">
        <v>91</v>
      </c>
      <c r="F1516" s="1">
        <v>362</v>
      </c>
    </row>
    <row r="1517" spans="1:6" x14ac:dyDescent="0.3">
      <c r="A1517" t="str">
        <f>_xlfn.XLOOKUP(ColombiaClientes[[#This Row],[Client]],VpsClientes[Client],VpsClientes[VP],"",0)</f>
        <v>Maria Forero Jara</v>
      </c>
      <c r="B1517" t="s">
        <v>163</v>
      </c>
      <c r="C1517" t="s">
        <v>191</v>
      </c>
      <c r="D1517" t="s">
        <v>219</v>
      </c>
      <c r="E1517" t="s">
        <v>91</v>
      </c>
      <c r="F1517" s="1">
        <v>357</v>
      </c>
    </row>
    <row r="1518" spans="1:6" x14ac:dyDescent="0.3">
      <c r="A1518" t="str">
        <f>_xlfn.XLOOKUP(ColombiaClientes[[#This Row],[Client]],VpsClientes[Client],VpsClientes[VP],"",0)</f>
        <v>Jhonatan Izquierdo Rico</v>
      </c>
      <c r="B1518" t="s">
        <v>129</v>
      </c>
      <c r="C1518" t="s">
        <v>191</v>
      </c>
      <c r="D1518" t="s">
        <v>219</v>
      </c>
      <c r="E1518" t="s">
        <v>91</v>
      </c>
      <c r="F1518" s="1">
        <v>352</v>
      </c>
    </row>
    <row r="1519" spans="1:6" x14ac:dyDescent="0.3">
      <c r="A1519" t="str">
        <f>_xlfn.XLOOKUP(ColombiaClientes[[#This Row],[Client]],VpsClientes[Client],VpsClientes[VP],"",0)</f>
        <v>Martha Guzman Arango</v>
      </c>
      <c r="B1519" t="s">
        <v>124</v>
      </c>
      <c r="C1519" t="s">
        <v>191</v>
      </c>
      <c r="D1519" t="s">
        <v>219</v>
      </c>
      <c r="E1519" t="s">
        <v>91</v>
      </c>
      <c r="F1519" s="1">
        <v>338</v>
      </c>
    </row>
    <row r="1520" spans="1:6" x14ac:dyDescent="0.3">
      <c r="A1520" t="str">
        <f>_xlfn.XLOOKUP(ColombiaClientes[[#This Row],[Client]],VpsClientes[Client],VpsClientes[VP],"",0)</f>
        <v>Carlos Beltran Hernandez</v>
      </c>
      <c r="B1520" t="s">
        <v>151</v>
      </c>
      <c r="C1520" t="s">
        <v>191</v>
      </c>
      <c r="D1520" t="s">
        <v>219</v>
      </c>
      <c r="E1520" t="s">
        <v>91</v>
      </c>
      <c r="F1520" s="1">
        <v>312</v>
      </c>
    </row>
    <row r="1521" spans="1:6" x14ac:dyDescent="0.3">
      <c r="A1521" t="str">
        <f>_xlfn.XLOOKUP(ColombiaClientes[[#This Row],[Client]],VpsClientes[Client],VpsClientes[VP],"",0)</f>
        <v>Martha Guzman Arango</v>
      </c>
      <c r="B1521" t="s">
        <v>153</v>
      </c>
      <c r="C1521" t="s">
        <v>191</v>
      </c>
      <c r="D1521" t="s">
        <v>219</v>
      </c>
      <c r="E1521" t="s">
        <v>91</v>
      </c>
      <c r="F1521" s="1">
        <v>310</v>
      </c>
    </row>
    <row r="1522" spans="1:6" x14ac:dyDescent="0.3">
      <c r="A1522" t="str">
        <f>_xlfn.XLOOKUP(ColombiaClientes[[#This Row],[Client]],VpsClientes[Client],VpsClientes[VP],"",0)</f>
        <v>Juan Granados Castillo</v>
      </c>
      <c r="B1522" t="s">
        <v>142</v>
      </c>
      <c r="C1522" t="s">
        <v>191</v>
      </c>
      <c r="D1522" t="s">
        <v>219</v>
      </c>
      <c r="E1522" t="s">
        <v>91</v>
      </c>
      <c r="F1522" s="1">
        <v>276</v>
      </c>
    </row>
    <row r="1523" spans="1:6" x14ac:dyDescent="0.3">
      <c r="A1523">
        <f>_xlfn.XLOOKUP(ColombiaClientes[[#This Row],[Client]],VpsClientes[Client],VpsClientes[VP],"",0)</f>
        <v>0</v>
      </c>
      <c r="B1523" t="s">
        <v>141</v>
      </c>
      <c r="C1523" t="s">
        <v>194</v>
      </c>
      <c r="D1523" t="s">
        <v>219</v>
      </c>
      <c r="E1523" t="s">
        <v>91</v>
      </c>
      <c r="F1523" s="1">
        <v>245</v>
      </c>
    </row>
    <row r="1524" spans="1:6" x14ac:dyDescent="0.3">
      <c r="A1524" t="str">
        <f>_xlfn.XLOOKUP(ColombiaClientes[[#This Row],[Client]],VpsClientes[Client],VpsClientes[VP],"",0)</f>
        <v>Martha Guzman Arango</v>
      </c>
      <c r="B1524" t="s">
        <v>166</v>
      </c>
      <c r="C1524" t="s">
        <v>191</v>
      </c>
      <c r="D1524" t="s">
        <v>219</v>
      </c>
      <c r="E1524" t="s">
        <v>91</v>
      </c>
      <c r="F1524" s="1">
        <v>230</v>
      </c>
    </row>
    <row r="1525" spans="1:6" x14ac:dyDescent="0.3">
      <c r="A1525" t="str">
        <f>_xlfn.XLOOKUP(ColombiaClientes[[#This Row],[Client]],VpsClientes[Client],VpsClientes[VP],"",0)</f>
        <v>Maria Forero Jara</v>
      </c>
      <c r="B1525" t="s">
        <v>144</v>
      </c>
      <c r="C1525" t="s">
        <v>191</v>
      </c>
      <c r="D1525" t="s">
        <v>219</v>
      </c>
      <c r="E1525" t="s">
        <v>91</v>
      </c>
      <c r="F1525" s="1">
        <v>223</v>
      </c>
    </row>
    <row r="1526" spans="1:6" x14ac:dyDescent="0.3">
      <c r="A1526" t="str">
        <f>_xlfn.XLOOKUP(ColombiaClientes[[#This Row],[Client]],VpsClientes[Client],VpsClientes[VP],"",0)</f>
        <v>Martha Guzman Arango</v>
      </c>
      <c r="B1526" t="s">
        <v>170</v>
      </c>
      <c r="C1526" t="s">
        <v>191</v>
      </c>
      <c r="D1526" t="s">
        <v>219</v>
      </c>
      <c r="E1526" t="s">
        <v>91</v>
      </c>
      <c r="F1526" s="1">
        <v>197</v>
      </c>
    </row>
    <row r="1527" spans="1:6" x14ac:dyDescent="0.3">
      <c r="A1527" t="str">
        <f>_xlfn.XLOOKUP(ColombiaClientes[[#This Row],[Client]],VpsClientes[Client],VpsClientes[VP],"",0)</f>
        <v>Martha Guzman Arango</v>
      </c>
      <c r="B1527" t="s">
        <v>171</v>
      </c>
      <c r="C1527" t="s">
        <v>191</v>
      </c>
      <c r="D1527" t="s">
        <v>219</v>
      </c>
      <c r="E1527" t="s">
        <v>91</v>
      </c>
      <c r="F1527" s="1">
        <v>188</v>
      </c>
    </row>
    <row r="1528" spans="1:6" x14ac:dyDescent="0.3">
      <c r="A1528" t="str">
        <f>_xlfn.XLOOKUP(ColombiaClientes[[#This Row],[Client]],VpsClientes[Client],VpsClientes[VP],"",0)</f>
        <v>Martha Guzman Arango</v>
      </c>
      <c r="B1528" t="s">
        <v>145</v>
      </c>
      <c r="C1528" t="s">
        <v>191</v>
      </c>
      <c r="D1528" t="s">
        <v>219</v>
      </c>
      <c r="E1528" t="s">
        <v>91</v>
      </c>
      <c r="F1528" s="1">
        <v>180</v>
      </c>
    </row>
    <row r="1529" spans="1:6" x14ac:dyDescent="0.3">
      <c r="A1529" t="str">
        <f>_xlfn.XLOOKUP(ColombiaClientes[[#This Row],[Client]],VpsClientes[Client],VpsClientes[VP],"",0)</f>
        <v>Martha Guzman Arango</v>
      </c>
      <c r="B1529" t="s">
        <v>165</v>
      </c>
      <c r="C1529" t="s">
        <v>191</v>
      </c>
      <c r="D1529" t="s">
        <v>219</v>
      </c>
      <c r="E1529" t="s">
        <v>91</v>
      </c>
      <c r="F1529" s="1">
        <v>172</v>
      </c>
    </row>
    <row r="1530" spans="1:6" x14ac:dyDescent="0.3">
      <c r="A1530">
        <f>_xlfn.XLOOKUP(ColombiaClientes[[#This Row],[Client]],VpsClientes[Client],VpsClientes[VP],"",0)</f>
        <v>0</v>
      </c>
      <c r="B1530" t="s">
        <v>141</v>
      </c>
      <c r="C1530" t="s">
        <v>202</v>
      </c>
      <c r="D1530" t="s">
        <v>219</v>
      </c>
      <c r="E1530" t="s">
        <v>91</v>
      </c>
      <c r="F1530" s="1">
        <v>172</v>
      </c>
    </row>
    <row r="1531" spans="1:6" x14ac:dyDescent="0.3">
      <c r="A1531">
        <f>_xlfn.XLOOKUP(ColombiaClientes[[#This Row],[Client]],VpsClientes[Client],VpsClientes[VP],"",0)</f>
        <v>0</v>
      </c>
      <c r="B1531" t="s">
        <v>141</v>
      </c>
      <c r="C1531" t="s">
        <v>203</v>
      </c>
      <c r="D1531" t="s">
        <v>219</v>
      </c>
      <c r="E1531" t="s">
        <v>91</v>
      </c>
      <c r="F1531" s="1">
        <v>132</v>
      </c>
    </row>
    <row r="1532" spans="1:6" x14ac:dyDescent="0.3">
      <c r="A1532" t="str">
        <f>_xlfn.XLOOKUP(ColombiaClientes[[#This Row],[Client]],VpsClientes[Client],VpsClientes[VP],"",0)</f>
        <v>Moises Saavedra Garcia</v>
      </c>
      <c r="B1532" t="s">
        <v>172</v>
      </c>
      <c r="C1532" t="s">
        <v>191</v>
      </c>
      <c r="D1532" t="s">
        <v>219</v>
      </c>
      <c r="E1532" t="s">
        <v>91</v>
      </c>
      <c r="F1532" s="1">
        <v>142</v>
      </c>
    </row>
    <row r="1533" spans="1:6" x14ac:dyDescent="0.3">
      <c r="A1533" t="str">
        <f>_xlfn.XLOOKUP(ColombiaClientes[[#This Row],[Client]],VpsClientes[Client],VpsClientes[VP],"",0)</f>
        <v>Maria Forero Jara</v>
      </c>
      <c r="B1533" t="s">
        <v>179</v>
      </c>
      <c r="C1533" t="s">
        <v>191</v>
      </c>
      <c r="D1533" t="s">
        <v>219</v>
      </c>
      <c r="E1533" t="s">
        <v>91</v>
      </c>
      <c r="F1533" s="1">
        <v>139</v>
      </c>
    </row>
    <row r="1534" spans="1:6" x14ac:dyDescent="0.3">
      <c r="A1534" t="str">
        <f>_xlfn.XLOOKUP(ColombiaClientes[[#This Row],[Client]],VpsClientes[Client],VpsClientes[VP],"",0)</f>
        <v>Moises Saavedra Garcia</v>
      </c>
      <c r="B1534" t="s">
        <v>175</v>
      </c>
      <c r="C1534" t="s">
        <v>191</v>
      </c>
      <c r="D1534" t="s">
        <v>219</v>
      </c>
      <c r="E1534" t="s">
        <v>91</v>
      </c>
      <c r="F1534" s="1">
        <v>138</v>
      </c>
    </row>
    <row r="1535" spans="1:6" x14ac:dyDescent="0.3">
      <c r="A1535" t="str">
        <f>_xlfn.XLOOKUP(ColombiaClientes[[#This Row],[Client]],VpsClientes[Client],VpsClientes[VP],"",0)</f>
        <v>Juan Granados Castillo</v>
      </c>
      <c r="B1535" t="s">
        <v>149</v>
      </c>
      <c r="C1535" t="s">
        <v>191</v>
      </c>
      <c r="D1535" t="s">
        <v>219</v>
      </c>
      <c r="E1535" t="s">
        <v>91</v>
      </c>
      <c r="F1535" s="1">
        <v>136</v>
      </c>
    </row>
    <row r="1536" spans="1:6" x14ac:dyDescent="0.3">
      <c r="A1536" t="str">
        <f>_xlfn.XLOOKUP(ColombiaClientes[[#This Row],[Client]],VpsClientes[Client],VpsClientes[VP],"",0)</f>
        <v>Martha Guzman Arango</v>
      </c>
      <c r="B1536" t="s">
        <v>155</v>
      </c>
      <c r="C1536" t="s">
        <v>191</v>
      </c>
      <c r="D1536" t="s">
        <v>219</v>
      </c>
      <c r="E1536" t="s">
        <v>91</v>
      </c>
      <c r="F1536" s="1">
        <v>134</v>
      </c>
    </row>
    <row r="1537" spans="1:6" x14ac:dyDescent="0.3">
      <c r="A1537" t="str">
        <f>_xlfn.XLOOKUP(ColombiaClientes[[#This Row],[Client]],VpsClientes[Client],VpsClientes[VP],"",0)</f>
        <v>Martha Guzman Arango</v>
      </c>
      <c r="B1537" t="s">
        <v>148</v>
      </c>
      <c r="C1537" t="s">
        <v>191</v>
      </c>
      <c r="D1537" t="s">
        <v>219</v>
      </c>
      <c r="E1537" t="s">
        <v>91</v>
      </c>
      <c r="F1537" s="1">
        <v>124</v>
      </c>
    </row>
    <row r="1538" spans="1:6" x14ac:dyDescent="0.3">
      <c r="A1538" t="str">
        <f>_xlfn.XLOOKUP(ColombiaClientes[[#This Row],[Client]],VpsClientes[Client],VpsClientes[VP],"",0)</f>
        <v>Jhonatan Izquierdo Rico</v>
      </c>
      <c r="B1538" t="s">
        <v>196</v>
      </c>
      <c r="C1538" t="s">
        <v>191</v>
      </c>
      <c r="D1538" t="s">
        <v>219</v>
      </c>
      <c r="E1538" t="s">
        <v>91</v>
      </c>
      <c r="F1538" s="1">
        <v>109</v>
      </c>
    </row>
    <row r="1539" spans="1:6" x14ac:dyDescent="0.3">
      <c r="A1539" t="str">
        <f>_xlfn.XLOOKUP(ColombiaClientes[[#This Row],[Client]],VpsClientes[Client],VpsClientes[VP],"",0)</f>
        <v>Martha Guzman Arango</v>
      </c>
      <c r="B1539" t="s">
        <v>162</v>
      </c>
      <c r="C1539" t="s">
        <v>191</v>
      </c>
      <c r="D1539" t="s">
        <v>219</v>
      </c>
      <c r="E1539" t="s">
        <v>91</v>
      </c>
      <c r="F1539" s="1">
        <v>109</v>
      </c>
    </row>
    <row r="1540" spans="1:6" x14ac:dyDescent="0.3">
      <c r="A1540" t="str">
        <f>_xlfn.XLOOKUP(ColombiaClientes[[#This Row],[Client]],VpsClientes[Client],VpsClientes[VP],"",0)</f>
        <v>Maria Forero Jara</v>
      </c>
      <c r="B1540" t="s">
        <v>161</v>
      </c>
      <c r="C1540" t="s">
        <v>191</v>
      </c>
      <c r="D1540" t="s">
        <v>219</v>
      </c>
      <c r="E1540" t="s">
        <v>91</v>
      </c>
      <c r="F1540" s="1">
        <v>99</v>
      </c>
    </row>
    <row r="1541" spans="1:6" x14ac:dyDescent="0.3">
      <c r="A1541" t="str">
        <f>_xlfn.XLOOKUP(ColombiaClientes[[#This Row],[Client]],VpsClientes[Client],VpsClientes[VP],"",0)</f>
        <v>Carlos Beltran Hernandez</v>
      </c>
      <c r="B1541" t="s">
        <v>173</v>
      </c>
      <c r="C1541" t="s">
        <v>191</v>
      </c>
      <c r="D1541" t="s">
        <v>219</v>
      </c>
      <c r="E1541" t="s">
        <v>91</v>
      </c>
      <c r="F1541" s="1">
        <v>96</v>
      </c>
    </row>
    <row r="1542" spans="1:6" x14ac:dyDescent="0.3">
      <c r="A1542" t="str">
        <f>_xlfn.XLOOKUP(ColombiaClientes[[#This Row],[Client]],VpsClientes[Client],VpsClientes[VP],"",0)</f>
        <v>Maria Forero Jara</v>
      </c>
      <c r="B1542" t="s">
        <v>182</v>
      </c>
      <c r="C1542" t="s">
        <v>191</v>
      </c>
      <c r="D1542" t="s">
        <v>219</v>
      </c>
      <c r="E1542" t="s">
        <v>91</v>
      </c>
      <c r="F1542" s="1">
        <v>95</v>
      </c>
    </row>
    <row r="1543" spans="1:6" x14ac:dyDescent="0.3">
      <c r="A1543" t="str">
        <f>_xlfn.XLOOKUP(ColombiaClientes[[#This Row],[Client]],VpsClientes[Client],VpsClientes[VP],"",0)</f>
        <v>Martha Guzman Arango</v>
      </c>
      <c r="B1543" t="s">
        <v>174</v>
      </c>
      <c r="C1543" t="s">
        <v>191</v>
      </c>
      <c r="D1543" t="s">
        <v>219</v>
      </c>
      <c r="E1543" t="s">
        <v>91</v>
      </c>
      <c r="F1543" s="1">
        <v>95</v>
      </c>
    </row>
    <row r="1544" spans="1:6" x14ac:dyDescent="0.3">
      <c r="A1544" t="str">
        <f>_xlfn.XLOOKUP(ColombiaClientes[[#This Row],[Client]],VpsClientes[Client],VpsClientes[VP],"",0)</f>
        <v>Carlos Beltran Hernandez</v>
      </c>
      <c r="B1544" t="s">
        <v>158</v>
      </c>
      <c r="C1544" t="s">
        <v>191</v>
      </c>
      <c r="D1544" t="s">
        <v>219</v>
      </c>
      <c r="E1544" t="s">
        <v>91</v>
      </c>
      <c r="F1544" s="1">
        <v>85</v>
      </c>
    </row>
    <row r="1545" spans="1:6" x14ac:dyDescent="0.3">
      <c r="A1545" t="str">
        <f>_xlfn.XLOOKUP(ColombiaClientes[[#This Row],[Client]],VpsClientes[Client],VpsClientes[VP],"",0)</f>
        <v>Martha Guzman Arango</v>
      </c>
      <c r="B1545" t="s">
        <v>183</v>
      </c>
      <c r="C1545" t="s">
        <v>191</v>
      </c>
      <c r="D1545" t="s">
        <v>219</v>
      </c>
      <c r="E1545" t="s">
        <v>91</v>
      </c>
      <c r="F1545" s="1">
        <v>83</v>
      </c>
    </row>
    <row r="1546" spans="1:6" x14ac:dyDescent="0.3">
      <c r="A1546" t="str">
        <f>_xlfn.XLOOKUP(ColombiaClientes[[#This Row],[Client]],VpsClientes[Client],VpsClientes[VP],"",0)</f>
        <v>Martha Guzman Arango</v>
      </c>
      <c r="B1546" t="s">
        <v>176</v>
      </c>
      <c r="C1546" t="s">
        <v>191</v>
      </c>
      <c r="D1546" t="s">
        <v>219</v>
      </c>
      <c r="E1546" t="s">
        <v>91</v>
      </c>
      <c r="F1546" s="1">
        <v>81</v>
      </c>
    </row>
    <row r="1547" spans="1:6" x14ac:dyDescent="0.3">
      <c r="A1547">
        <f>_xlfn.XLOOKUP(ColombiaClientes[[#This Row],[Client]],VpsClientes[Client],VpsClientes[VP],"",0)</f>
        <v>0</v>
      </c>
      <c r="B1547" t="s">
        <v>141</v>
      </c>
      <c r="C1547" t="s">
        <v>205</v>
      </c>
      <c r="D1547" t="s">
        <v>219</v>
      </c>
      <c r="E1547" t="s">
        <v>91</v>
      </c>
      <c r="F1547" s="1">
        <v>132</v>
      </c>
    </row>
    <row r="1548" spans="1:6" x14ac:dyDescent="0.3">
      <c r="A1548">
        <f>_xlfn.XLOOKUP(ColombiaClientes[[#This Row],[Client]],VpsClientes[Client],VpsClientes[VP],"",0)</f>
        <v>0</v>
      </c>
      <c r="B1548" t="s">
        <v>141</v>
      </c>
      <c r="C1548" t="s">
        <v>92</v>
      </c>
      <c r="D1548" t="s">
        <v>219</v>
      </c>
      <c r="E1548" t="s">
        <v>206</v>
      </c>
      <c r="F1548" s="1">
        <v>132</v>
      </c>
    </row>
    <row r="1549" spans="1:6" x14ac:dyDescent="0.3">
      <c r="A1549" t="str">
        <f>_xlfn.XLOOKUP(ColombiaClientes[[#This Row],[Client]],VpsClientes[Client],VpsClientes[VP],"",0)</f>
        <v>Martha Guzman Arango</v>
      </c>
      <c r="B1549" t="s">
        <v>185</v>
      </c>
      <c r="C1549" t="s">
        <v>191</v>
      </c>
      <c r="D1549" t="s">
        <v>219</v>
      </c>
      <c r="E1549" t="s">
        <v>91</v>
      </c>
      <c r="F1549" s="1">
        <v>68</v>
      </c>
    </row>
    <row r="1550" spans="1:6" x14ac:dyDescent="0.3">
      <c r="A1550" t="str">
        <f>_xlfn.XLOOKUP(ColombiaClientes[[#This Row],[Client]],VpsClientes[Client],VpsClientes[VP],"",0)</f>
        <v>Martha Guzman Arango</v>
      </c>
      <c r="B1550" t="s">
        <v>131</v>
      </c>
      <c r="C1550" t="s">
        <v>191</v>
      </c>
      <c r="D1550" t="s">
        <v>219</v>
      </c>
      <c r="E1550" t="s">
        <v>91</v>
      </c>
      <c r="F1550" s="1">
        <v>44</v>
      </c>
    </row>
    <row r="1551" spans="1:6" x14ac:dyDescent="0.3">
      <c r="A1551" t="str">
        <f>_xlfn.XLOOKUP(ColombiaClientes[[#This Row],[Client]],VpsClientes[Client],VpsClientes[VP],"",0)</f>
        <v>Hector Muraira Garza</v>
      </c>
      <c r="B1551" t="s">
        <v>167</v>
      </c>
      <c r="C1551" t="s">
        <v>191</v>
      </c>
      <c r="D1551" t="s">
        <v>219</v>
      </c>
      <c r="E1551" t="s">
        <v>91</v>
      </c>
      <c r="F1551" s="1">
        <v>39</v>
      </c>
    </row>
    <row r="1552" spans="1:6" x14ac:dyDescent="0.3">
      <c r="A1552" t="str">
        <f>_xlfn.XLOOKUP(ColombiaClientes[[#This Row],[Client]],VpsClientes[Client],VpsClientes[VP],"",0)</f>
        <v>Martha Guzman Arango</v>
      </c>
      <c r="B1552" t="s">
        <v>169</v>
      </c>
      <c r="C1552" t="s">
        <v>191</v>
      </c>
      <c r="D1552" t="s">
        <v>219</v>
      </c>
      <c r="E1552" t="s">
        <v>91</v>
      </c>
      <c r="F1552" s="1">
        <v>38</v>
      </c>
    </row>
    <row r="1553" spans="1:6" x14ac:dyDescent="0.3">
      <c r="A1553" t="str">
        <f>_xlfn.XLOOKUP(ColombiaClientes[[#This Row],[Client]],VpsClientes[Client],VpsClientes[VP],"",0)</f>
        <v>Martha Guzman Arango</v>
      </c>
      <c r="B1553" t="s">
        <v>186</v>
      </c>
      <c r="C1553" t="s">
        <v>191</v>
      </c>
      <c r="D1553" t="s">
        <v>219</v>
      </c>
      <c r="E1553" t="s">
        <v>91</v>
      </c>
      <c r="F1553" s="1">
        <v>36</v>
      </c>
    </row>
    <row r="1554" spans="1:6" x14ac:dyDescent="0.3">
      <c r="A1554" t="str">
        <f>_xlfn.XLOOKUP(ColombiaClientes[[#This Row],[Client]],VpsClientes[Client],VpsClientes[VP],"",0)</f>
        <v>Hector Muraira Garza</v>
      </c>
      <c r="B1554" t="s">
        <v>164</v>
      </c>
      <c r="C1554" t="s">
        <v>191</v>
      </c>
      <c r="D1554" t="s">
        <v>219</v>
      </c>
      <c r="E1554" t="s">
        <v>91</v>
      </c>
      <c r="F1554" s="1">
        <v>33</v>
      </c>
    </row>
    <row r="1555" spans="1:6" x14ac:dyDescent="0.3">
      <c r="A1555" t="str">
        <f>_xlfn.XLOOKUP(ColombiaClientes[[#This Row],[Client]],VpsClientes[Client],VpsClientes[VP],"",0)</f>
        <v>Moises Saavedra Garcia</v>
      </c>
      <c r="B1555" t="s">
        <v>187</v>
      </c>
      <c r="C1555" t="s">
        <v>191</v>
      </c>
      <c r="D1555" t="s">
        <v>219</v>
      </c>
      <c r="E1555" t="s">
        <v>91</v>
      </c>
      <c r="F1555" s="1">
        <v>26</v>
      </c>
    </row>
    <row r="1556" spans="1:6" x14ac:dyDescent="0.3">
      <c r="A1556" t="str">
        <f>_xlfn.XLOOKUP(ColombiaClientes[[#This Row],[Client]],VpsClientes[Client],VpsClientes[VP],"",0)</f>
        <v>Martha Guzman Arango</v>
      </c>
      <c r="B1556" t="s">
        <v>180</v>
      </c>
      <c r="C1556" t="s">
        <v>191</v>
      </c>
      <c r="D1556" t="s">
        <v>219</v>
      </c>
      <c r="E1556" t="s">
        <v>91</v>
      </c>
      <c r="F1556" s="1">
        <v>25</v>
      </c>
    </row>
    <row r="1557" spans="1:6" x14ac:dyDescent="0.3">
      <c r="A1557" t="str">
        <f>_xlfn.XLOOKUP(ColombiaClientes[[#This Row],[Client]],VpsClientes[Client],VpsClientes[VP],"",0)</f>
        <v>Moises Saavedra Garcia</v>
      </c>
      <c r="B1557" t="s">
        <v>190</v>
      </c>
      <c r="C1557" t="s">
        <v>191</v>
      </c>
      <c r="D1557" t="s">
        <v>219</v>
      </c>
      <c r="E1557" t="s">
        <v>91</v>
      </c>
      <c r="F1557" s="1">
        <v>23</v>
      </c>
    </row>
    <row r="1558" spans="1:6" x14ac:dyDescent="0.3">
      <c r="A1558" t="str">
        <f>_xlfn.XLOOKUP(ColombiaClientes[[#This Row],[Client]],VpsClientes[Client],VpsClientes[VP],"",0)</f>
        <v>Jhonatan Izquierdo Rico</v>
      </c>
      <c r="B1558" t="s">
        <v>159</v>
      </c>
      <c r="C1558" t="s">
        <v>191</v>
      </c>
      <c r="D1558" t="s">
        <v>219</v>
      </c>
      <c r="E1558" t="s">
        <v>91</v>
      </c>
      <c r="F1558" s="1">
        <v>13</v>
      </c>
    </row>
    <row r="1559" spans="1:6" x14ac:dyDescent="0.3">
      <c r="A1559" t="str">
        <f>_xlfn.XLOOKUP(ColombiaClientes[[#This Row],[Client]],VpsClientes[Client],VpsClientes[VP],"",0)</f>
        <v>Martha Guzman Arango</v>
      </c>
      <c r="B1559" t="s">
        <v>188</v>
      </c>
      <c r="C1559" t="s">
        <v>191</v>
      </c>
      <c r="D1559" t="s">
        <v>219</v>
      </c>
      <c r="E1559" t="s">
        <v>91</v>
      </c>
      <c r="F1559" s="1">
        <v>5</v>
      </c>
    </row>
    <row r="1560" spans="1:6" x14ac:dyDescent="0.3">
      <c r="A1560" t="str">
        <f>_xlfn.XLOOKUP(ColombiaClientes[[#This Row],[Client]],VpsClientes[Client],VpsClientes[VP],"",0)</f>
        <v>System System</v>
      </c>
      <c r="B1560" t="s">
        <v>208</v>
      </c>
      <c r="C1560" t="s">
        <v>191</v>
      </c>
      <c r="D1560" t="s">
        <v>219</v>
      </c>
      <c r="E1560" t="s">
        <v>91</v>
      </c>
      <c r="F1560" s="1">
        <v>4</v>
      </c>
    </row>
    <row r="1561" spans="1:6" x14ac:dyDescent="0.3">
      <c r="A1561" t="str">
        <f>_xlfn.XLOOKUP(ColombiaClientes[[#This Row],[Client]],VpsClientes[Client],VpsClientes[VP],"",0)</f>
        <v>Martha Guzman Arango</v>
      </c>
      <c r="B1561" t="s">
        <v>189</v>
      </c>
      <c r="C1561" t="s">
        <v>191</v>
      </c>
      <c r="D1561" t="s">
        <v>219</v>
      </c>
      <c r="E1561" t="s">
        <v>91</v>
      </c>
      <c r="F1561" s="1">
        <v>0</v>
      </c>
    </row>
    <row r="1562" spans="1:6" x14ac:dyDescent="0.3">
      <c r="A1562" t="str">
        <f>_xlfn.XLOOKUP(ColombiaClientes[[#This Row],[Client]],VpsClientes[Client],VpsClientes[VP],"",0)</f>
        <v>Carlos Beltran Hernandez</v>
      </c>
      <c r="B1562" t="s">
        <v>93</v>
      </c>
      <c r="C1562" t="s">
        <v>192</v>
      </c>
      <c r="D1562" t="s">
        <v>219</v>
      </c>
      <c r="E1562" t="s">
        <v>91</v>
      </c>
      <c r="F1562" s="1">
        <v>27321</v>
      </c>
    </row>
    <row r="1563" spans="1:6" x14ac:dyDescent="0.3">
      <c r="A1563" t="str">
        <f>_xlfn.XLOOKUP(ColombiaClientes[[#This Row],[Client]],VpsClientes[Client],VpsClientes[VP],"",0)</f>
        <v>Martha Guzman Arango</v>
      </c>
      <c r="B1563" t="s">
        <v>96</v>
      </c>
      <c r="C1563" t="s">
        <v>192</v>
      </c>
      <c r="D1563" t="s">
        <v>219</v>
      </c>
      <c r="E1563" t="s">
        <v>91</v>
      </c>
      <c r="F1563" s="1">
        <v>21066</v>
      </c>
    </row>
    <row r="1564" spans="1:6" x14ac:dyDescent="0.3">
      <c r="A1564" t="str">
        <f>_xlfn.XLOOKUP(ColombiaClientes[[#This Row],[Client]],VpsClientes[Client],VpsClientes[VP],"",0)</f>
        <v>Carlos Beltran Hernandez</v>
      </c>
      <c r="B1564" t="s">
        <v>94</v>
      </c>
      <c r="C1564" t="s">
        <v>192</v>
      </c>
      <c r="D1564" t="s">
        <v>219</v>
      </c>
      <c r="E1564" t="s">
        <v>91</v>
      </c>
      <c r="F1564" s="1">
        <v>18757</v>
      </c>
    </row>
    <row r="1565" spans="1:6" x14ac:dyDescent="0.3">
      <c r="A1565" t="str">
        <f>_xlfn.XLOOKUP(ColombiaClientes[[#This Row],[Client]],VpsClientes[Client],VpsClientes[VP],"",0)</f>
        <v>Jhonatan Izquierdo Rico</v>
      </c>
      <c r="B1565" t="s">
        <v>104</v>
      </c>
      <c r="C1565" t="s">
        <v>192</v>
      </c>
      <c r="D1565" t="s">
        <v>219</v>
      </c>
      <c r="E1565" t="s">
        <v>91</v>
      </c>
      <c r="F1565" s="1">
        <v>14643</v>
      </c>
    </row>
    <row r="1566" spans="1:6" x14ac:dyDescent="0.3">
      <c r="A1566" t="str">
        <f>_xlfn.XLOOKUP(ColombiaClientes[[#This Row],[Client]],VpsClientes[Client],VpsClientes[VP],"",0)</f>
        <v>Moises Saavedra Garcia</v>
      </c>
      <c r="B1566" t="s">
        <v>99</v>
      </c>
      <c r="C1566" t="s">
        <v>192</v>
      </c>
      <c r="D1566" t="s">
        <v>219</v>
      </c>
      <c r="E1566" t="s">
        <v>91</v>
      </c>
      <c r="F1566" s="1">
        <v>9888</v>
      </c>
    </row>
    <row r="1567" spans="1:6" x14ac:dyDescent="0.3">
      <c r="A1567" t="str">
        <f>_xlfn.XLOOKUP(ColombiaClientes[[#This Row],[Client]],VpsClientes[Client],VpsClientes[VP],"",0)</f>
        <v>Maria Forero Jara</v>
      </c>
      <c r="B1567" t="s">
        <v>123</v>
      </c>
      <c r="C1567" t="s">
        <v>192</v>
      </c>
      <c r="D1567" t="s">
        <v>219</v>
      </c>
      <c r="E1567" t="s">
        <v>91</v>
      </c>
      <c r="F1567" s="1">
        <v>8247</v>
      </c>
    </row>
    <row r="1568" spans="1:6" x14ac:dyDescent="0.3">
      <c r="A1568" t="str">
        <f>_xlfn.XLOOKUP(ColombiaClientes[[#This Row],[Client]],VpsClientes[Client],VpsClientes[VP],"",0)</f>
        <v>Martha Guzman Arango</v>
      </c>
      <c r="B1568" t="s">
        <v>98</v>
      </c>
      <c r="C1568" t="s">
        <v>192</v>
      </c>
      <c r="D1568" t="s">
        <v>219</v>
      </c>
      <c r="E1568" t="s">
        <v>91</v>
      </c>
      <c r="F1568" s="1">
        <v>7472</v>
      </c>
    </row>
    <row r="1569" spans="1:6" x14ac:dyDescent="0.3">
      <c r="A1569" t="str">
        <f>_xlfn.XLOOKUP(ColombiaClientes[[#This Row],[Client]],VpsClientes[Client],VpsClientes[VP],"",0)</f>
        <v>Carlos Castillo Figueroa</v>
      </c>
      <c r="B1569" t="s">
        <v>105</v>
      </c>
      <c r="C1569" t="s">
        <v>192</v>
      </c>
      <c r="D1569" t="s">
        <v>219</v>
      </c>
      <c r="E1569" t="s">
        <v>91</v>
      </c>
      <c r="F1569" s="1">
        <v>6347</v>
      </c>
    </row>
    <row r="1570" spans="1:6" x14ac:dyDescent="0.3">
      <c r="A1570" t="str">
        <f>_xlfn.XLOOKUP(ColombiaClientes[[#This Row],[Client]],VpsClientes[Client],VpsClientes[VP],"",0)</f>
        <v>Maria Forero Jara</v>
      </c>
      <c r="B1570" t="s">
        <v>101</v>
      </c>
      <c r="C1570" t="s">
        <v>192</v>
      </c>
      <c r="D1570" t="s">
        <v>219</v>
      </c>
      <c r="E1570" t="s">
        <v>91</v>
      </c>
      <c r="F1570" s="1">
        <v>6197</v>
      </c>
    </row>
    <row r="1571" spans="1:6" x14ac:dyDescent="0.3">
      <c r="A1571" t="str">
        <f>_xlfn.XLOOKUP(ColombiaClientes[[#This Row],[Client]],VpsClientes[Client],VpsClientes[VP],"",0)</f>
        <v>Jhonatan Izquierdo Rico</v>
      </c>
      <c r="B1571" t="s">
        <v>107</v>
      </c>
      <c r="C1571" t="s">
        <v>192</v>
      </c>
      <c r="D1571" t="s">
        <v>219</v>
      </c>
      <c r="E1571" t="s">
        <v>91</v>
      </c>
      <c r="F1571" s="1">
        <v>5209</v>
      </c>
    </row>
    <row r="1572" spans="1:6" x14ac:dyDescent="0.3">
      <c r="A1572" t="str">
        <f>_xlfn.XLOOKUP(ColombiaClientes[[#This Row],[Client]],VpsClientes[Client],VpsClientes[VP],"",0)</f>
        <v>Jhonatan Izquierdo Rico</v>
      </c>
      <c r="B1572" t="s">
        <v>112</v>
      </c>
      <c r="C1572" t="s">
        <v>192</v>
      </c>
      <c r="D1572" t="s">
        <v>219</v>
      </c>
      <c r="E1572" t="s">
        <v>91</v>
      </c>
      <c r="F1572" s="1">
        <v>5175</v>
      </c>
    </row>
    <row r="1573" spans="1:6" x14ac:dyDescent="0.3">
      <c r="A1573" t="str">
        <f>_xlfn.XLOOKUP(ColombiaClientes[[#This Row],[Client]],VpsClientes[Client],VpsClientes[VP],"",0)</f>
        <v>Carlos Beltran Hernandez</v>
      </c>
      <c r="B1573" t="s">
        <v>102</v>
      </c>
      <c r="C1573" t="s">
        <v>192</v>
      </c>
      <c r="D1573" t="s">
        <v>219</v>
      </c>
      <c r="E1573" t="s">
        <v>91</v>
      </c>
      <c r="F1573" s="1">
        <v>4837</v>
      </c>
    </row>
    <row r="1574" spans="1:6" x14ac:dyDescent="0.3">
      <c r="A1574" t="str">
        <f>_xlfn.XLOOKUP(ColombiaClientes[[#This Row],[Client]],VpsClientes[Client],VpsClientes[VP],"",0)</f>
        <v>Ludy Torres Benitez</v>
      </c>
      <c r="B1574" t="s">
        <v>95</v>
      </c>
      <c r="C1574" t="s">
        <v>192</v>
      </c>
      <c r="D1574" t="s">
        <v>219</v>
      </c>
      <c r="E1574" t="s">
        <v>91</v>
      </c>
      <c r="F1574" s="1">
        <v>4821</v>
      </c>
    </row>
    <row r="1575" spans="1:6" x14ac:dyDescent="0.3">
      <c r="A1575" t="str">
        <f>_xlfn.XLOOKUP(ColombiaClientes[[#This Row],[Client]],VpsClientes[Client],VpsClientes[VP],"",0)</f>
        <v>Martha Guzman Arango</v>
      </c>
      <c r="B1575" t="s">
        <v>109</v>
      </c>
      <c r="C1575" t="s">
        <v>192</v>
      </c>
      <c r="D1575" t="s">
        <v>219</v>
      </c>
      <c r="E1575" t="s">
        <v>91</v>
      </c>
      <c r="F1575" s="1">
        <v>4282</v>
      </c>
    </row>
    <row r="1576" spans="1:6" x14ac:dyDescent="0.3">
      <c r="A1576" t="str">
        <f>_xlfn.XLOOKUP(ColombiaClientes[[#This Row],[Client]],VpsClientes[Client],VpsClientes[VP],"",0)</f>
        <v>Jhonatan Izquierdo Rico</v>
      </c>
      <c r="B1576" t="s">
        <v>128</v>
      </c>
      <c r="C1576" t="s">
        <v>192</v>
      </c>
      <c r="D1576" t="s">
        <v>219</v>
      </c>
      <c r="E1576" t="s">
        <v>91</v>
      </c>
      <c r="F1576" s="1">
        <v>3769</v>
      </c>
    </row>
    <row r="1577" spans="1:6" x14ac:dyDescent="0.3">
      <c r="A1577" t="str">
        <f>_xlfn.XLOOKUP(ColombiaClientes[[#This Row],[Client]],VpsClientes[Client],VpsClientes[VP],"",0)</f>
        <v>Martha Guzman Arango</v>
      </c>
      <c r="B1577" t="s">
        <v>100</v>
      </c>
      <c r="C1577" t="s">
        <v>192</v>
      </c>
      <c r="D1577" t="s">
        <v>219</v>
      </c>
      <c r="E1577" t="s">
        <v>91</v>
      </c>
      <c r="F1577" s="1">
        <v>3442</v>
      </c>
    </row>
    <row r="1578" spans="1:6" x14ac:dyDescent="0.3">
      <c r="A1578" t="str">
        <f>_xlfn.XLOOKUP(ColombiaClientes[[#This Row],[Client]],VpsClientes[Client],VpsClientes[VP],"",0)</f>
        <v>Maria Forero Jara</v>
      </c>
      <c r="B1578" t="s">
        <v>125</v>
      </c>
      <c r="C1578" t="s">
        <v>192</v>
      </c>
      <c r="D1578" t="s">
        <v>219</v>
      </c>
      <c r="E1578" t="s">
        <v>91</v>
      </c>
      <c r="F1578" s="1">
        <v>3339</v>
      </c>
    </row>
    <row r="1579" spans="1:6" x14ac:dyDescent="0.3">
      <c r="A1579" t="str">
        <f>_xlfn.XLOOKUP(ColombiaClientes[[#This Row],[Client]],VpsClientes[Client],VpsClientes[VP],"",0)</f>
        <v>Ernesto Rico Zuluaga</v>
      </c>
      <c r="B1579" t="s">
        <v>121</v>
      </c>
      <c r="C1579" t="s">
        <v>192</v>
      </c>
      <c r="D1579" t="s">
        <v>219</v>
      </c>
      <c r="E1579" t="s">
        <v>91</v>
      </c>
      <c r="F1579" s="1">
        <v>3163</v>
      </c>
    </row>
    <row r="1580" spans="1:6" x14ac:dyDescent="0.3">
      <c r="A1580" t="str">
        <f>_xlfn.XLOOKUP(ColombiaClientes[[#This Row],[Client]],VpsClientes[Client],VpsClientes[VP],"",0)</f>
        <v>Maria Forero Jara</v>
      </c>
      <c r="B1580" t="s">
        <v>108</v>
      </c>
      <c r="C1580" t="s">
        <v>192</v>
      </c>
      <c r="D1580" t="s">
        <v>219</v>
      </c>
      <c r="E1580" t="s">
        <v>91</v>
      </c>
      <c r="F1580" s="1">
        <v>3107</v>
      </c>
    </row>
    <row r="1581" spans="1:6" x14ac:dyDescent="0.3">
      <c r="A1581" t="str">
        <f>_xlfn.XLOOKUP(ColombiaClientes[[#This Row],[Client]],VpsClientes[Client],VpsClientes[VP],"",0)</f>
        <v>Martha Guzman Arango</v>
      </c>
      <c r="B1581" t="s">
        <v>122</v>
      </c>
      <c r="C1581" t="s">
        <v>192</v>
      </c>
      <c r="D1581" t="s">
        <v>219</v>
      </c>
      <c r="E1581" t="s">
        <v>91</v>
      </c>
      <c r="F1581" s="1">
        <v>2994</v>
      </c>
    </row>
    <row r="1582" spans="1:6" x14ac:dyDescent="0.3">
      <c r="A1582" t="str">
        <f>_xlfn.XLOOKUP(ColombiaClientes[[#This Row],[Client]],VpsClientes[Client],VpsClientes[VP],"",0)</f>
        <v>Moises Saavedra Garcia</v>
      </c>
      <c r="B1582" t="s">
        <v>120</v>
      </c>
      <c r="C1582" t="s">
        <v>192</v>
      </c>
      <c r="D1582" t="s">
        <v>219</v>
      </c>
      <c r="E1582" t="s">
        <v>91</v>
      </c>
      <c r="F1582" s="1">
        <v>2978</v>
      </c>
    </row>
    <row r="1583" spans="1:6" x14ac:dyDescent="0.3">
      <c r="A1583" t="str">
        <f>_xlfn.XLOOKUP(ColombiaClientes[[#This Row],[Client]],VpsClientes[Client],VpsClientes[VP],"",0)</f>
        <v>Ernesto Rico Zuluaga</v>
      </c>
      <c r="B1583" t="s">
        <v>116</v>
      </c>
      <c r="C1583" t="s">
        <v>192</v>
      </c>
      <c r="D1583" t="s">
        <v>219</v>
      </c>
      <c r="E1583" t="s">
        <v>91</v>
      </c>
      <c r="F1583" s="1">
        <v>2930</v>
      </c>
    </row>
    <row r="1584" spans="1:6" x14ac:dyDescent="0.3">
      <c r="A1584" t="str">
        <f>_xlfn.XLOOKUP(ColombiaClientes[[#This Row],[Client]],VpsClientes[Client],VpsClientes[VP],"",0)</f>
        <v>Moises Saavedra Garcia</v>
      </c>
      <c r="B1584" t="s">
        <v>110</v>
      </c>
      <c r="C1584" t="s">
        <v>192</v>
      </c>
      <c r="D1584" t="s">
        <v>219</v>
      </c>
      <c r="E1584" t="s">
        <v>91</v>
      </c>
      <c r="F1584" s="1">
        <v>2470</v>
      </c>
    </row>
    <row r="1585" spans="1:6" x14ac:dyDescent="0.3">
      <c r="A1585" t="str">
        <f>_xlfn.XLOOKUP(ColombiaClientes[[#This Row],[Client]],VpsClientes[Client],VpsClientes[VP],"",0)</f>
        <v>Sandra Romero Zuluaga</v>
      </c>
      <c r="B1585" t="s">
        <v>113</v>
      </c>
      <c r="C1585" t="s">
        <v>192</v>
      </c>
      <c r="D1585" t="s">
        <v>219</v>
      </c>
      <c r="E1585" t="s">
        <v>91</v>
      </c>
      <c r="F1585" s="1">
        <v>2374</v>
      </c>
    </row>
    <row r="1586" spans="1:6" x14ac:dyDescent="0.3">
      <c r="A1586" t="str">
        <f>_xlfn.XLOOKUP(ColombiaClientes[[#This Row],[Client]],VpsClientes[Client],VpsClientes[VP],"",0)</f>
        <v>Martha Guzman Arango</v>
      </c>
      <c r="B1586" t="s">
        <v>103</v>
      </c>
      <c r="C1586" t="s">
        <v>192</v>
      </c>
      <c r="D1586" t="s">
        <v>219</v>
      </c>
      <c r="E1586" t="s">
        <v>91</v>
      </c>
      <c r="F1586" s="1">
        <v>2367</v>
      </c>
    </row>
    <row r="1587" spans="1:6" x14ac:dyDescent="0.3">
      <c r="A1587" t="str">
        <f>_xlfn.XLOOKUP(ColombiaClientes[[#This Row],[Client]],VpsClientes[Client],VpsClientes[VP],"",0)</f>
        <v>Maria Forero Jara</v>
      </c>
      <c r="B1587" t="s">
        <v>106</v>
      </c>
      <c r="C1587" t="s">
        <v>192</v>
      </c>
      <c r="D1587" t="s">
        <v>219</v>
      </c>
      <c r="E1587" t="s">
        <v>91</v>
      </c>
      <c r="F1587" s="1">
        <v>2329</v>
      </c>
    </row>
    <row r="1588" spans="1:6" x14ac:dyDescent="0.3">
      <c r="A1588" t="str">
        <f>_xlfn.XLOOKUP(ColombiaClientes[[#This Row],[Client]],VpsClientes[Client],VpsClientes[VP],"",0)</f>
        <v>Maria Forero Jara</v>
      </c>
      <c r="B1588" t="s">
        <v>139</v>
      </c>
      <c r="C1588" t="s">
        <v>192</v>
      </c>
      <c r="D1588" t="s">
        <v>219</v>
      </c>
      <c r="E1588" t="s">
        <v>91</v>
      </c>
      <c r="F1588" s="1">
        <v>1714</v>
      </c>
    </row>
    <row r="1589" spans="1:6" x14ac:dyDescent="0.3">
      <c r="A1589" t="str">
        <f>_xlfn.XLOOKUP(ColombiaClientes[[#This Row],[Client]],VpsClientes[Client],VpsClientes[VP],"",0)</f>
        <v>Moises Saavedra Garcia</v>
      </c>
      <c r="B1589" t="s">
        <v>115</v>
      </c>
      <c r="C1589" t="s">
        <v>192</v>
      </c>
      <c r="D1589" t="s">
        <v>219</v>
      </c>
      <c r="E1589" t="s">
        <v>91</v>
      </c>
      <c r="F1589" s="1">
        <v>1607</v>
      </c>
    </row>
    <row r="1590" spans="1:6" x14ac:dyDescent="0.3">
      <c r="A1590" t="str">
        <f>_xlfn.XLOOKUP(ColombiaClientes[[#This Row],[Client]],VpsClientes[Client],VpsClientes[VP],"",0)</f>
        <v>Martha Guzman Arango</v>
      </c>
      <c r="B1590" t="s">
        <v>97</v>
      </c>
      <c r="C1590" t="s">
        <v>192</v>
      </c>
      <c r="D1590" t="s">
        <v>219</v>
      </c>
      <c r="E1590" t="s">
        <v>91</v>
      </c>
      <c r="F1590" s="1">
        <v>1420</v>
      </c>
    </row>
    <row r="1591" spans="1:6" x14ac:dyDescent="0.3">
      <c r="A1591" t="str">
        <f>_xlfn.XLOOKUP(ColombiaClientes[[#This Row],[Client]],VpsClientes[Client],VpsClientes[VP],"",0)</f>
        <v>Jhonatan Izquierdo Rico</v>
      </c>
      <c r="B1591" t="s">
        <v>126</v>
      </c>
      <c r="C1591" t="s">
        <v>192</v>
      </c>
      <c r="D1591" t="s">
        <v>219</v>
      </c>
      <c r="E1591" t="s">
        <v>91</v>
      </c>
      <c r="F1591" s="1">
        <v>1409</v>
      </c>
    </row>
    <row r="1592" spans="1:6" x14ac:dyDescent="0.3">
      <c r="A1592" t="str">
        <f>_xlfn.XLOOKUP(ColombiaClientes[[#This Row],[Client]],VpsClientes[Client],VpsClientes[VP],"",0)</f>
        <v>Jhonatan Izquierdo Rico</v>
      </c>
      <c r="B1592" t="s">
        <v>138</v>
      </c>
      <c r="C1592" t="s">
        <v>192</v>
      </c>
      <c r="D1592" t="s">
        <v>219</v>
      </c>
      <c r="E1592" t="s">
        <v>91</v>
      </c>
      <c r="F1592" s="1">
        <v>1370</v>
      </c>
    </row>
    <row r="1593" spans="1:6" x14ac:dyDescent="0.3">
      <c r="A1593" t="str">
        <f>_xlfn.XLOOKUP(ColombiaClientes[[#This Row],[Client]],VpsClientes[Client],VpsClientes[VP],"",0)</f>
        <v>Carlos Beltran Hernandez</v>
      </c>
      <c r="B1593" t="s">
        <v>119</v>
      </c>
      <c r="C1593" t="s">
        <v>192</v>
      </c>
      <c r="D1593" t="s">
        <v>219</v>
      </c>
      <c r="E1593" t="s">
        <v>91</v>
      </c>
      <c r="F1593" s="1">
        <v>1317</v>
      </c>
    </row>
    <row r="1594" spans="1:6" x14ac:dyDescent="0.3">
      <c r="A1594" t="str">
        <f>_xlfn.XLOOKUP(ColombiaClientes[[#This Row],[Client]],VpsClientes[Client],VpsClientes[VP],"",0)</f>
        <v>Moises Saavedra Garcia</v>
      </c>
      <c r="B1594" t="s">
        <v>150</v>
      </c>
      <c r="C1594" t="s">
        <v>192</v>
      </c>
      <c r="D1594" t="s">
        <v>219</v>
      </c>
      <c r="E1594" t="s">
        <v>91</v>
      </c>
      <c r="F1594" s="1">
        <v>1288</v>
      </c>
    </row>
    <row r="1595" spans="1:6" x14ac:dyDescent="0.3">
      <c r="A1595" t="str">
        <f>_xlfn.XLOOKUP(ColombiaClientes[[#This Row],[Client]],VpsClientes[Client],VpsClientes[VP],"",0)</f>
        <v>Juan Granados Castillo</v>
      </c>
      <c r="B1595" t="s">
        <v>134</v>
      </c>
      <c r="C1595" t="s">
        <v>192</v>
      </c>
      <c r="D1595" t="s">
        <v>219</v>
      </c>
      <c r="E1595" t="s">
        <v>91</v>
      </c>
      <c r="F1595" s="1">
        <v>1271</v>
      </c>
    </row>
    <row r="1596" spans="1:6" x14ac:dyDescent="0.3">
      <c r="A1596" t="str">
        <f>_xlfn.XLOOKUP(ColombiaClientes[[#This Row],[Client]],VpsClientes[Client],VpsClientes[VP],"",0)</f>
        <v>Martha Guzman Arango</v>
      </c>
      <c r="B1596" t="s">
        <v>114</v>
      </c>
      <c r="C1596" t="s">
        <v>192</v>
      </c>
      <c r="D1596" t="s">
        <v>219</v>
      </c>
      <c r="E1596" t="s">
        <v>91</v>
      </c>
      <c r="F1596" s="1">
        <v>1202</v>
      </c>
    </row>
    <row r="1597" spans="1:6" x14ac:dyDescent="0.3">
      <c r="A1597" t="str">
        <f>_xlfn.XLOOKUP(ColombiaClientes[[#This Row],[Client]],VpsClientes[Client],VpsClientes[VP],"",0)</f>
        <v>Juan Granados Castillo</v>
      </c>
      <c r="B1597" t="s">
        <v>136</v>
      </c>
      <c r="C1597" t="s">
        <v>192</v>
      </c>
      <c r="D1597" t="s">
        <v>219</v>
      </c>
      <c r="E1597" t="s">
        <v>91</v>
      </c>
      <c r="F1597" s="1">
        <v>1176</v>
      </c>
    </row>
    <row r="1598" spans="1:6" x14ac:dyDescent="0.3">
      <c r="A1598" t="str">
        <f>_xlfn.XLOOKUP(ColombiaClientes[[#This Row],[Client]],VpsClientes[Client],VpsClientes[VP],"",0)</f>
        <v>Hector Muraira Garza</v>
      </c>
      <c r="B1598" t="s">
        <v>137</v>
      </c>
      <c r="C1598" t="s">
        <v>192</v>
      </c>
      <c r="D1598" t="s">
        <v>219</v>
      </c>
      <c r="E1598" t="s">
        <v>91</v>
      </c>
      <c r="F1598" s="1">
        <v>1141</v>
      </c>
    </row>
    <row r="1599" spans="1:6" x14ac:dyDescent="0.3">
      <c r="A1599" t="str">
        <f>_xlfn.XLOOKUP(ColombiaClientes[[#This Row],[Client]],VpsClientes[Client],VpsClientes[VP],"",0)</f>
        <v>Hector Muraira Garza</v>
      </c>
      <c r="B1599" t="s">
        <v>130</v>
      </c>
      <c r="C1599" t="s">
        <v>192</v>
      </c>
      <c r="D1599" t="s">
        <v>219</v>
      </c>
      <c r="E1599" t="s">
        <v>91</v>
      </c>
      <c r="F1599" s="1">
        <v>1121</v>
      </c>
    </row>
    <row r="1600" spans="1:6" x14ac:dyDescent="0.3">
      <c r="A1600" t="str">
        <f>_xlfn.XLOOKUP(ColombiaClientes[[#This Row],[Client]],VpsClientes[Client],VpsClientes[VP],"",0)</f>
        <v>Jhonatan Izquierdo Rico</v>
      </c>
      <c r="B1600" t="s">
        <v>117</v>
      </c>
      <c r="C1600" t="s">
        <v>192</v>
      </c>
      <c r="D1600" t="s">
        <v>219</v>
      </c>
      <c r="E1600" t="s">
        <v>91</v>
      </c>
      <c r="F1600" s="1">
        <v>1027</v>
      </c>
    </row>
    <row r="1601" spans="1:6" x14ac:dyDescent="0.3">
      <c r="A1601" t="str">
        <f>_xlfn.XLOOKUP(ColombiaClientes[[#This Row],[Client]],VpsClientes[Client],VpsClientes[VP],"",0)</f>
        <v>Martha Guzman Arango</v>
      </c>
      <c r="B1601" t="s">
        <v>118</v>
      </c>
      <c r="C1601" t="s">
        <v>192</v>
      </c>
      <c r="D1601" t="s">
        <v>219</v>
      </c>
      <c r="E1601" t="s">
        <v>91</v>
      </c>
      <c r="F1601" s="1">
        <v>969</v>
      </c>
    </row>
    <row r="1602" spans="1:6" x14ac:dyDescent="0.3">
      <c r="A1602" t="str">
        <f>_xlfn.XLOOKUP(ColombiaClientes[[#This Row],[Client]],VpsClientes[Client],VpsClientes[VP],"",0)</f>
        <v>Carlos Beltran Hernandez</v>
      </c>
      <c r="B1602" t="s">
        <v>151</v>
      </c>
      <c r="C1602" t="s">
        <v>192</v>
      </c>
      <c r="D1602" t="s">
        <v>219</v>
      </c>
      <c r="E1602" t="s">
        <v>91</v>
      </c>
      <c r="F1602" s="1">
        <v>884</v>
      </c>
    </row>
    <row r="1603" spans="1:6" x14ac:dyDescent="0.3">
      <c r="A1603" t="str">
        <f>_xlfn.XLOOKUP(ColombiaClientes[[#This Row],[Client]],VpsClientes[Client],VpsClientes[VP],"",0)</f>
        <v>Martha Guzman Arango</v>
      </c>
      <c r="B1603" t="s">
        <v>135</v>
      </c>
      <c r="C1603" t="s">
        <v>192</v>
      </c>
      <c r="D1603" t="s">
        <v>219</v>
      </c>
      <c r="E1603" t="s">
        <v>91</v>
      </c>
      <c r="F1603" s="1">
        <v>800</v>
      </c>
    </row>
    <row r="1604" spans="1:6" x14ac:dyDescent="0.3">
      <c r="A1604" t="str">
        <f>_xlfn.XLOOKUP(ColombiaClientes[[#This Row],[Client]],VpsClientes[Client],VpsClientes[VP],"",0)</f>
        <v>Hector Muraira Garza</v>
      </c>
      <c r="B1604" t="s">
        <v>154</v>
      </c>
      <c r="C1604" t="s">
        <v>192</v>
      </c>
      <c r="D1604" t="s">
        <v>219</v>
      </c>
      <c r="E1604" t="s">
        <v>91</v>
      </c>
      <c r="F1604" s="1">
        <v>714</v>
      </c>
    </row>
    <row r="1605" spans="1:6" x14ac:dyDescent="0.3">
      <c r="A1605" t="str">
        <f>_xlfn.XLOOKUP(ColombiaClientes[[#This Row],[Client]],VpsClientes[Client],VpsClientes[VP],"",0)</f>
        <v>Maria Forero Jara</v>
      </c>
      <c r="B1605" t="s">
        <v>111</v>
      </c>
      <c r="C1605" t="s">
        <v>192</v>
      </c>
      <c r="D1605" t="s">
        <v>219</v>
      </c>
      <c r="E1605" t="s">
        <v>91</v>
      </c>
      <c r="F1605" s="1">
        <v>711</v>
      </c>
    </row>
    <row r="1606" spans="1:6" x14ac:dyDescent="0.3">
      <c r="A1606" t="str">
        <f>_xlfn.XLOOKUP(ColombiaClientes[[#This Row],[Client]],VpsClientes[Client],VpsClientes[VP],"",0)</f>
        <v>Martha Guzman Arango</v>
      </c>
      <c r="B1606" t="s">
        <v>152</v>
      </c>
      <c r="C1606" t="s">
        <v>192</v>
      </c>
      <c r="D1606" t="s">
        <v>219</v>
      </c>
      <c r="E1606" t="s">
        <v>91</v>
      </c>
      <c r="F1606" s="1">
        <v>627</v>
      </c>
    </row>
    <row r="1607" spans="1:6" x14ac:dyDescent="0.3">
      <c r="A1607" t="str">
        <f>_xlfn.XLOOKUP(ColombiaClientes[[#This Row],[Client]],VpsClientes[Client],VpsClientes[VP],"",0)</f>
        <v>Maria Forero Jara</v>
      </c>
      <c r="B1607" t="s">
        <v>163</v>
      </c>
      <c r="C1607" t="s">
        <v>192</v>
      </c>
      <c r="D1607" t="s">
        <v>219</v>
      </c>
      <c r="E1607" t="s">
        <v>91</v>
      </c>
      <c r="F1607" s="1">
        <v>617</v>
      </c>
    </row>
    <row r="1608" spans="1:6" x14ac:dyDescent="0.3">
      <c r="A1608" t="str">
        <f>_xlfn.XLOOKUP(ColombiaClientes[[#This Row],[Client]],VpsClientes[Client],VpsClientes[VP],"",0)</f>
        <v>Hector Muraira Garza</v>
      </c>
      <c r="B1608" t="s">
        <v>132</v>
      </c>
      <c r="C1608" t="s">
        <v>192</v>
      </c>
      <c r="D1608" t="s">
        <v>219</v>
      </c>
      <c r="E1608" t="s">
        <v>91</v>
      </c>
      <c r="F1608" s="1">
        <v>605</v>
      </c>
    </row>
    <row r="1609" spans="1:6" x14ac:dyDescent="0.3">
      <c r="A1609" t="str">
        <f>_xlfn.XLOOKUP(ColombiaClientes[[#This Row],[Client]],VpsClientes[Client],VpsClientes[VP],"",0)</f>
        <v>Hector Muraira Garza</v>
      </c>
      <c r="B1609" t="s">
        <v>140</v>
      </c>
      <c r="C1609" t="s">
        <v>192</v>
      </c>
      <c r="D1609" t="s">
        <v>219</v>
      </c>
      <c r="E1609" t="s">
        <v>91</v>
      </c>
      <c r="F1609" s="1">
        <v>575</v>
      </c>
    </row>
    <row r="1610" spans="1:6" x14ac:dyDescent="0.3">
      <c r="A1610" t="str">
        <f>_xlfn.XLOOKUP(ColombiaClientes[[#This Row],[Client]],VpsClientes[Client],VpsClientes[VP],"",0)</f>
        <v>Martha Guzman Arango</v>
      </c>
      <c r="B1610" t="s">
        <v>143</v>
      </c>
      <c r="C1610" t="s">
        <v>192</v>
      </c>
      <c r="D1610" t="s">
        <v>219</v>
      </c>
      <c r="E1610" t="s">
        <v>91</v>
      </c>
      <c r="F1610" s="1">
        <v>513</v>
      </c>
    </row>
    <row r="1611" spans="1:6" x14ac:dyDescent="0.3">
      <c r="A1611" t="str">
        <f>_xlfn.XLOOKUP(ColombiaClientes[[#This Row],[Client]],VpsClientes[Client],VpsClientes[VP],"",0)</f>
        <v>Martha Guzman Arango</v>
      </c>
      <c r="B1611" t="s">
        <v>153</v>
      </c>
      <c r="C1611" t="s">
        <v>192</v>
      </c>
      <c r="D1611" t="s">
        <v>219</v>
      </c>
      <c r="E1611" t="s">
        <v>91</v>
      </c>
      <c r="F1611" s="1">
        <v>434</v>
      </c>
    </row>
    <row r="1612" spans="1:6" x14ac:dyDescent="0.3">
      <c r="A1612" t="str">
        <f>_xlfn.XLOOKUP(ColombiaClientes[[#This Row],[Client]],VpsClientes[Client],VpsClientes[VP],"",0)</f>
        <v>Martha Guzman Arango</v>
      </c>
      <c r="B1612" t="s">
        <v>156</v>
      </c>
      <c r="C1612" t="s">
        <v>192</v>
      </c>
      <c r="D1612" t="s">
        <v>219</v>
      </c>
      <c r="E1612" t="s">
        <v>91</v>
      </c>
      <c r="F1612" s="1">
        <v>430</v>
      </c>
    </row>
    <row r="1613" spans="1:6" x14ac:dyDescent="0.3">
      <c r="A1613" t="str">
        <f>_xlfn.XLOOKUP(ColombiaClientes[[#This Row],[Client]],VpsClientes[Client],VpsClientes[VP],"",0)</f>
        <v>Martha Guzman Arango</v>
      </c>
      <c r="B1613" t="s">
        <v>146</v>
      </c>
      <c r="C1613" t="s">
        <v>192</v>
      </c>
      <c r="D1613" t="s">
        <v>219</v>
      </c>
      <c r="E1613" t="s">
        <v>91</v>
      </c>
      <c r="F1613" s="1">
        <v>417</v>
      </c>
    </row>
    <row r="1614" spans="1:6" x14ac:dyDescent="0.3">
      <c r="A1614" t="str">
        <f>_xlfn.XLOOKUP(ColombiaClientes[[#This Row],[Client]],VpsClientes[Client],VpsClientes[VP],"",0)</f>
        <v>Jhonatan Izquierdo Rico</v>
      </c>
      <c r="B1614" t="s">
        <v>129</v>
      </c>
      <c r="C1614" t="s">
        <v>192</v>
      </c>
      <c r="D1614" t="s">
        <v>219</v>
      </c>
      <c r="E1614" t="s">
        <v>91</v>
      </c>
      <c r="F1614" s="1">
        <v>344</v>
      </c>
    </row>
    <row r="1615" spans="1:6" x14ac:dyDescent="0.3">
      <c r="A1615" t="str">
        <f>_xlfn.XLOOKUP(ColombiaClientes[[#This Row],[Client]],VpsClientes[Client],VpsClientes[VP],"",0)</f>
        <v>Jhonatan Izquierdo Rico</v>
      </c>
      <c r="B1615" t="s">
        <v>157</v>
      </c>
      <c r="C1615" t="s">
        <v>192</v>
      </c>
      <c r="D1615" t="s">
        <v>219</v>
      </c>
      <c r="E1615" t="s">
        <v>91</v>
      </c>
      <c r="F1615" s="1">
        <v>306</v>
      </c>
    </row>
    <row r="1616" spans="1:6" x14ac:dyDescent="0.3">
      <c r="A1616" t="str">
        <f>_xlfn.XLOOKUP(ColombiaClientes[[#This Row],[Client]],VpsClientes[Client],VpsClientes[VP],"",0)</f>
        <v>Juan Granados Castillo</v>
      </c>
      <c r="B1616" t="s">
        <v>142</v>
      </c>
      <c r="C1616" t="s">
        <v>192</v>
      </c>
      <c r="D1616" t="s">
        <v>219</v>
      </c>
      <c r="E1616" t="s">
        <v>91</v>
      </c>
      <c r="F1616" s="1">
        <v>294</v>
      </c>
    </row>
    <row r="1617" spans="1:6" x14ac:dyDescent="0.3">
      <c r="A1617" t="str">
        <f>_xlfn.XLOOKUP(ColombiaClientes[[#This Row],[Client]],VpsClientes[Client],VpsClientes[VP],"",0)</f>
        <v>Martha Guzman Arango</v>
      </c>
      <c r="B1617" t="s">
        <v>124</v>
      </c>
      <c r="C1617" t="s">
        <v>192</v>
      </c>
      <c r="D1617" t="s">
        <v>219</v>
      </c>
      <c r="E1617" t="s">
        <v>91</v>
      </c>
      <c r="F1617" s="1">
        <v>291</v>
      </c>
    </row>
    <row r="1618" spans="1:6" x14ac:dyDescent="0.3">
      <c r="A1618" t="str">
        <f>_xlfn.XLOOKUP(ColombiaClientes[[#This Row],[Client]],VpsClientes[Client],VpsClientes[VP],"",0)</f>
        <v>Martha Guzman Arango</v>
      </c>
      <c r="B1618" t="s">
        <v>166</v>
      </c>
      <c r="C1618" t="s">
        <v>192</v>
      </c>
      <c r="D1618" t="s">
        <v>219</v>
      </c>
      <c r="E1618" t="s">
        <v>91</v>
      </c>
      <c r="F1618" s="1">
        <v>282</v>
      </c>
    </row>
    <row r="1619" spans="1:6" x14ac:dyDescent="0.3">
      <c r="A1619" t="str">
        <f>_xlfn.XLOOKUP(ColombiaClientes[[#This Row],[Client]],VpsClientes[Client],VpsClientes[VP],"",0)</f>
        <v>Martha Guzman Arango</v>
      </c>
      <c r="B1619" t="s">
        <v>168</v>
      </c>
      <c r="C1619" t="s">
        <v>192</v>
      </c>
      <c r="D1619" t="s">
        <v>219</v>
      </c>
      <c r="E1619" t="s">
        <v>91</v>
      </c>
      <c r="F1619" s="1">
        <v>266</v>
      </c>
    </row>
    <row r="1620" spans="1:6" x14ac:dyDescent="0.3">
      <c r="A1620">
        <f>_xlfn.XLOOKUP(ColombiaClientes[[#This Row],[Client]],VpsClientes[Client],VpsClientes[VP],"",0)</f>
        <v>0</v>
      </c>
      <c r="B1620" t="s">
        <v>141</v>
      </c>
      <c r="C1620" t="s">
        <v>191</v>
      </c>
      <c r="D1620" t="s">
        <v>219</v>
      </c>
      <c r="E1620" t="s">
        <v>206</v>
      </c>
      <c r="F1620" s="1">
        <v>13</v>
      </c>
    </row>
    <row r="1621" spans="1:6" x14ac:dyDescent="0.3">
      <c r="A1621" t="str">
        <f>_xlfn.XLOOKUP(ColombiaClientes[[#This Row],[Client]],VpsClientes[Client],VpsClientes[VP],"",0)</f>
        <v>Martha Guzman Arango</v>
      </c>
      <c r="B1621" t="s">
        <v>170</v>
      </c>
      <c r="C1621" t="s">
        <v>192</v>
      </c>
      <c r="D1621" t="s">
        <v>219</v>
      </c>
      <c r="E1621" t="s">
        <v>91</v>
      </c>
      <c r="F1621" s="1">
        <v>239</v>
      </c>
    </row>
    <row r="1622" spans="1:6" x14ac:dyDescent="0.3">
      <c r="A1622" t="str">
        <f>_xlfn.XLOOKUP(ColombiaClientes[[#This Row],[Client]],VpsClientes[Client],VpsClientes[VP],"",0)</f>
        <v>Maria Forero Jara</v>
      </c>
      <c r="B1622" t="s">
        <v>144</v>
      </c>
      <c r="C1622" t="s">
        <v>192</v>
      </c>
      <c r="D1622" t="s">
        <v>219</v>
      </c>
      <c r="E1622" t="s">
        <v>91</v>
      </c>
      <c r="F1622" s="1">
        <v>226</v>
      </c>
    </row>
    <row r="1623" spans="1:6" x14ac:dyDescent="0.3">
      <c r="A1623" t="str">
        <f>_xlfn.XLOOKUP(ColombiaClientes[[#This Row],[Client]],VpsClientes[Client],VpsClientes[VP],"",0)</f>
        <v>Martha Guzman Arango</v>
      </c>
      <c r="B1623" t="s">
        <v>162</v>
      </c>
      <c r="C1623" t="s">
        <v>192</v>
      </c>
      <c r="D1623" t="s">
        <v>219</v>
      </c>
      <c r="E1623" t="s">
        <v>91</v>
      </c>
      <c r="F1623" s="1">
        <v>220</v>
      </c>
    </row>
    <row r="1624" spans="1:6" x14ac:dyDescent="0.3">
      <c r="A1624" t="str">
        <f>_xlfn.XLOOKUP(ColombiaClientes[[#This Row],[Client]],VpsClientes[Client],VpsClientes[VP],"",0)</f>
        <v>Martha Guzman Arango</v>
      </c>
      <c r="B1624" t="s">
        <v>171</v>
      </c>
      <c r="C1624" t="s">
        <v>192</v>
      </c>
      <c r="D1624" t="s">
        <v>219</v>
      </c>
      <c r="E1624" t="s">
        <v>91</v>
      </c>
      <c r="F1624" s="1">
        <v>185</v>
      </c>
    </row>
    <row r="1625" spans="1:6" x14ac:dyDescent="0.3">
      <c r="A1625" t="str">
        <f>_xlfn.XLOOKUP(ColombiaClientes[[#This Row],[Client]],VpsClientes[Client],VpsClientes[VP],"",0)</f>
        <v>Martha Guzman Arango</v>
      </c>
      <c r="B1625" t="s">
        <v>165</v>
      </c>
      <c r="C1625" t="s">
        <v>192</v>
      </c>
      <c r="D1625" t="s">
        <v>219</v>
      </c>
      <c r="E1625" t="s">
        <v>91</v>
      </c>
      <c r="F1625" s="1">
        <v>185</v>
      </c>
    </row>
    <row r="1626" spans="1:6" x14ac:dyDescent="0.3">
      <c r="A1626" t="str">
        <f>_xlfn.XLOOKUP(ColombiaClientes[[#This Row],[Client]],VpsClientes[Client],VpsClientes[VP],"",0)</f>
        <v>Maria Forero Jara</v>
      </c>
      <c r="B1626" t="s">
        <v>161</v>
      </c>
      <c r="C1626" t="s">
        <v>192</v>
      </c>
      <c r="D1626" t="s">
        <v>219</v>
      </c>
      <c r="E1626" t="s">
        <v>91</v>
      </c>
      <c r="F1626" s="1">
        <v>174</v>
      </c>
    </row>
    <row r="1627" spans="1:6" x14ac:dyDescent="0.3">
      <c r="A1627" t="str">
        <f>_xlfn.XLOOKUP(ColombiaClientes[[#This Row],[Client]],VpsClientes[Client],VpsClientes[VP],"",0)</f>
        <v>Moises Saavedra Garcia</v>
      </c>
      <c r="B1627" t="s">
        <v>190</v>
      </c>
      <c r="C1627" t="s">
        <v>192</v>
      </c>
      <c r="D1627" t="s">
        <v>219</v>
      </c>
      <c r="E1627" t="s">
        <v>91</v>
      </c>
      <c r="F1627" s="1">
        <v>170</v>
      </c>
    </row>
    <row r="1628" spans="1:6" x14ac:dyDescent="0.3">
      <c r="A1628" t="str">
        <f>_xlfn.XLOOKUP(ColombiaClientes[[#This Row],[Client]],VpsClientes[Client],VpsClientes[VP],"",0)</f>
        <v>Martha Guzman Arango</v>
      </c>
      <c r="B1628" t="s">
        <v>145</v>
      </c>
      <c r="C1628" t="s">
        <v>192</v>
      </c>
      <c r="D1628" t="s">
        <v>219</v>
      </c>
      <c r="E1628" t="s">
        <v>91</v>
      </c>
      <c r="F1628" s="1">
        <v>165</v>
      </c>
    </row>
    <row r="1629" spans="1:6" x14ac:dyDescent="0.3">
      <c r="A1629" t="str">
        <f>_xlfn.XLOOKUP(ColombiaClientes[[#This Row],[Client]],VpsClientes[Client],VpsClientes[VP],"",0)</f>
        <v>Juan Granados Castillo</v>
      </c>
      <c r="B1629" t="s">
        <v>149</v>
      </c>
      <c r="C1629" t="s">
        <v>192</v>
      </c>
      <c r="D1629" t="s">
        <v>219</v>
      </c>
      <c r="E1629" t="s">
        <v>91</v>
      </c>
      <c r="F1629" s="1">
        <v>159</v>
      </c>
    </row>
    <row r="1630" spans="1:6" x14ac:dyDescent="0.3">
      <c r="A1630" t="str">
        <f>_xlfn.XLOOKUP(ColombiaClientes[[#This Row],[Client]],VpsClientes[Client],VpsClientes[VP],"",0)</f>
        <v>Moises Saavedra Garcia</v>
      </c>
      <c r="B1630" t="s">
        <v>172</v>
      </c>
      <c r="C1630" t="s">
        <v>192</v>
      </c>
      <c r="D1630" t="s">
        <v>219</v>
      </c>
      <c r="E1630" t="s">
        <v>91</v>
      </c>
      <c r="F1630" s="1">
        <v>158</v>
      </c>
    </row>
    <row r="1631" spans="1:6" x14ac:dyDescent="0.3">
      <c r="A1631" t="str">
        <f>_xlfn.XLOOKUP(ColombiaClientes[[#This Row],[Client]],VpsClientes[Client],VpsClientes[VP],"",0)</f>
        <v>Carlos Beltran Hernandez</v>
      </c>
      <c r="B1631" t="s">
        <v>158</v>
      </c>
      <c r="C1631" t="s">
        <v>192</v>
      </c>
      <c r="D1631" t="s">
        <v>219</v>
      </c>
      <c r="E1631" t="s">
        <v>91</v>
      </c>
      <c r="F1631" s="1">
        <v>154</v>
      </c>
    </row>
    <row r="1632" spans="1:6" x14ac:dyDescent="0.3">
      <c r="A1632">
        <f>_xlfn.XLOOKUP(ColombiaClientes[[#This Row],[Client]],VpsClientes[Client],VpsClientes[VP],"",0)</f>
        <v>0</v>
      </c>
      <c r="B1632" t="s">
        <v>141</v>
      </c>
      <c r="C1632" t="s">
        <v>192</v>
      </c>
      <c r="D1632" t="s">
        <v>219</v>
      </c>
      <c r="E1632" t="s">
        <v>206</v>
      </c>
      <c r="F1632" s="1">
        <v>33</v>
      </c>
    </row>
    <row r="1633" spans="1:6" x14ac:dyDescent="0.3">
      <c r="A1633">
        <f>_xlfn.XLOOKUP(ColombiaClientes[[#This Row],[Client]],VpsClientes[Client],VpsClientes[VP],"",0)</f>
        <v>0</v>
      </c>
      <c r="B1633" t="s">
        <v>141</v>
      </c>
      <c r="C1633" t="s">
        <v>194</v>
      </c>
      <c r="D1633" t="s">
        <v>219</v>
      </c>
      <c r="E1633" t="s">
        <v>206</v>
      </c>
      <c r="F1633" s="1">
        <v>41</v>
      </c>
    </row>
    <row r="1634" spans="1:6" x14ac:dyDescent="0.3">
      <c r="A1634" t="str">
        <f>_xlfn.XLOOKUP(ColombiaClientes[[#This Row],[Client]],VpsClientes[Client],VpsClientes[VP],"",0)</f>
        <v>Maria Forero Jara</v>
      </c>
      <c r="B1634" t="s">
        <v>179</v>
      </c>
      <c r="C1634" t="s">
        <v>192</v>
      </c>
      <c r="D1634" t="s">
        <v>219</v>
      </c>
      <c r="E1634" t="s">
        <v>91</v>
      </c>
      <c r="F1634" s="1">
        <v>101</v>
      </c>
    </row>
    <row r="1635" spans="1:6" x14ac:dyDescent="0.3">
      <c r="A1635" t="str">
        <f>_xlfn.XLOOKUP(ColombiaClientes[[#This Row],[Client]],VpsClientes[Client],VpsClientes[VP],"",0)</f>
        <v>Jhonatan Izquierdo Rico</v>
      </c>
      <c r="B1635" t="s">
        <v>196</v>
      </c>
      <c r="C1635" t="s">
        <v>192</v>
      </c>
      <c r="D1635" t="s">
        <v>219</v>
      </c>
      <c r="E1635" t="s">
        <v>91</v>
      </c>
      <c r="F1635" s="1">
        <v>98</v>
      </c>
    </row>
    <row r="1636" spans="1:6" x14ac:dyDescent="0.3">
      <c r="A1636" t="str">
        <f>_xlfn.XLOOKUP(ColombiaClientes[[#This Row],[Client]],VpsClientes[Client],VpsClientes[VP],"",0)</f>
        <v>Martha Guzman Arango</v>
      </c>
      <c r="B1636" t="s">
        <v>155</v>
      </c>
      <c r="C1636" t="s">
        <v>192</v>
      </c>
      <c r="D1636" t="s">
        <v>219</v>
      </c>
      <c r="E1636" t="s">
        <v>91</v>
      </c>
      <c r="F1636" s="1">
        <v>85</v>
      </c>
    </row>
    <row r="1637" spans="1:6" x14ac:dyDescent="0.3">
      <c r="A1637" t="str">
        <f>_xlfn.XLOOKUP(ColombiaClientes[[#This Row],[Client]],VpsClientes[Client],VpsClientes[VP],"",0)</f>
        <v>Martha Guzman Arango</v>
      </c>
      <c r="B1637" t="s">
        <v>185</v>
      </c>
      <c r="C1637" t="s">
        <v>192</v>
      </c>
      <c r="D1637" t="s">
        <v>219</v>
      </c>
      <c r="E1637" t="s">
        <v>91</v>
      </c>
      <c r="F1637" s="1">
        <v>79</v>
      </c>
    </row>
    <row r="1638" spans="1:6" x14ac:dyDescent="0.3">
      <c r="A1638">
        <f>_xlfn.XLOOKUP(ColombiaClientes[[#This Row],[Client]],VpsClientes[Client],VpsClientes[VP],"",0)</f>
        <v>0</v>
      </c>
      <c r="B1638" t="s">
        <v>141</v>
      </c>
      <c r="C1638" t="s">
        <v>202</v>
      </c>
      <c r="D1638" t="s">
        <v>219</v>
      </c>
      <c r="E1638" t="s">
        <v>206</v>
      </c>
      <c r="F1638" s="1">
        <v>33</v>
      </c>
    </row>
    <row r="1639" spans="1:6" x14ac:dyDescent="0.3">
      <c r="A1639" t="str">
        <f>_xlfn.XLOOKUP(ColombiaClientes[[#This Row],[Client]],VpsClientes[Client],VpsClientes[VP],"",0)</f>
        <v>Martha Guzman Arango</v>
      </c>
      <c r="B1639" t="s">
        <v>169</v>
      </c>
      <c r="C1639" t="s">
        <v>192</v>
      </c>
      <c r="D1639" t="s">
        <v>219</v>
      </c>
      <c r="E1639" t="s">
        <v>91</v>
      </c>
      <c r="F1639" s="1">
        <v>61</v>
      </c>
    </row>
    <row r="1640" spans="1:6" x14ac:dyDescent="0.3">
      <c r="A1640" t="str">
        <f>_xlfn.XLOOKUP(ColombiaClientes[[#This Row],[Client]],VpsClientes[Client],VpsClientes[VP],"",0)</f>
        <v>Martha Guzman Arango</v>
      </c>
      <c r="B1640" t="s">
        <v>180</v>
      </c>
      <c r="C1640" t="s">
        <v>192</v>
      </c>
      <c r="D1640" t="s">
        <v>219</v>
      </c>
      <c r="E1640" t="s">
        <v>91</v>
      </c>
      <c r="F1640" s="1">
        <v>59</v>
      </c>
    </row>
    <row r="1641" spans="1:6" x14ac:dyDescent="0.3">
      <c r="A1641" t="str">
        <f>_xlfn.XLOOKUP(ColombiaClientes[[#This Row],[Client]],VpsClientes[Client],VpsClientes[VP],"",0)</f>
        <v>Carlos Beltran Hernandez</v>
      </c>
      <c r="B1641" t="s">
        <v>173</v>
      </c>
      <c r="C1641" t="s">
        <v>192</v>
      </c>
      <c r="D1641" t="s">
        <v>219</v>
      </c>
      <c r="E1641" t="s">
        <v>91</v>
      </c>
      <c r="F1641" s="1">
        <v>59</v>
      </c>
    </row>
    <row r="1642" spans="1:6" x14ac:dyDescent="0.3">
      <c r="A1642" t="str">
        <f>_xlfn.XLOOKUP(ColombiaClientes[[#This Row],[Client]],VpsClientes[Client],VpsClientes[VP],"",0)</f>
        <v>Martha Guzman Arango</v>
      </c>
      <c r="B1642" t="s">
        <v>174</v>
      </c>
      <c r="C1642" t="s">
        <v>192</v>
      </c>
      <c r="D1642" t="s">
        <v>219</v>
      </c>
      <c r="E1642" t="s">
        <v>91</v>
      </c>
      <c r="F1642" s="1">
        <v>57</v>
      </c>
    </row>
    <row r="1643" spans="1:6" x14ac:dyDescent="0.3">
      <c r="A1643" t="str">
        <f>_xlfn.XLOOKUP(ColombiaClientes[[#This Row],[Client]],VpsClientes[Client],VpsClientes[VP],"",0)</f>
        <v>Martha Guzman Arango</v>
      </c>
      <c r="B1643" t="s">
        <v>176</v>
      </c>
      <c r="C1643" t="s">
        <v>192</v>
      </c>
      <c r="D1643" t="s">
        <v>219</v>
      </c>
      <c r="E1643" t="s">
        <v>91</v>
      </c>
      <c r="F1643" s="1">
        <v>56</v>
      </c>
    </row>
    <row r="1644" spans="1:6" x14ac:dyDescent="0.3">
      <c r="A1644" t="str">
        <f>_xlfn.XLOOKUP(ColombiaClientes[[#This Row],[Client]],VpsClientes[Client],VpsClientes[VP],"",0)</f>
        <v>Martha Guzman Arango</v>
      </c>
      <c r="B1644" t="s">
        <v>131</v>
      </c>
      <c r="C1644" t="s">
        <v>192</v>
      </c>
      <c r="D1644" t="s">
        <v>219</v>
      </c>
      <c r="E1644" t="s">
        <v>91</v>
      </c>
      <c r="F1644" s="1">
        <v>54</v>
      </c>
    </row>
    <row r="1645" spans="1:6" x14ac:dyDescent="0.3">
      <c r="A1645" t="str">
        <f>_xlfn.XLOOKUP(ColombiaClientes[[#This Row],[Client]],VpsClientes[Client],VpsClientes[VP],"",0)</f>
        <v>Moises Saavedra Garcia</v>
      </c>
      <c r="B1645" t="s">
        <v>175</v>
      </c>
      <c r="C1645" t="s">
        <v>192</v>
      </c>
      <c r="D1645" t="s">
        <v>219</v>
      </c>
      <c r="E1645" t="s">
        <v>91</v>
      </c>
      <c r="F1645" s="1">
        <v>53</v>
      </c>
    </row>
    <row r="1646" spans="1:6" x14ac:dyDescent="0.3">
      <c r="A1646" t="str">
        <f>_xlfn.XLOOKUP(ColombiaClientes[[#This Row],[Client]],VpsClientes[Client],VpsClientes[VP],"",0)</f>
        <v>Maria Forero Jara</v>
      </c>
      <c r="B1646" t="s">
        <v>182</v>
      </c>
      <c r="C1646" t="s">
        <v>192</v>
      </c>
      <c r="D1646" t="s">
        <v>219</v>
      </c>
      <c r="E1646" t="s">
        <v>91</v>
      </c>
      <c r="F1646" s="1">
        <v>49</v>
      </c>
    </row>
    <row r="1647" spans="1:6" x14ac:dyDescent="0.3">
      <c r="A1647" t="str">
        <f>_xlfn.XLOOKUP(ColombiaClientes[[#This Row],[Client]],VpsClientes[Client],VpsClientes[VP],"",0)</f>
        <v>Martha Guzman Arango</v>
      </c>
      <c r="B1647" t="s">
        <v>148</v>
      </c>
      <c r="C1647" t="s">
        <v>192</v>
      </c>
      <c r="D1647" t="s">
        <v>219</v>
      </c>
      <c r="E1647" t="s">
        <v>91</v>
      </c>
      <c r="F1647" s="1">
        <v>43</v>
      </c>
    </row>
    <row r="1648" spans="1:6" x14ac:dyDescent="0.3">
      <c r="A1648" t="str">
        <f>_xlfn.XLOOKUP(ColombiaClientes[[#This Row],[Client]],VpsClientes[Client],VpsClientes[VP],"",0)</f>
        <v>Martha Guzman Arango</v>
      </c>
      <c r="B1648" t="s">
        <v>183</v>
      </c>
      <c r="C1648" t="s">
        <v>192</v>
      </c>
      <c r="D1648" t="s">
        <v>219</v>
      </c>
      <c r="E1648" t="s">
        <v>91</v>
      </c>
      <c r="F1648" s="1">
        <v>41</v>
      </c>
    </row>
    <row r="1649" spans="1:6" x14ac:dyDescent="0.3">
      <c r="A1649" t="str">
        <f>_xlfn.XLOOKUP(ColombiaClientes[[#This Row],[Client]],VpsClientes[Client],VpsClientes[VP],"",0)</f>
        <v>Moises Saavedra Garcia</v>
      </c>
      <c r="B1649" t="s">
        <v>187</v>
      </c>
      <c r="C1649" t="s">
        <v>192</v>
      </c>
      <c r="D1649" t="s">
        <v>219</v>
      </c>
      <c r="E1649" t="s">
        <v>91</v>
      </c>
      <c r="F1649" s="1">
        <v>39</v>
      </c>
    </row>
    <row r="1650" spans="1:6" x14ac:dyDescent="0.3">
      <c r="A1650" t="str">
        <f>_xlfn.XLOOKUP(ColombiaClientes[[#This Row],[Client]],VpsClientes[Client],VpsClientes[VP],"",0)</f>
        <v>Hector Muraira Garza</v>
      </c>
      <c r="B1650" t="s">
        <v>164</v>
      </c>
      <c r="C1650" t="s">
        <v>192</v>
      </c>
      <c r="D1650" t="s">
        <v>219</v>
      </c>
      <c r="E1650" t="s">
        <v>91</v>
      </c>
      <c r="F1650" s="1">
        <v>34</v>
      </c>
    </row>
    <row r="1651" spans="1:6" x14ac:dyDescent="0.3">
      <c r="A1651" t="str">
        <f>_xlfn.XLOOKUP(ColombiaClientes[[#This Row],[Client]],VpsClientes[Client],VpsClientes[VP],"",0)</f>
        <v>Hector Muraira Garza</v>
      </c>
      <c r="B1651" t="s">
        <v>167</v>
      </c>
      <c r="C1651" t="s">
        <v>192</v>
      </c>
      <c r="D1651" t="s">
        <v>219</v>
      </c>
      <c r="E1651" t="s">
        <v>91</v>
      </c>
      <c r="F1651" s="1">
        <v>30</v>
      </c>
    </row>
    <row r="1652" spans="1:6" x14ac:dyDescent="0.3">
      <c r="A1652" t="str">
        <f>_xlfn.XLOOKUP(ColombiaClientes[[#This Row],[Client]],VpsClientes[Client],VpsClientes[VP],"",0)</f>
        <v>Martha Guzman Arango</v>
      </c>
      <c r="B1652" t="s">
        <v>186</v>
      </c>
      <c r="C1652" t="s">
        <v>192</v>
      </c>
      <c r="D1652" t="s">
        <v>219</v>
      </c>
      <c r="E1652" t="s">
        <v>91</v>
      </c>
      <c r="F1652" s="1">
        <v>21</v>
      </c>
    </row>
    <row r="1653" spans="1:6" x14ac:dyDescent="0.3">
      <c r="A1653" t="str">
        <f>_xlfn.XLOOKUP(ColombiaClientes[[#This Row],[Client]],VpsClientes[Client],VpsClientes[VP],"",0)</f>
        <v>Jhonatan Izquierdo Rico</v>
      </c>
      <c r="B1653" t="s">
        <v>159</v>
      </c>
      <c r="C1653" t="s">
        <v>192</v>
      </c>
      <c r="D1653" t="s">
        <v>219</v>
      </c>
      <c r="E1653" t="s">
        <v>91</v>
      </c>
      <c r="F1653" s="1">
        <v>8</v>
      </c>
    </row>
    <row r="1654" spans="1:6" x14ac:dyDescent="0.3">
      <c r="A1654">
        <f>_xlfn.XLOOKUP(ColombiaClientes[[#This Row],[Client]],VpsClientes[Client],VpsClientes[VP],"",0)</f>
        <v>0</v>
      </c>
      <c r="B1654" t="s">
        <v>141</v>
      </c>
      <c r="C1654" t="s">
        <v>203</v>
      </c>
      <c r="D1654" t="s">
        <v>219</v>
      </c>
      <c r="E1654" t="s">
        <v>206</v>
      </c>
      <c r="F1654" s="1">
        <v>61</v>
      </c>
    </row>
    <row r="1655" spans="1:6" x14ac:dyDescent="0.3">
      <c r="A1655" t="str">
        <f>_xlfn.XLOOKUP(ColombiaClientes[[#This Row],[Client]],VpsClientes[Client],VpsClientes[VP],"",0)</f>
        <v>Martha Guzman Arango</v>
      </c>
      <c r="B1655" t="s">
        <v>188</v>
      </c>
      <c r="C1655" t="s">
        <v>192</v>
      </c>
      <c r="D1655" t="s">
        <v>219</v>
      </c>
      <c r="E1655" t="s">
        <v>91</v>
      </c>
      <c r="F1655" s="1">
        <v>2</v>
      </c>
    </row>
    <row r="1656" spans="1:6" x14ac:dyDescent="0.3">
      <c r="A1656" t="str">
        <f>_xlfn.XLOOKUP(ColombiaClientes[[#This Row],[Client]],VpsClientes[Client],VpsClientes[VP],"",0)</f>
        <v>Martha Guzman Arango</v>
      </c>
      <c r="B1656" t="s">
        <v>189</v>
      </c>
      <c r="C1656" t="s">
        <v>192</v>
      </c>
      <c r="D1656" t="s">
        <v>219</v>
      </c>
      <c r="E1656" t="s">
        <v>91</v>
      </c>
      <c r="F1656" s="1">
        <v>0</v>
      </c>
    </row>
    <row r="1657" spans="1:6" x14ac:dyDescent="0.3">
      <c r="A1657" t="str">
        <f>_xlfn.XLOOKUP(ColombiaClientes[[#This Row],[Client]],VpsClientes[Client],VpsClientes[VP],"",0)</f>
        <v>Carlos Beltran Hernandez</v>
      </c>
      <c r="B1657" t="s">
        <v>93</v>
      </c>
      <c r="C1657" t="s">
        <v>194</v>
      </c>
      <c r="D1657" t="s">
        <v>219</v>
      </c>
      <c r="E1657" t="s">
        <v>91</v>
      </c>
      <c r="F1657" s="1">
        <v>24983</v>
      </c>
    </row>
    <row r="1658" spans="1:6" x14ac:dyDescent="0.3">
      <c r="A1658" t="str">
        <f>_xlfn.XLOOKUP(ColombiaClientes[[#This Row],[Client]],VpsClientes[Client],VpsClientes[VP],"",0)</f>
        <v>Carlos Beltran Hernandez</v>
      </c>
      <c r="B1658" t="s">
        <v>94</v>
      </c>
      <c r="C1658" t="s">
        <v>194</v>
      </c>
      <c r="D1658" t="s">
        <v>219</v>
      </c>
      <c r="E1658" t="s">
        <v>91</v>
      </c>
      <c r="F1658" s="1">
        <v>21211</v>
      </c>
    </row>
    <row r="1659" spans="1:6" x14ac:dyDescent="0.3">
      <c r="A1659" t="str">
        <f>_xlfn.XLOOKUP(ColombiaClientes[[#This Row],[Client]],VpsClientes[Client],VpsClientes[VP],"",0)</f>
        <v>Martha Guzman Arango</v>
      </c>
      <c r="B1659" t="s">
        <v>96</v>
      </c>
      <c r="C1659" t="s">
        <v>194</v>
      </c>
      <c r="D1659" t="s">
        <v>219</v>
      </c>
      <c r="E1659" t="s">
        <v>91</v>
      </c>
      <c r="F1659" s="1">
        <v>19774</v>
      </c>
    </row>
    <row r="1660" spans="1:6" x14ac:dyDescent="0.3">
      <c r="A1660" t="str">
        <f>_xlfn.XLOOKUP(ColombiaClientes[[#This Row],[Client]],VpsClientes[Client],VpsClientes[VP],"",0)</f>
        <v>Jhonatan Izquierdo Rico</v>
      </c>
      <c r="B1660" t="s">
        <v>104</v>
      </c>
      <c r="C1660" t="s">
        <v>194</v>
      </c>
      <c r="D1660" t="s">
        <v>219</v>
      </c>
      <c r="E1660" t="s">
        <v>91</v>
      </c>
      <c r="F1660" s="1">
        <v>17610</v>
      </c>
    </row>
    <row r="1661" spans="1:6" x14ac:dyDescent="0.3">
      <c r="A1661" t="str">
        <f>_xlfn.XLOOKUP(ColombiaClientes[[#This Row],[Client]],VpsClientes[Client],VpsClientes[VP],"",0)</f>
        <v>Carlos Castillo Figueroa</v>
      </c>
      <c r="B1661" t="s">
        <v>105</v>
      </c>
      <c r="C1661" t="s">
        <v>194</v>
      </c>
      <c r="D1661" t="s">
        <v>219</v>
      </c>
      <c r="E1661" t="s">
        <v>91</v>
      </c>
      <c r="F1661" s="1">
        <v>10475</v>
      </c>
    </row>
    <row r="1662" spans="1:6" x14ac:dyDescent="0.3">
      <c r="A1662" t="str">
        <f>_xlfn.XLOOKUP(ColombiaClientes[[#This Row],[Client]],VpsClientes[Client],VpsClientes[VP],"",0)</f>
        <v>Moises Saavedra Garcia</v>
      </c>
      <c r="B1662" t="s">
        <v>99</v>
      </c>
      <c r="C1662" t="s">
        <v>194</v>
      </c>
      <c r="D1662" t="s">
        <v>219</v>
      </c>
      <c r="E1662" t="s">
        <v>91</v>
      </c>
      <c r="F1662" s="1">
        <v>8993</v>
      </c>
    </row>
    <row r="1663" spans="1:6" x14ac:dyDescent="0.3">
      <c r="A1663" t="str">
        <f>_xlfn.XLOOKUP(ColombiaClientes[[#This Row],[Client]],VpsClientes[Client],VpsClientes[VP],"",0)</f>
        <v>Martha Guzman Arango</v>
      </c>
      <c r="B1663" t="s">
        <v>98</v>
      </c>
      <c r="C1663" t="s">
        <v>194</v>
      </c>
      <c r="D1663" t="s">
        <v>219</v>
      </c>
      <c r="E1663" t="s">
        <v>91</v>
      </c>
      <c r="F1663" s="1">
        <v>7906</v>
      </c>
    </row>
    <row r="1664" spans="1:6" x14ac:dyDescent="0.3">
      <c r="A1664" t="str">
        <f>_xlfn.XLOOKUP(ColombiaClientes[[#This Row],[Client]],VpsClientes[Client],VpsClientes[VP],"",0)</f>
        <v>Maria Forero Jara</v>
      </c>
      <c r="B1664" t="s">
        <v>123</v>
      </c>
      <c r="C1664" t="s">
        <v>194</v>
      </c>
      <c r="D1664" t="s">
        <v>219</v>
      </c>
      <c r="E1664" t="s">
        <v>91</v>
      </c>
      <c r="F1664" s="1">
        <v>7460</v>
      </c>
    </row>
    <row r="1665" spans="1:6" x14ac:dyDescent="0.3">
      <c r="A1665" t="str">
        <f>_xlfn.XLOOKUP(ColombiaClientes[[#This Row],[Client]],VpsClientes[Client],VpsClientes[VP],"",0)</f>
        <v>Maria Forero Jara</v>
      </c>
      <c r="B1665" t="s">
        <v>101</v>
      </c>
      <c r="C1665" t="s">
        <v>194</v>
      </c>
      <c r="D1665" t="s">
        <v>219</v>
      </c>
      <c r="E1665" t="s">
        <v>91</v>
      </c>
      <c r="F1665" s="1">
        <v>5814</v>
      </c>
    </row>
    <row r="1666" spans="1:6" x14ac:dyDescent="0.3">
      <c r="A1666" t="str">
        <f>_xlfn.XLOOKUP(ColombiaClientes[[#This Row],[Client]],VpsClientes[Client],VpsClientes[VP],"",0)</f>
        <v>Jhonatan Izquierdo Rico</v>
      </c>
      <c r="B1666" t="s">
        <v>107</v>
      </c>
      <c r="C1666" t="s">
        <v>194</v>
      </c>
      <c r="D1666" t="s">
        <v>219</v>
      </c>
      <c r="E1666" t="s">
        <v>91</v>
      </c>
      <c r="F1666" s="1">
        <v>5414</v>
      </c>
    </row>
    <row r="1667" spans="1:6" x14ac:dyDescent="0.3">
      <c r="A1667" t="str">
        <f>_xlfn.XLOOKUP(ColombiaClientes[[#This Row],[Client]],VpsClientes[Client],VpsClientes[VP],"",0)</f>
        <v>Ludy Torres Benitez</v>
      </c>
      <c r="B1667" t="s">
        <v>95</v>
      </c>
      <c r="C1667" t="s">
        <v>194</v>
      </c>
      <c r="D1667" t="s">
        <v>219</v>
      </c>
      <c r="E1667" t="s">
        <v>91</v>
      </c>
      <c r="F1667" s="1">
        <v>4791</v>
      </c>
    </row>
    <row r="1668" spans="1:6" x14ac:dyDescent="0.3">
      <c r="A1668" t="str">
        <f>_xlfn.XLOOKUP(ColombiaClientes[[#This Row],[Client]],VpsClientes[Client],VpsClientes[VP],"",0)</f>
        <v>Carlos Beltran Hernandez</v>
      </c>
      <c r="B1668" t="s">
        <v>102</v>
      </c>
      <c r="C1668" t="s">
        <v>194</v>
      </c>
      <c r="D1668" t="s">
        <v>219</v>
      </c>
      <c r="E1668" t="s">
        <v>91</v>
      </c>
      <c r="F1668" s="1">
        <v>4452</v>
      </c>
    </row>
    <row r="1669" spans="1:6" x14ac:dyDescent="0.3">
      <c r="A1669" t="str">
        <f>_xlfn.XLOOKUP(ColombiaClientes[[#This Row],[Client]],VpsClientes[Client],VpsClientes[VP],"",0)</f>
        <v>Jhonatan Izquierdo Rico</v>
      </c>
      <c r="B1669" t="s">
        <v>112</v>
      </c>
      <c r="C1669" t="s">
        <v>194</v>
      </c>
      <c r="D1669" t="s">
        <v>219</v>
      </c>
      <c r="E1669" t="s">
        <v>91</v>
      </c>
      <c r="F1669" s="1">
        <v>4132</v>
      </c>
    </row>
    <row r="1670" spans="1:6" x14ac:dyDescent="0.3">
      <c r="A1670" t="str">
        <f>_xlfn.XLOOKUP(ColombiaClientes[[#This Row],[Client]],VpsClientes[Client],VpsClientes[VP],"",0)</f>
        <v>Jhonatan Izquierdo Rico</v>
      </c>
      <c r="B1670" t="s">
        <v>128</v>
      </c>
      <c r="C1670" t="s">
        <v>194</v>
      </c>
      <c r="D1670" t="s">
        <v>219</v>
      </c>
      <c r="E1670" t="s">
        <v>91</v>
      </c>
      <c r="F1670" s="1">
        <v>3914</v>
      </c>
    </row>
    <row r="1671" spans="1:6" x14ac:dyDescent="0.3">
      <c r="A1671" t="str">
        <f>_xlfn.XLOOKUP(ColombiaClientes[[#This Row],[Client]],VpsClientes[Client],VpsClientes[VP],"",0)</f>
        <v>Maria Forero Jara</v>
      </c>
      <c r="B1671" t="s">
        <v>125</v>
      </c>
      <c r="C1671" t="s">
        <v>194</v>
      </c>
      <c r="D1671" t="s">
        <v>219</v>
      </c>
      <c r="E1671" t="s">
        <v>91</v>
      </c>
      <c r="F1671" s="1">
        <v>3679</v>
      </c>
    </row>
    <row r="1672" spans="1:6" x14ac:dyDescent="0.3">
      <c r="A1672" t="str">
        <f>_xlfn.XLOOKUP(ColombiaClientes[[#This Row],[Client]],VpsClientes[Client],VpsClientes[VP],"",0)</f>
        <v>Ernesto Rico Zuluaga</v>
      </c>
      <c r="B1672" t="s">
        <v>121</v>
      </c>
      <c r="C1672" t="s">
        <v>194</v>
      </c>
      <c r="D1672" t="s">
        <v>219</v>
      </c>
      <c r="E1672" t="s">
        <v>91</v>
      </c>
      <c r="F1672" s="1">
        <v>3503</v>
      </c>
    </row>
    <row r="1673" spans="1:6" x14ac:dyDescent="0.3">
      <c r="A1673" t="str">
        <f>_xlfn.XLOOKUP(ColombiaClientes[[#This Row],[Client]],VpsClientes[Client],VpsClientes[VP],"",0)</f>
        <v>Martha Guzman Arango</v>
      </c>
      <c r="B1673" t="s">
        <v>109</v>
      </c>
      <c r="C1673" t="s">
        <v>194</v>
      </c>
      <c r="D1673" t="s">
        <v>219</v>
      </c>
      <c r="E1673" t="s">
        <v>91</v>
      </c>
      <c r="F1673" s="1">
        <v>3467</v>
      </c>
    </row>
    <row r="1674" spans="1:6" x14ac:dyDescent="0.3">
      <c r="A1674" t="str">
        <f>_xlfn.XLOOKUP(ColombiaClientes[[#This Row],[Client]],VpsClientes[Client],VpsClientes[VP],"",0)</f>
        <v>Ernesto Rico Zuluaga</v>
      </c>
      <c r="B1674" t="s">
        <v>116</v>
      </c>
      <c r="C1674" t="s">
        <v>194</v>
      </c>
      <c r="D1674" t="s">
        <v>219</v>
      </c>
      <c r="E1674" t="s">
        <v>91</v>
      </c>
      <c r="F1674" s="1">
        <v>2803</v>
      </c>
    </row>
    <row r="1675" spans="1:6" x14ac:dyDescent="0.3">
      <c r="A1675" t="str">
        <f>_xlfn.XLOOKUP(ColombiaClientes[[#This Row],[Client]],VpsClientes[Client],VpsClientes[VP],"",0)</f>
        <v>Martha Guzman Arango</v>
      </c>
      <c r="B1675" t="s">
        <v>100</v>
      </c>
      <c r="C1675" t="s">
        <v>194</v>
      </c>
      <c r="D1675" t="s">
        <v>219</v>
      </c>
      <c r="E1675" t="s">
        <v>91</v>
      </c>
      <c r="F1675" s="1">
        <v>2700</v>
      </c>
    </row>
    <row r="1676" spans="1:6" x14ac:dyDescent="0.3">
      <c r="A1676" t="str">
        <f>_xlfn.XLOOKUP(ColombiaClientes[[#This Row],[Client]],VpsClientes[Client],VpsClientes[VP],"",0)</f>
        <v>Maria Forero Jara</v>
      </c>
      <c r="B1676" t="s">
        <v>108</v>
      </c>
      <c r="C1676" t="s">
        <v>194</v>
      </c>
      <c r="D1676" t="s">
        <v>219</v>
      </c>
      <c r="E1676" t="s">
        <v>91</v>
      </c>
      <c r="F1676" s="1">
        <v>2554</v>
      </c>
    </row>
    <row r="1677" spans="1:6" x14ac:dyDescent="0.3">
      <c r="A1677" t="str">
        <f>_xlfn.XLOOKUP(ColombiaClientes[[#This Row],[Client]],VpsClientes[Client],VpsClientes[VP],"",0)</f>
        <v>Martha Guzman Arango</v>
      </c>
      <c r="B1677" t="s">
        <v>122</v>
      </c>
      <c r="C1677" t="s">
        <v>194</v>
      </c>
      <c r="D1677" t="s">
        <v>219</v>
      </c>
      <c r="E1677" t="s">
        <v>91</v>
      </c>
      <c r="F1677" s="1">
        <v>2544</v>
      </c>
    </row>
    <row r="1678" spans="1:6" x14ac:dyDescent="0.3">
      <c r="A1678" t="str">
        <f>_xlfn.XLOOKUP(ColombiaClientes[[#This Row],[Client]],VpsClientes[Client],VpsClientes[VP],"",0)</f>
        <v>Sandra Romero Zuluaga</v>
      </c>
      <c r="B1678" t="s">
        <v>113</v>
      </c>
      <c r="C1678" t="s">
        <v>194</v>
      </c>
      <c r="D1678" t="s">
        <v>219</v>
      </c>
      <c r="E1678" t="s">
        <v>91</v>
      </c>
      <c r="F1678" s="1">
        <v>2157</v>
      </c>
    </row>
    <row r="1679" spans="1:6" x14ac:dyDescent="0.3">
      <c r="A1679" t="str">
        <f>_xlfn.XLOOKUP(ColombiaClientes[[#This Row],[Client]],VpsClientes[Client],VpsClientes[VP],"",0)</f>
        <v>Martha Guzman Arango</v>
      </c>
      <c r="B1679" t="s">
        <v>103</v>
      </c>
      <c r="C1679" t="s">
        <v>194</v>
      </c>
      <c r="D1679" t="s">
        <v>219</v>
      </c>
      <c r="E1679" t="s">
        <v>91</v>
      </c>
      <c r="F1679" s="1">
        <v>1989</v>
      </c>
    </row>
    <row r="1680" spans="1:6" x14ac:dyDescent="0.3">
      <c r="A1680" t="str">
        <f>_xlfn.XLOOKUP(ColombiaClientes[[#This Row],[Client]],VpsClientes[Client],VpsClientes[VP],"",0)</f>
        <v>Moises Saavedra Garcia</v>
      </c>
      <c r="B1680" t="s">
        <v>120</v>
      </c>
      <c r="C1680" t="s">
        <v>194</v>
      </c>
      <c r="D1680" t="s">
        <v>219</v>
      </c>
      <c r="E1680" t="s">
        <v>91</v>
      </c>
      <c r="F1680" s="1">
        <v>1925</v>
      </c>
    </row>
    <row r="1681" spans="1:6" x14ac:dyDescent="0.3">
      <c r="A1681" t="str">
        <f>_xlfn.XLOOKUP(ColombiaClientes[[#This Row],[Client]],VpsClientes[Client],VpsClientes[VP],"",0)</f>
        <v>Maria Forero Jara</v>
      </c>
      <c r="B1681" t="s">
        <v>106</v>
      </c>
      <c r="C1681" t="s">
        <v>194</v>
      </c>
      <c r="D1681" t="s">
        <v>219</v>
      </c>
      <c r="E1681" t="s">
        <v>91</v>
      </c>
      <c r="F1681" s="1">
        <v>1875</v>
      </c>
    </row>
    <row r="1682" spans="1:6" x14ac:dyDescent="0.3">
      <c r="A1682" t="str">
        <f>_xlfn.XLOOKUP(ColombiaClientes[[#This Row],[Client]],VpsClientes[Client],VpsClientes[VP],"",0)</f>
        <v>Moises Saavedra Garcia</v>
      </c>
      <c r="B1682" t="s">
        <v>110</v>
      </c>
      <c r="C1682" t="s">
        <v>194</v>
      </c>
      <c r="D1682" t="s">
        <v>219</v>
      </c>
      <c r="E1682" t="s">
        <v>91</v>
      </c>
      <c r="F1682" s="1">
        <v>1860</v>
      </c>
    </row>
    <row r="1683" spans="1:6" x14ac:dyDescent="0.3">
      <c r="A1683" t="str">
        <f>_xlfn.XLOOKUP(ColombiaClientes[[#This Row],[Client]],VpsClientes[Client],VpsClientes[VP],"",0)</f>
        <v>Hector Muraira Garza</v>
      </c>
      <c r="B1683" t="s">
        <v>137</v>
      </c>
      <c r="C1683" t="s">
        <v>194</v>
      </c>
      <c r="D1683" t="s">
        <v>219</v>
      </c>
      <c r="E1683" t="s">
        <v>91</v>
      </c>
      <c r="F1683" s="1">
        <v>1815</v>
      </c>
    </row>
    <row r="1684" spans="1:6" x14ac:dyDescent="0.3">
      <c r="A1684" t="str">
        <f>_xlfn.XLOOKUP(ColombiaClientes[[#This Row],[Client]],VpsClientes[Client],VpsClientes[VP],"",0)</f>
        <v>Juan Granados Castillo</v>
      </c>
      <c r="B1684" t="s">
        <v>134</v>
      </c>
      <c r="C1684" t="s">
        <v>194</v>
      </c>
      <c r="D1684" t="s">
        <v>219</v>
      </c>
      <c r="E1684" t="s">
        <v>91</v>
      </c>
      <c r="F1684" s="1">
        <v>1664</v>
      </c>
    </row>
    <row r="1685" spans="1:6" x14ac:dyDescent="0.3">
      <c r="A1685" t="str">
        <f>_xlfn.XLOOKUP(ColombiaClientes[[#This Row],[Client]],VpsClientes[Client],VpsClientes[VP],"",0)</f>
        <v>Juan Granados Castillo</v>
      </c>
      <c r="B1685" t="s">
        <v>136</v>
      </c>
      <c r="C1685" t="s">
        <v>194</v>
      </c>
      <c r="D1685" t="s">
        <v>219</v>
      </c>
      <c r="E1685" t="s">
        <v>91</v>
      </c>
      <c r="F1685" s="1">
        <v>1625</v>
      </c>
    </row>
    <row r="1686" spans="1:6" x14ac:dyDescent="0.3">
      <c r="A1686" t="str">
        <f>_xlfn.XLOOKUP(ColombiaClientes[[#This Row],[Client]],VpsClientes[Client],VpsClientes[VP],"",0)</f>
        <v>Martha Guzman Arango</v>
      </c>
      <c r="B1686" t="s">
        <v>114</v>
      </c>
      <c r="C1686" t="s">
        <v>194</v>
      </c>
      <c r="D1686" t="s">
        <v>219</v>
      </c>
      <c r="E1686" t="s">
        <v>91</v>
      </c>
      <c r="F1686" s="1">
        <v>1618</v>
      </c>
    </row>
    <row r="1687" spans="1:6" x14ac:dyDescent="0.3">
      <c r="A1687" t="str">
        <f>_xlfn.XLOOKUP(ColombiaClientes[[#This Row],[Client]],VpsClientes[Client],VpsClientes[VP],"",0)</f>
        <v>Martha Guzman Arango</v>
      </c>
      <c r="B1687" t="s">
        <v>97</v>
      </c>
      <c r="C1687" t="s">
        <v>194</v>
      </c>
      <c r="D1687" t="s">
        <v>219</v>
      </c>
      <c r="E1687" t="s">
        <v>91</v>
      </c>
      <c r="F1687" s="1">
        <v>1596</v>
      </c>
    </row>
    <row r="1688" spans="1:6" x14ac:dyDescent="0.3">
      <c r="A1688" t="str">
        <f>_xlfn.XLOOKUP(ColombiaClientes[[#This Row],[Client]],VpsClientes[Client],VpsClientes[VP],"",0)</f>
        <v>Jhonatan Izquierdo Rico</v>
      </c>
      <c r="B1688" t="s">
        <v>126</v>
      </c>
      <c r="C1688" t="s">
        <v>194</v>
      </c>
      <c r="D1688" t="s">
        <v>219</v>
      </c>
      <c r="E1688" t="s">
        <v>91</v>
      </c>
      <c r="F1688" s="1">
        <v>1536</v>
      </c>
    </row>
    <row r="1689" spans="1:6" x14ac:dyDescent="0.3">
      <c r="A1689" t="str">
        <f>_xlfn.XLOOKUP(ColombiaClientes[[#This Row],[Client]],VpsClientes[Client],VpsClientes[VP],"",0)</f>
        <v>Carlos Beltran Hernandez</v>
      </c>
      <c r="B1689" t="s">
        <v>119</v>
      </c>
      <c r="C1689" t="s">
        <v>194</v>
      </c>
      <c r="D1689" t="s">
        <v>219</v>
      </c>
      <c r="E1689" t="s">
        <v>91</v>
      </c>
      <c r="F1689" s="1">
        <v>1343</v>
      </c>
    </row>
    <row r="1690" spans="1:6" x14ac:dyDescent="0.3">
      <c r="A1690" t="str">
        <f>_xlfn.XLOOKUP(ColombiaClientes[[#This Row],[Client]],VpsClientes[Client],VpsClientes[VP],"",0)</f>
        <v>Maria Forero Jara</v>
      </c>
      <c r="B1690" t="s">
        <v>139</v>
      </c>
      <c r="C1690" t="s">
        <v>194</v>
      </c>
      <c r="D1690" t="s">
        <v>219</v>
      </c>
      <c r="E1690" t="s">
        <v>91</v>
      </c>
      <c r="F1690" s="1">
        <v>1341</v>
      </c>
    </row>
    <row r="1691" spans="1:6" x14ac:dyDescent="0.3">
      <c r="A1691" t="str">
        <f>_xlfn.XLOOKUP(ColombiaClientes[[#This Row],[Client]],VpsClientes[Client],VpsClientes[VP],"",0)</f>
        <v>Moises Saavedra Garcia</v>
      </c>
      <c r="B1691" t="s">
        <v>115</v>
      </c>
      <c r="C1691" t="s">
        <v>194</v>
      </c>
      <c r="D1691" t="s">
        <v>219</v>
      </c>
      <c r="E1691" t="s">
        <v>91</v>
      </c>
      <c r="F1691" s="1">
        <v>1234</v>
      </c>
    </row>
    <row r="1692" spans="1:6" x14ac:dyDescent="0.3">
      <c r="A1692" t="str">
        <f>_xlfn.XLOOKUP(ColombiaClientes[[#This Row],[Client]],VpsClientes[Client],VpsClientes[VP],"",0)</f>
        <v>Jhonatan Izquierdo Rico</v>
      </c>
      <c r="B1692" t="s">
        <v>138</v>
      </c>
      <c r="C1692" t="s">
        <v>194</v>
      </c>
      <c r="D1692" t="s">
        <v>219</v>
      </c>
      <c r="E1692" t="s">
        <v>91</v>
      </c>
      <c r="F1692" s="1">
        <v>1176</v>
      </c>
    </row>
    <row r="1693" spans="1:6" x14ac:dyDescent="0.3">
      <c r="A1693" t="str">
        <f>_xlfn.XLOOKUP(ColombiaClientes[[#This Row],[Client]],VpsClientes[Client],VpsClientes[VP],"",0)</f>
        <v>Martha Guzman Arango</v>
      </c>
      <c r="B1693" t="s">
        <v>118</v>
      </c>
      <c r="C1693" t="s">
        <v>194</v>
      </c>
      <c r="D1693" t="s">
        <v>219</v>
      </c>
      <c r="E1693" t="s">
        <v>91</v>
      </c>
      <c r="F1693" s="1">
        <v>1081</v>
      </c>
    </row>
    <row r="1694" spans="1:6" x14ac:dyDescent="0.3">
      <c r="A1694" t="str">
        <f>_xlfn.XLOOKUP(ColombiaClientes[[#This Row],[Client]],VpsClientes[Client],VpsClientes[VP],"",0)</f>
        <v>Hector Muraira Garza</v>
      </c>
      <c r="B1694" t="s">
        <v>130</v>
      </c>
      <c r="C1694" t="s">
        <v>194</v>
      </c>
      <c r="D1694" t="s">
        <v>219</v>
      </c>
      <c r="E1694" t="s">
        <v>91</v>
      </c>
      <c r="F1694" s="1">
        <v>1028</v>
      </c>
    </row>
    <row r="1695" spans="1:6" x14ac:dyDescent="0.3">
      <c r="A1695" t="str">
        <f>_xlfn.XLOOKUP(ColombiaClientes[[#This Row],[Client]],VpsClientes[Client],VpsClientes[VP],"",0)</f>
        <v>Maria Forero Jara</v>
      </c>
      <c r="B1695" t="s">
        <v>111</v>
      </c>
      <c r="C1695" t="s">
        <v>194</v>
      </c>
      <c r="D1695" t="s">
        <v>219</v>
      </c>
      <c r="E1695" t="s">
        <v>91</v>
      </c>
      <c r="F1695" s="1">
        <v>937</v>
      </c>
    </row>
    <row r="1696" spans="1:6" x14ac:dyDescent="0.3">
      <c r="A1696" t="str">
        <f>_xlfn.XLOOKUP(ColombiaClientes[[#This Row],[Client]],VpsClientes[Client],VpsClientes[VP],"",0)</f>
        <v>Jhonatan Izquierdo Rico</v>
      </c>
      <c r="B1696" t="s">
        <v>117</v>
      </c>
      <c r="C1696" t="s">
        <v>194</v>
      </c>
      <c r="D1696" t="s">
        <v>219</v>
      </c>
      <c r="E1696" t="s">
        <v>91</v>
      </c>
      <c r="F1696" s="1">
        <v>889</v>
      </c>
    </row>
    <row r="1697" spans="1:6" x14ac:dyDescent="0.3">
      <c r="A1697" t="str">
        <f>_xlfn.XLOOKUP(ColombiaClientes[[#This Row],[Client]],VpsClientes[Client],VpsClientes[VP],"",0)</f>
        <v>Martha Guzman Arango</v>
      </c>
      <c r="B1697" t="s">
        <v>135</v>
      </c>
      <c r="C1697" t="s">
        <v>194</v>
      </c>
      <c r="D1697" t="s">
        <v>219</v>
      </c>
      <c r="E1697" t="s">
        <v>91</v>
      </c>
      <c r="F1697" s="1">
        <v>803</v>
      </c>
    </row>
    <row r="1698" spans="1:6" x14ac:dyDescent="0.3">
      <c r="A1698" t="str">
        <f>_xlfn.XLOOKUP(ColombiaClientes[[#This Row],[Client]],VpsClientes[Client],VpsClientes[VP],"",0)</f>
        <v>Moises Saavedra Garcia</v>
      </c>
      <c r="B1698" t="s">
        <v>150</v>
      </c>
      <c r="C1698" t="s">
        <v>194</v>
      </c>
      <c r="D1698" t="s">
        <v>219</v>
      </c>
      <c r="E1698" t="s">
        <v>91</v>
      </c>
      <c r="F1698" s="1">
        <v>666</v>
      </c>
    </row>
    <row r="1699" spans="1:6" x14ac:dyDescent="0.3">
      <c r="A1699" t="str">
        <f>_xlfn.XLOOKUP(ColombiaClientes[[#This Row],[Client]],VpsClientes[Client],VpsClientes[VP],"",0)</f>
        <v>Martha Guzman Arango</v>
      </c>
      <c r="B1699" t="s">
        <v>152</v>
      </c>
      <c r="C1699" t="s">
        <v>194</v>
      </c>
      <c r="D1699" t="s">
        <v>219</v>
      </c>
      <c r="E1699" t="s">
        <v>91</v>
      </c>
      <c r="F1699" s="1">
        <v>665</v>
      </c>
    </row>
    <row r="1700" spans="1:6" x14ac:dyDescent="0.3">
      <c r="A1700" t="str">
        <f>_xlfn.XLOOKUP(ColombiaClientes[[#This Row],[Client]],VpsClientes[Client],VpsClientes[VP],"",0)</f>
        <v>Hector Muraira Garza</v>
      </c>
      <c r="B1700" t="s">
        <v>140</v>
      </c>
      <c r="C1700" t="s">
        <v>194</v>
      </c>
      <c r="D1700" t="s">
        <v>219</v>
      </c>
      <c r="E1700" t="s">
        <v>91</v>
      </c>
      <c r="F1700" s="1">
        <v>608</v>
      </c>
    </row>
    <row r="1701" spans="1:6" x14ac:dyDescent="0.3">
      <c r="A1701" t="str">
        <f>_xlfn.XLOOKUP(ColombiaClientes[[#This Row],[Client]],VpsClientes[Client],VpsClientes[VP],"",0)</f>
        <v>Hector Muraira Garza</v>
      </c>
      <c r="B1701" t="s">
        <v>154</v>
      </c>
      <c r="C1701" t="s">
        <v>194</v>
      </c>
      <c r="D1701" t="s">
        <v>219</v>
      </c>
      <c r="E1701" t="s">
        <v>91</v>
      </c>
      <c r="F1701" s="1">
        <v>564</v>
      </c>
    </row>
    <row r="1702" spans="1:6" x14ac:dyDescent="0.3">
      <c r="A1702" t="str">
        <f>_xlfn.XLOOKUP(ColombiaClientes[[#This Row],[Client]],VpsClientes[Client],VpsClientes[VP],"",0)</f>
        <v>Martha Guzman Arango</v>
      </c>
      <c r="B1702" t="s">
        <v>156</v>
      </c>
      <c r="C1702" t="s">
        <v>194</v>
      </c>
      <c r="D1702" t="s">
        <v>219</v>
      </c>
      <c r="E1702" t="s">
        <v>91</v>
      </c>
      <c r="F1702" s="1">
        <v>521</v>
      </c>
    </row>
    <row r="1703" spans="1:6" x14ac:dyDescent="0.3">
      <c r="A1703" t="str">
        <f>_xlfn.XLOOKUP(ColombiaClientes[[#This Row],[Client]],VpsClientes[Client],VpsClientes[VP],"",0)</f>
        <v>Martha Guzman Arango</v>
      </c>
      <c r="B1703" t="s">
        <v>146</v>
      </c>
      <c r="C1703" t="s">
        <v>194</v>
      </c>
      <c r="D1703" t="s">
        <v>219</v>
      </c>
      <c r="E1703" t="s">
        <v>91</v>
      </c>
      <c r="F1703" s="1">
        <v>514</v>
      </c>
    </row>
    <row r="1704" spans="1:6" x14ac:dyDescent="0.3">
      <c r="A1704" t="str">
        <f>_xlfn.XLOOKUP(ColombiaClientes[[#This Row],[Client]],VpsClientes[Client],VpsClientes[VP],"",0)</f>
        <v>Martha Guzman Arango</v>
      </c>
      <c r="B1704" t="s">
        <v>143</v>
      </c>
      <c r="C1704" t="s">
        <v>194</v>
      </c>
      <c r="D1704" t="s">
        <v>219</v>
      </c>
      <c r="E1704" t="s">
        <v>91</v>
      </c>
      <c r="F1704" s="1">
        <v>381</v>
      </c>
    </row>
    <row r="1705" spans="1:6" x14ac:dyDescent="0.3">
      <c r="A1705" t="str">
        <f>_xlfn.XLOOKUP(ColombiaClientes[[#This Row],[Client]],VpsClientes[Client],VpsClientes[VP],"",0)</f>
        <v>Carlos Beltran Hernandez</v>
      </c>
      <c r="B1705" t="s">
        <v>151</v>
      </c>
      <c r="C1705" t="s">
        <v>194</v>
      </c>
      <c r="D1705" t="s">
        <v>219</v>
      </c>
      <c r="E1705" t="s">
        <v>91</v>
      </c>
      <c r="F1705" s="1">
        <v>378</v>
      </c>
    </row>
    <row r="1706" spans="1:6" x14ac:dyDescent="0.3">
      <c r="A1706" t="str">
        <f>_xlfn.XLOOKUP(ColombiaClientes[[#This Row],[Client]],VpsClientes[Client],VpsClientes[VP],"",0)</f>
        <v>Hector Muraira Garza</v>
      </c>
      <c r="B1706" t="s">
        <v>132</v>
      </c>
      <c r="C1706" t="s">
        <v>194</v>
      </c>
      <c r="D1706" t="s">
        <v>219</v>
      </c>
      <c r="E1706" t="s">
        <v>91</v>
      </c>
      <c r="F1706" s="1">
        <v>355</v>
      </c>
    </row>
    <row r="1707" spans="1:6" x14ac:dyDescent="0.3">
      <c r="A1707" t="str">
        <f>_xlfn.XLOOKUP(ColombiaClientes[[#This Row],[Client]],VpsClientes[Client],VpsClientes[VP],"",0)</f>
        <v>Maria Forero Jara</v>
      </c>
      <c r="B1707" t="s">
        <v>163</v>
      </c>
      <c r="C1707" t="s">
        <v>194</v>
      </c>
      <c r="D1707" t="s">
        <v>219</v>
      </c>
      <c r="E1707" t="s">
        <v>91</v>
      </c>
      <c r="F1707" s="1">
        <v>342</v>
      </c>
    </row>
    <row r="1708" spans="1:6" x14ac:dyDescent="0.3">
      <c r="A1708" t="str">
        <f>_xlfn.XLOOKUP(ColombiaClientes[[#This Row],[Client]],VpsClientes[Client],VpsClientes[VP],"",0)</f>
        <v>Martha Guzman Arango</v>
      </c>
      <c r="B1708" t="s">
        <v>124</v>
      </c>
      <c r="C1708" t="s">
        <v>194</v>
      </c>
      <c r="D1708" t="s">
        <v>219</v>
      </c>
      <c r="E1708" t="s">
        <v>91</v>
      </c>
      <c r="F1708" s="1">
        <v>325</v>
      </c>
    </row>
    <row r="1709" spans="1:6" x14ac:dyDescent="0.3">
      <c r="A1709" t="str">
        <f>_xlfn.XLOOKUP(ColombiaClientes[[#This Row],[Client]],VpsClientes[Client],VpsClientes[VP],"",0)</f>
        <v>Martha Guzman Arango</v>
      </c>
      <c r="B1709" t="s">
        <v>153</v>
      </c>
      <c r="C1709" t="s">
        <v>194</v>
      </c>
      <c r="D1709" t="s">
        <v>219</v>
      </c>
      <c r="E1709" t="s">
        <v>91</v>
      </c>
      <c r="F1709" s="1">
        <v>316</v>
      </c>
    </row>
    <row r="1710" spans="1:6" x14ac:dyDescent="0.3">
      <c r="A1710" t="str">
        <f>_xlfn.XLOOKUP(ColombiaClientes[[#This Row],[Client]],VpsClientes[Client],VpsClientes[VP],"",0)</f>
        <v>Martha Guzman Arango</v>
      </c>
      <c r="B1710" t="s">
        <v>166</v>
      </c>
      <c r="C1710" t="s">
        <v>194</v>
      </c>
      <c r="D1710" t="s">
        <v>219</v>
      </c>
      <c r="E1710" t="s">
        <v>91</v>
      </c>
      <c r="F1710" s="1">
        <v>310</v>
      </c>
    </row>
    <row r="1711" spans="1:6" x14ac:dyDescent="0.3">
      <c r="A1711" t="str">
        <f>_xlfn.XLOOKUP(ColombiaClientes[[#This Row],[Client]],VpsClientes[Client],VpsClientes[VP],"",0)</f>
        <v>Martha Guzman Arango</v>
      </c>
      <c r="B1711" t="s">
        <v>199</v>
      </c>
      <c r="C1711" t="s">
        <v>194</v>
      </c>
      <c r="D1711" t="s">
        <v>219</v>
      </c>
      <c r="E1711" t="s">
        <v>91</v>
      </c>
      <c r="F1711" s="1">
        <v>277</v>
      </c>
    </row>
    <row r="1712" spans="1:6" x14ac:dyDescent="0.3">
      <c r="A1712" t="str">
        <f>_xlfn.XLOOKUP(ColombiaClientes[[#This Row],[Client]],VpsClientes[Client],VpsClientes[VP],"",0)</f>
        <v>Juan Granados Castillo</v>
      </c>
      <c r="B1712" t="s">
        <v>142</v>
      </c>
      <c r="C1712" t="s">
        <v>194</v>
      </c>
      <c r="D1712" t="s">
        <v>219</v>
      </c>
      <c r="E1712" t="s">
        <v>91</v>
      </c>
      <c r="F1712" s="1">
        <v>261</v>
      </c>
    </row>
    <row r="1713" spans="1:6" x14ac:dyDescent="0.3">
      <c r="A1713" t="str">
        <f>_xlfn.XLOOKUP(ColombiaClientes[[#This Row],[Client]],VpsClientes[Client],VpsClientes[VP],"",0)</f>
        <v>Martha Guzman Arango</v>
      </c>
      <c r="B1713" t="s">
        <v>162</v>
      </c>
      <c r="C1713" t="s">
        <v>194</v>
      </c>
      <c r="D1713" t="s">
        <v>219</v>
      </c>
      <c r="E1713" t="s">
        <v>91</v>
      </c>
      <c r="F1713" s="1">
        <v>253</v>
      </c>
    </row>
    <row r="1714" spans="1:6" x14ac:dyDescent="0.3">
      <c r="A1714">
        <f>_xlfn.XLOOKUP(ColombiaClientes[[#This Row],[Client]],VpsClientes[Client],VpsClientes[VP],"",0)</f>
        <v>0</v>
      </c>
      <c r="B1714" t="s">
        <v>141</v>
      </c>
      <c r="C1714" t="s">
        <v>205</v>
      </c>
      <c r="D1714" t="s">
        <v>219</v>
      </c>
      <c r="E1714" t="s">
        <v>206</v>
      </c>
      <c r="F1714" s="1">
        <v>8</v>
      </c>
    </row>
    <row r="1715" spans="1:6" x14ac:dyDescent="0.3">
      <c r="A1715" t="str">
        <f>_xlfn.XLOOKUP(ColombiaClientes[[#This Row],[Client]],VpsClientes[Client],VpsClientes[VP],"",0)</f>
        <v>Jhonatan Izquierdo Rico</v>
      </c>
      <c r="B1715" t="s">
        <v>157</v>
      </c>
      <c r="C1715" t="s">
        <v>194</v>
      </c>
      <c r="D1715" t="s">
        <v>219</v>
      </c>
      <c r="E1715" t="s">
        <v>91</v>
      </c>
      <c r="F1715" s="1">
        <v>242</v>
      </c>
    </row>
    <row r="1716" spans="1:6" x14ac:dyDescent="0.3">
      <c r="A1716" t="str">
        <f>_xlfn.XLOOKUP(ColombiaClientes[[#This Row],[Client]],VpsClientes[Client],VpsClientes[VP],"",0)</f>
        <v>Jhonatan Izquierdo Rico</v>
      </c>
      <c r="B1716" t="s">
        <v>129</v>
      </c>
      <c r="C1716" t="s">
        <v>194</v>
      </c>
      <c r="D1716" t="s">
        <v>219</v>
      </c>
      <c r="E1716" t="s">
        <v>91</v>
      </c>
      <c r="F1716" s="1">
        <v>209</v>
      </c>
    </row>
    <row r="1717" spans="1:6" x14ac:dyDescent="0.3">
      <c r="A1717" t="str">
        <f>_xlfn.XLOOKUP(ColombiaClientes[[#This Row],[Client]],VpsClientes[Client],VpsClientes[VP],"",0)</f>
        <v>Jhonatan Izquierdo Rico</v>
      </c>
      <c r="B1717" t="s">
        <v>196</v>
      </c>
      <c r="C1717" t="s">
        <v>194</v>
      </c>
      <c r="D1717" t="s">
        <v>219</v>
      </c>
      <c r="E1717" t="s">
        <v>91</v>
      </c>
      <c r="F1717" s="1">
        <v>204</v>
      </c>
    </row>
    <row r="1718" spans="1:6" x14ac:dyDescent="0.3">
      <c r="A1718" t="str">
        <f>_xlfn.XLOOKUP(ColombiaClientes[[#This Row],[Client]],VpsClientes[Client],VpsClientes[VP],"",0)</f>
        <v>Carlos Beltran Hernandez</v>
      </c>
      <c r="B1718" t="s">
        <v>158</v>
      </c>
      <c r="C1718" t="s">
        <v>194</v>
      </c>
      <c r="D1718" t="s">
        <v>219</v>
      </c>
      <c r="E1718" t="s">
        <v>91</v>
      </c>
      <c r="F1718" s="1">
        <v>191</v>
      </c>
    </row>
    <row r="1719" spans="1:6" x14ac:dyDescent="0.3">
      <c r="A1719" t="str">
        <f>_xlfn.XLOOKUP(ColombiaClientes[[#This Row],[Client]],VpsClientes[Client],VpsClientes[VP],"",0)</f>
        <v>Jhonatan Izquierdo Rico</v>
      </c>
      <c r="B1719" t="s">
        <v>197</v>
      </c>
      <c r="C1719" t="s">
        <v>194</v>
      </c>
      <c r="D1719" t="s">
        <v>219</v>
      </c>
      <c r="E1719" t="s">
        <v>91</v>
      </c>
      <c r="F1719" s="1">
        <v>187</v>
      </c>
    </row>
    <row r="1720" spans="1:6" x14ac:dyDescent="0.3">
      <c r="A1720" t="str">
        <f>_xlfn.XLOOKUP(ColombiaClientes[[#This Row],[Client]],VpsClientes[Client],VpsClientes[VP],"",0)</f>
        <v>Martha Guzman Arango</v>
      </c>
      <c r="B1720" t="s">
        <v>170</v>
      </c>
      <c r="C1720" t="s">
        <v>194</v>
      </c>
      <c r="D1720" t="s">
        <v>219</v>
      </c>
      <c r="E1720" t="s">
        <v>91</v>
      </c>
      <c r="F1720" s="1">
        <v>179</v>
      </c>
    </row>
    <row r="1721" spans="1:6" x14ac:dyDescent="0.3">
      <c r="A1721" t="str">
        <f>_xlfn.XLOOKUP(ColombiaClientes[[#This Row],[Client]],VpsClientes[Client],VpsClientes[VP],"",0)</f>
        <v>Martha Guzman Arango</v>
      </c>
      <c r="B1721" t="s">
        <v>168</v>
      </c>
      <c r="C1721" t="s">
        <v>194</v>
      </c>
      <c r="D1721" t="s">
        <v>219</v>
      </c>
      <c r="E1721" t="s">
        <v>91</v>
      </c>
      <c r="F1721" s="1">
        <v>178</v>
      </c>
    </row>
    <row r="1722" spans="1:6" x14ac:dyDescent="0.3">
      <c r="A1722" t="str">
        <f>_xlfn.XLOOKUP(ColombiaClientes[[#This Row],[Client]],VpsClientes[Client],VpsClientes[VP],"",0)</f>
        <v>Martha Guzman Arango</v>
      </c>
      <c r="B1722" t="s">
        <v>145</v>
      </c>
      <c r="C1722" t="s">
        <v>194</v>
      </c>
      <c r="D1722" t="s">
        <v>219</v>
      </c>
      <c r="E1722" t="s">
        <v>91</v>
      </c>
      <c r="F1722" s="1">
        <v>171</v>
      </c>
    </row>
    <row r="1723" spans="1:6" x14ac:dyDescent="0.3">
      <c r="A1723" t="str">
        <f>_xlfn.XLOOKUP(ColombiaClientes[[#This Row],[Client]],VpsClientes[Client],VpsClientes[VP],"",0)</f>
        <v>Moises Saavedra Garcia</v>
      </c>
      <c r="B1723" t="s">
        <v>172</v>
      </c>
      <c r="C1723" t="s">
        <v>194</v>
      </c>
      <c r="D1723" t="s">
        <v>219</v>
      </c>
      <c r="E1723" t="s">
        <v>91</v>
      </c>
      <c r="F1723" s="1">
        <v>165</v>
      </c>
    </row>
    <row r="1724" spans="1:6" x14ac:dyDescent="0.3">
      <c r="A1724" t="str">
        <f>_xlfn.XLOOKUP(ColombiaClientes[[#This Row],[Client]],VpsClientes[Client],VpsClientes[VP],"",0)</f>
        <v>Hector Muraira Garza</v>
      </c>
      <c r="B1724" t="s">
        <v>178</v>
      </c>
      <c r="C1724" t="s">
        <v>92</v>
      </c>
      <c r="D1724" t="s">
        <v>90</v>
      </c>
      <c r="E1724" t="s">
        <v>91</v>
      </c>
      <c r="F1724" s="1">
        <v>136</v>
      </c>
    </row>
    <row r="1725" spans="1:6" x14ac:dyDescent="0.3">
      <c r="A1725" t="str">
        <f>_xlfn.XLOOKUP(ColombiaClientes[[#This Row],[Client]],VpsClientes[Client],VpsClientes[VP],"",0)</f>
        <v>Hector Muraira Garza</v>
      </c>
      <c r="B1725" t="s">
        <v>178</v>
      </c>
      <c r="C1725" t="s">
        <v>191</v>
      </c>
      <c r="D1725" t="s">
        <v>90</v>
      </c>
      <c r="E1725" t="s">
        <v>91</v>
      </c>
      <c r="F1725" s="1">
        <v>207</v>
      </c>
    </row>
    <row r="1726" spans="1:6" x14ac:dyDescent="0.3">
      <c r="A1726" t="str">
        <f>_xlfn.XLOOKUP(ColombiaClientes[[#This Row],[Client]],VpsClientes[Client],VpsClientes[VP],"",0)</f>
        <v>Martha Guzman Arango</v>
      </c>
      <c r="B1726" t="s">
        <v>171</v>
      </c>
      <c r="C1726" t="s">
        <v>194</v>
      </c>
      <c r="D1726" t="s">
        <v>219</v>
      </c>
      <c r="E1726" t="s">
        <v>91</v>
      </c>
      <c r="F1726" s="1">
        <v>140</v>
      </c>
    </row>
    <row r="1727" spans="1:6" x14ac:dyDescent="0.3">
      <c r="A1727" t="str">
        <f>_xlfn.XLOOKUP(ColombiaClientes[[#This Row],[Client]],VpsClientes[Client],VpsClientes[VP],"",0)</f>
        <v>Juan Granados Castillo</v>
      </c>
      <c r="B1727" t="s">
        <v>149</v>
      </c>
      <c r="C1727" t="s">
        <v>194</v>
      </c>
      <c r="D1727" t="s">
        <v>219</v>
      </c>
      <c r="E1727" t="s">
        <v>91</v>
      </c>
      <c r="F1727" s="1">
        <v>119</v>
      </c>
    </row>
    <row r="1728" spans="1:6" x14ac:dyDescent="0.3">
      <c r="A1728" t="str">
        <f>_xlfn.XLOOKUP(ColombiaClientes[[#This Row],[Client]],VpsClientes[Client],VpsClientes[VP],"",0)</f>
        <v>Maria Forero Jara</v>
      </c>
      <c r="B1728" t="s">
        <v>161</v>
      </c>
      <c r="C1728" t="s">
        <v>194</v>
      </c>
      <c r="D1728" t="s">
        <v>219</v>
      </c>
      <c r="E1728" t="s">
        <v>91</v>
      </c>
      <c r="F1728" s="1">
        <v>106</v>
      </c>
    </row>
    <row r="1729" spans="1:6" x14ac:dyDescent="0.3">
      <c r="A1729" t="str">
        <f>_xlfn.XLOOKUP(ColombiaClientes[[#This Row],[Client]],VpsClientes[Client],VpsClientes[VP],"",0)</f>
        <v>Carlos Beltran Hernandez</v>
      </c>
      <c r="B1729" t="s">
        <v>173</v>
      </c>
      <c r="C1729" t="s">
        <v>194</v>
      </c>
      <c r="D1729" t="s">
        <v>219</v>
      </c>
      <c r="E1729" t="s">
        <v>91</v>
      </c>
      <c r="F1729" s="1">
        <v>102</v>
      </c>
    </row>
    <row r="1730" spans="1:6" x14ac:dyDescent="0.3">
      <c r="A1730" t="str">
        <f>_xlfn.XLOOKUP(ColombiaClientes[[#This Row],[Client]],VpsClientes[Client],VpsClientes[VP],"",0)</f>
        <v>Moises Saavedra Garcia</v>
      </c>
      <c r="B1730" t="s">
        <v>175</v>
      </c>
      <c r="C1730" t="s">
        <v>194</v>
      </c>
      <c r="D1730" t="s">
        <v>219</v>
      </c>
      <c r="E1730" t="s">
        <v>91</v>
      </c>
      <c r="F1730" s="1">
        <v>98</v>
      </c>
    </row>
    <row r="1731" spans="1:6" x14ac:dyDescent="0.3">
      <c r="A1731" t="str">
        <f>_xlfn.XLOOKUP(ColombiaClientes[[#This Row],[Client]],VpsClientes[Client],VpsClientes[VP],"",0)</f>
        <v>Moises Saavedra Garcia</v>
      </c>
      <c r="B1731" t="s">
        <v>190</v>
      </c>
      <c r="C1731" t="s">
        <v>194</v>
      </c>
      <c r="D1731" t="s">
        <v>219</v>
      </c>
      <c r="E1731" t="s">
        <v>91</v>
      </c>
      <c r="F1731" s="1">
        <v>98</v>
      </c>
    </row>
    <row r="1732" spans="1:6" x14ac:dyDescent="0.3">
      <c r="A1732" t="str">
        <f>_xlfn.XLOOKUP(ColombiaClientes[[#This Row],[Client]],VpsClientes[Client],VpsClientes[VP],"",0)</f>
        <v>Moises Saavedra Garcia</v>
      </c>
      <c r="B1732" t="s">
        <v>187</v>
      </c>
      <c r="C1732" t="s">
        <v>194</v>
      </c>
      <c r="D1732" t="s">
        <v>219</v>
      </c>
      <c r="E1732" t="s">
        <v>91</v>
      </c>
      <c r="F1732" s="1">
        <v>91</v>
      </c>
    </row>
    <row r="1733" spans="1:6" x14ac:dyDescent="0.3">
      <c r="A1733" t="str">
        <f>_xlfn.XLOOKUP(ColombiaClientes[[#This Row],[Client]],VpsClientes[Client],VpsClientes[VP],"",0)</f>
        <v>Maria Forero Jara</v>
      </c>
      <c r="B1733" t="s">
        <v>198</v>
      </c>
      <c r="C1733" t="s">
        <v>194</v>
      </c>
      <c r="D1733" t="s">
        <v>219</v>
      </c>
      <c r="E1733" t="s">
        <v>91</v>
      </c>
      <c r="F1733" s="1">
        <v>90</v>
      </c>
    </row>
    <row r="1734" spans="1:6" x14ac:dyDescent="0.3">
      <c r="A1734" t="str">
        <f>_xlfn.XLOOKUP(ColombiaClientes[[#This Row],[Client]],VpsClientes[Client],VpsClientes[VP],"",0)</f>
        <v>Martha Guzman Arango</v>
      </c>
      <c r="B1734" t="s">
        <v>148</v>
      </c>
      <c r="C1734" t="s">
        <v>194</v>
      </c>
      <c r="D1734" t="s">
        <v>219</v>
      </c>
      <c r="E1734" t="s">
        <v>91</v>
      </c>
      <c r="F1734" s="1">
        <v>89</v>
      </c>
    </row>
    <row r="1735" spans="1:6" x14ac:dyDescent="0.3">
      <c r="A1735" t="str">
        <f>_xlfn.XLOOKUP(ColombiaClientes[[#This Row],[Client]],VpsClientes[Client],VpsClientes[VP],"",0)</f>
        <v>Martha Guzman Arango</v>
      </c>
      <c r="B1735" t="s">
        <v>174</v>
      </c>
      <c r="C1735" t="s">
        <v>194</v>
      </c>
      <c r="D1735" t="s">
        <v>219</v>
      </c>
      <c r="E1735" t="s">
        <v>91</v>
      </c>
      <c r="F1735" s="1">
        <v>89</v>
      </c>
    </row>
    <row r="1736" spans="1:6" x14ac:dyDescent="0.3">
      <c r="A1736" t="str">
        <f>_xlfn.XLOOKUP(ColombiaClientes[[#This Row],[Client]],VpsClientes[Client],VpsClientes[VP],"",0)</f>
        <v>Maria Forero Jara</v>
      </c>
      <c r="B1736" t="s">
        <v>144</v>
      </c>
      <c r="C1736" t="s">
        <v>194</v>
      </c>
      <c r="D1736" t="s">
        <v>219</v>
      </c>
      <c r="E1736" t="s">
        <v>91</v>
      </c>
      <c r="F1736" s="1">
        <v>87</v>
      </c>
    </row>
    <row r="1737" spans="1:6" x14ac:dyDescent="0.3">
      <c r="A1737" t="str">
        <f>_xlfn.XLOOKUP(ColombiaClientes[[#This Row],[Client]],VpsClientes[Client],VpsClientes[VP],"",0)</f>
        <v>Maria Forero Jara</v>
      </c>
      <c r="B1737" t="s">
        <v>179</v>
      </c>
      <c r="C1737" t="s">
        <v>194</v>
      </c>
      <c r="D1737" t="s">
        <v>219</v>
      </c>
      <c r="E1737" t="s">
        <v>91</v>
      </c>
      <c r="F1737" s="1">
        <v>81</v>
      </c>
    </row>
    <row r="1738" spans="1:6" x14ac:dyDescent="0.3">
      <c r="A1738" t="str">
        <f>_xlfn.XLOOKUP(ColombiaClientes[[#This Row],[Client]],VpsClientes[Client],VpsClientes[VP],"",0)</f>
        <v>Martha Guzman Arango</v>
      </c>
      <c r="B1738" t="s">
        <v>165</v>
      </c>
      <c r="C1738" t="s">
        <v>194</v>
      </c>
      <c r="D1738" t="s">
        <v>219</v>
      </c>
      <c r="E1738" t="s">
        <v>91</v>
      </c>
      <c r="F1738" s="1">
        <v>77</v>
      </c>
    </row>
    <row r="1739" spans="1:6" x14ac:dyDescent="0.3">
      <c r="A1739" t="str">
        <f>_xlfn.XLOOKUP(ColombiaClientes[[#This Row],[Client]],VpsClientes[Client],VpsClientes[VP],"",0)</f>
        <v>Martha Guzman Arango</v>
      </c>
      <c r="B1739" t="s">
        <v>176</v>
      </c>
      <c r="C1739" t="s">
        <v>194</v>
      </c>
      <c r="D1739" t="s">
        <v>219</v>
      </c>
      <c r="E1739" t="s">
        <v>91</v>
      </c>
      <c r="F1739" s="1">
        <v>66</v>
      </c>
    </row>
    <row r="1740" spans="1:6" x14ac:dyDescent="0.3">
      <c r="A1740" t="str">
        <f>_xlfn.XLOOKUP(ColombiaClientes[[#This Row],[Client]],VpsClientes[Client],VpsClientes[VP],"",0)</f>
        <v>Martha Guzman Arango</v>
      </c>
      <c r="B1740" t="s">
        <v>131</v>
      </c>
      <c r="C1740" t="s">
        <v>194</v>
      </c>
      <c r="D1740" t="s">
        <v>219</v>
      </c>
      <c r="E1740" t="s">
        <v>91</v>
      </c>
      <c r="F1740" s="1">
        <v>65</v>
      </c>
    </row>
    <row r="1741" spans="1:6" x14ac:dyDescent="0.3">
      <c r="A1741" t="str">
        <f>_xlfn.XLOOKUP(ColombiaClientes[[#This Row],[Client]],VpsClientes[Client],VpsClientes[VP],"",0)</f>
        <v>Martha Guzman Arango</v>
      </c>
      <c r="B1741" t="s">
        <v>185</v>
      </c>
      <c r="C1741" t="s">
        <v>194</v>
      </c>
      <c r="D1741" t="s">
        <v>219</v>
      </c>
      <c r="E1741" t="s">
        <v>91</v>
      </c>
      <c r="F1741" s="1">
        <v>64</v>
      </c>
    </row>
    <row r="1742" spans="1:6" x14ac:dyDescent="0.3">
      <c r="A1742" t="str">
        <f>_xlfn.XLOOKUP(ColombiaClientes[[#This Row],[Client]],VpsClientes[Client],VpsClientes[VP],"",0)</f>
        <v>Maria Forero Jara</v>
      </c>
      <c r="B1742" t="s">
        <v>182</v>
      </c>
      <c r="C1742" t="s">
        <v>194</v>
      </c>
      <c r="D1742" t="s">
        <v>219</v>
      </c>
      <c r="E1742" t="s">
        <v>91</v>
      </c>
      <c r="F1742" s="1">
        <v>57</v>
      </c>
    </row>
    <row r="1743" spans="1:6" x14ac:dyDescent="0.3">
      <c r="A1743" t="str">
        <f>_xlfn.XLOOKUP(ColombiaClientes[[#This Row],[Client]],VpsClientes[Client],VpsClientes[VP],"",0)</f>
        <v>Martha Guzman Arango</v>
      </c>
      <c r="B1743" t="s">
        <v>155</v>
      </c>
      <c r="C1743" t="s">
        <v>194</v>
      </c>
      <c r="D1743" t="s">
        <v>219</v>
      </c>
      <c r="E1743" t="s">
        <v>91</v>
      </c>
      <c r="F1743" s="1">
        <v>54</v>
      </c>
    </row>
    <row r="1744" spans="1:6" x14ac:dyDescent="0.3">
      <c r="A1744" t="str">
        <f>_xlfn.XLOOKUP(ColombiaClientes[[#This Row],[Client]],VpsClientes[Client],VpsClientes[VP],"",0)</f>
        <v>Hector Muraira Garza</v>
      </c>
      <c r="B1744" t="s">
        <v>178</v>
      </c>
      <c r="C1744" t="s">
        <v>192</v>
      </c>
      <c r="D1744" t="s">
        <v>90</v>
      </c>
      <c r="E1744" t="s">
        <v>91</v>
      </c>
      <c r="F1744" s="1">
        <v>178</v>
      </c>
    </row>
    <row r="1745" spans="1:6" x14ac:dyDescent="0.3">
      <c r="A1745" t="str">
        <f>_xlfn.XLOOKUP(ColombiaClientes[[#This Row],[Client]],VpsClientes[Client],VpsClientes[VP],"",0)</f>
        <v>Martha Guzman Arango</v>
      </c>
      <c r="B1745" t="s">
        <v>183</v>
      </c>
      <c r="C1745" t="s">
        <v>194</v>
      </c>
      <c r="D1745" t="s">
        <v>219</v>
      </c>
      <c r="E1745" t="s">
        <v>91</v>
      </c>
      <c r="F1745" s="1">
        <v>47</v>
      </c>
    </row>
    <row r="1746" spans="1:6" x14ac:dyDescent="0.3">
      <c r="A1746" t="str">
        <f>_xlfn.XLOOKUP(ColombiaClientes[[#This Row],[Client]],VpsClientes[Client],VpsClientes[VP],"",0)</f>
        <v>Jhonatan Izquierdo Rico</v>
      </c>
      <c r="B1746" t="s">
        <v>200</v>
      </c>
      <c r="C1746" t="s">
        <v>194</v>
      </c>
      <c r="D1746" t="s">
        <v>219</v>
      </c>
      <c r="E1746" t="s">
        <v>91</v>
      </c>
      <c r="F1746" s="1">
        <v>44</v>
      </c>
    </row>
    <row r="1747" spans="1:6" x14ac:dyDescent="0.3">
      <c r="A1747" t="str">
        <f>_xlfn.XLOOKUP(ColombiaClientes[[#This Row],[Client]],VpsClientes[Client],VpsClientes[VP],"",0)</f>
        <v>Martha Guzman Arango</v>
      </c>
      <c r="B1747" t="s">
        <v>186</v>
      </c>
      <c r="C1747" t="s">
        <v>194</v>
      </c>
      <c r="D1747" t="s">
        <v>219</v>
      </c>
      <c r="E1747" t="s">
        <v>91</v>
      </c>
      <c r="F1747" s="1">
        <v>32</v>
      </c>
    </row>
    <row r="1748" spans="1:6" x14ac:dyDescent="0.3">
      <c r="A1748" t="str">
        <f>_xlfn.XLOOKUP(ColombiaClientes[[#This Row],[Client]],VpsClientes[Client],VpsClientes[VP],"",0)</f>
        <v>Hector Muraira Garza</v>
      </c>
      <c r="B1748" t="s">
        <v>164</v>
      </c>
      <c r="C1748" t="s">
        <v>194</v>
      </c>
      <c r="D1748" t="s">
        <v>219</v>
      </c>
      <c r="E1748" t="s">
        <v>91</v>
      </c>
      <c r="F1748" s="1">
        <v>26</v>
      </c>
    </row>
    <row r="1749" spans="1:6" x14ac:dyDescent="0.3">
      <c r="A1749" t="str">
        <f>_xlfn.XLOOKUP(ColombiaClientes[[#This Row],[Client]],VpsClientes[Client],VpsClientes[VP],"",0)</f>
        <v>Hector Muraira Garza</v>
      </c>
      <c r="B1749" t="s">
        <v>178</v>
      </c>
      <c r="C1749" t="s">
        <v>194</v>
      </c>
      <c r="D1749" t="s">
        <v>90</v>
      </c>
      <c r="E1749" t="s">
        <v>91</v>
      </c>
      <c r="F1749" s="1">
        <v>181</v>
      </c>
    </row>
    <row r="1750" spans="1:6" x14ac:dyDescent="0.3">
      <c r="A1750" t="str">
        <f>_xlfn.XLOOKUP(ColombiaClientes[[#This Row],[Client]],VpsClientes[Client],VpsClientes[VP],"",0)</f>
        <v>Hector Muraira Garza</v>
      </c>
      <c r="B1750" t="s">
        <v>167</v>
      </c>
      <c r="C1750" t="s">
        <v>194</v>
      </c>
      <c r="D1750" t="s">
        <v>219</v>
      </c>
      <c r="E1750" t="s">
        <v>91</v>
      </c>
      <c r="F1750" s="1">
        <v>18</v>
      </c>
    </row>
    <row r="1751" spans="1:6" x14ac:dyDescent="0.3">
      <c r="A1751" t="str">
        <f>_xlfn.XLOOKUP(ColombiaClientes[[#This Row],[Client]],VpsClientes[Client],VpsClientes[VP],"",0)</f>
        <v>Martha Guzman Arango</v>
      </c>
      <c r="B1751" t="s">
        <v>169</v>
      </c>
      <c r="C1751" t="s">
        <v>194</v>
      </c>
      <c r="D1751" t="s">
        <v>219</v>
      </c>
      <c r="E1751" t="s">
        <v>91</v>
      </c>
      <c r="F1751" s="1">
        <v>15</v>
      </c>
    </row>
    <row r="1752" spans="1:6" x14ac:dyDescent="0.3">
      <c r="A1752" t="str">
        <f>_xlfn.XLOOKUP(ColombiaClientes[[#This Row],[Client]],VpsClientes[Client],VpsClientes[VP],"",0)</f>
        <v>Jhonatan Izquierdo Rico</v>
      </c>
      <c r="B1752" t="s">
        <v>159</v>
      </c>
      <c r="C1752" t="s">
        <v>194</v>
      </c>
      <c r="D1752" t="s">
        <v>219</v>
      </c>
      <c r="E1752" t="s">
        <v>91</v>
      </c>
      <c r="F1752" s="1">
        <v>11</v>
      </c>
    </row>
    <row r="1753" spans="1:6" x14ac:dyDescent="0.3">
      <c r="A1753" t="str">
        <f>_xlfn.XLOOKUP(ColombiaClientes[[#This Row],[Client]],VpsClientes[Client],VpsClientes[VP],"",0)</f>
        <v>Martha Guzman Arango</v>
      </c>
      <c r="B1753" t="s">
        <v>188</v>
      </c>
      <c r="C1753" t="s">
        <v>194</v>
      </c>
      <c r="D1753" t="s">
        <v>219</v>
      </c>
      <c r="E1753" t="s">
        <v>91</v>
      </c>
      <c r="F1753" s="1">
        <v>8</v>
      </c>
    </row>
    <row r="1754" spans="1:6" x14ac:dyDescent="0.3">
      <c r="A1754" t="str">
        <f>_xlfn.XLOOKUP(ColombiaClientes[[#This Row],[Client]],VpsClientes[Client],VpsClientes[VP],"",0)</f>
        <v>Martha Guzman Arango</v>
      </c>
      <c r="B1754" t="s">
        <v>189</v>
      </c>
      <c r="C1754" t="s">
        <v>194</v>
      </c>
      <c r="D1754" t="s">
        <v>219</v>
      </c>
      <c r="E1754" t="s">
        <v>91</v>
      </c>
      <c r="F1754" s="1">
        <v>2</v>
      </c>
    </row>
    <row r="1755" spans="1:6" x14ac:dyDescent="0.3">
      <c r="A1755" t="str">
        <f>_xlfn.XLOOKUP(ColombiaClientes[[#This Row],[Client]],VpsClientes[Client],VpsClientes[VP],"",0)</f>
        <v>Martha Guzman Arango</v>
      </c>
      <c r="B1755" t="s">
        <v>180</v>
      </c>
      <c r="C1755" t="s">
        <v>194</v>
      </c>
      <c r="D1755" t="s">
        <v>219</v>
      </c>
      <c r="E1755" t="s">
        <v>91</v>
      </c>
      <c r="F1755" s="1">
        <v>1</v>
      </c>
    </row>
    <row r="1756" spans="1:6" x14ac:dyDescent="0.3">
      <c r="A1756" t="str">
        <f>_xlfn.XLOOKUP(ColombiaClientes[[#This Row],[Client]],VpsClientes[Client],VpsClientes[VP],"",0)</f>
        <v>Carlos Beltran Hernandez</v>
      </c>
      <c r="B1756" t="s">
        <v>94</v>
      </c>
      <c r="C1756" t="s">
        <v>202</v>
      </c>
      <c r="D1756" t="s">
        <v>219</v>
      </c>
      <c r="E1756" t="s">
        <v>91</v>
      </c>
      <c r="F1756" s="1">
        <v>23660</v>
      </c>
    </row>
    <row r="1757" spans="1:6" x14ac:dyDescent="0.3">
      <c r="A1757" t="str">
        <f>_xlfn.XLOOKUP(ColombiaClientes[[#This Row],[Client]],VpsClientes[Client],VpsClientes[VP],"",0)</f>
        <v>Martha Guzman Arango</v>
      </c>
      <c r="B1757" t="s">
        <v>96</v>
      </c>
      <c r="C1757" t="s">
        <v>202</v>
      </c>
      <c r="D1757" t="s">
        <v>219</v>
      </c>
      <c r="E1757" t="s">
        <v>91</v>
      </c>
      <c r="F1757" s="1">
        <v>21245</v>
      </c>
    </row>
    <row r="1758" spans="1:6" x14ac:dyDescent="0.3">
      <c r="A1758" t="str">
        <f>_xlfn.XLOOKUP(ColombiaClientes[[#This Row],[Client]],VpsClientes[Client],VpsClientes[VP],"",0)</f>
        <v>Jhonatan Izquierdo Rico</v>
      </c>
      <c r="B1758" t="s">
        <v>104</v>
      </c>
      <c r="C1758" t="s">
        <v>202</v>
      </c>
      <c r="D1758" t="s">
        <v>219</v>
      </c>
      <c r="E1758" t="s">
        <v>91</v>
      </c>
      <c r="F1758" s="1">
        <v>20224</v>
      </c>
    </row>
    <row r="1759" spans="1:6" x14ac:dyDescent="0.3">
      <c r="A1759" t="str">
        <f>_xlfn.XLOOKUP(ColombiaClientes[[#This Row],[Client]],VpsClientes[Client],VpsClientes[VP],"",0)</f>
        <v>Carlos Beltran Hernandez</v>
      </c>
      <c r="B1759" t="s">
        <v>93</v>
      </c>
      <c r="C1759" t="s">
        <v>202</v>
      </c>
      <c r="D1759" t="s">
        <v>219</v>
      </c>
      <c r="E1759" t="s">
        <v>91</v>
      </c>
      <c r="F1759" s="1">
        <v>18332</v>
      </c>
    </row>
    <row r="1760" spans="1:6" x14ac:dyDescent="0.3">
      <c r="A1760" t="str">
        <f>_xlfn.XLOOKUP(ColombiaClientes[[#This Row],[Client]],VpsClientes[Client],VpsClientes[VP],"",0)</f>
        <v>Moises Saavedra Garcia</v>
      </c>
      <c r="B1760" t="s">
        <v>99</v>
      </c>
      <c r="C1760" t="s">
        <v>202</v>
      </c>
      <c r="D1760" t="s">
        <v>219</v>
      </c>
      <c r="E1760" t="s">
        <v>91</v>
      </c>
      <c r="F1760" s="1">
        <v>7641</v>
      </c>
    </row>
    <row r="1761" spans="1:6" x14ac:dyDescent="0.3">
      <c r="A1761" t="str">
        <f>_xlfn.XLOOKUP(ColombiaClientes[[#This Row],[Client]],VpsClientes[Client],VpsClientes[VP],"",0)</f>
        <v>Martha Guzman Arango</v>
      </c>
      <c r="B1761" t="s">
        <v>98</v>
      </c>
      <c r="C1761" t="s">
        <v>202</v>
      </c>
      <c r="D1761" t="s">
        <v>219</v>
      </c>
      <c r="E1761" t="s">
        <v>91</v>
      </c>
      <c r="F1761" s="1">
        <v>6898</v>
      </c>
    </row>
    <row r="1762" spans="1:6" x14ac:dyDescent="0.3">
      <c r="A1762" t="str">
        <f>_xlfn.XLOOKUP(ColombiaClientes[[#This Row],[Client]],VpsClientes[Client],VpsClientes[VP],"",0)</f>
        <v>Maria Forero Jara</v>
      </c>
      <c r="B1762" t="s">
        <v>101</v>
      </c>
      <c r="C1762" t="s">
        <v>202</v>
      </c>
      <c r="D1762" t="s">
        <v>219</v>
      </c>
      <c r="E1762" t="s">
        <v>91</v>
      </c>
      <c r="F1762" s="1">
        <v>6797</v>
      </c>
    </row>
    <row r="1763" spans="1:6" x14ac:dyDescent="0.3">
      <c r="A1763" t="str">
        <f>_xlfn.XLOOKUP(ColombiaClientes[[#This Row],[Client]],VpsClientes[Client],VpsClientes[VP],"",0)</f>
        <v>Carlos Beltran Hernandez</v>
      </c>
      <c r="B1763" t="s">
        <v>102</v>
      </c>
      <c r="C1763" t="s">
        <v>202</v>
      </c>
      <c r="D1763" t="s">
        <v>219</v>
      </c>
      <c r="E1763" t="s">
        <v>91</v>
      </c>
      <c r="F1763" s="1">
        <v>6469</v>
      </c>
    </row>
    <row r="1764" spans="1:6" x14ac:dyDescent="0.3">
      <c r="A1764" t="str">
        <f>_xlfn.XLOOKUP(ColombiaClientes[[#This Row],[Client]],VpsClientes[Client],VpsClientes[VP],"",0)</f>
        <v>Jhonatan Izquierdo Rico</v>
      </c>
      <c r="B1764" t="s">
        <v>107</v>
      </c>
      <c r="C1764" t="s">
        <v>202</v>
      </c>
      <c r="D1764" t="s">
        <v>219</v>
      </c>
      <c r="E1764" t="s">
        <v>91</v>
      </c>
      <c r="F1764" s="1">
        <v>6421</v>
      </c>
    </row>
    <row r="1765" spans="1:6" x14ac:dyDescent="0.3">
      <c r="A1765" t="str">
        <f>_xlfn.XLOOKUP(ColombiaClientes[[#This Row],[Client]],VpsClientes[Client],VpsClientes[VP],"",0)</f>
        <v>Maria Forero Jara</v>
      </c>
      <c r="B1765" t="s">
        <v>123</v>
      </c>
      <c r="C1765" t="s">
        <v>202</v>
      </c>
      <c r="D1765" t="s">
        <v>219</v>
      </c>
      <c r="E1765" t="s">
        <v>91</v>
      </c>
      <c r="F1765" s="1">
        <v>5393</v>
      </c>
    </row>
    <row r="1766" spans="1:6" x14ac:dyDescent="0.3">
      <c r="A1766" t="str">
        <f>_xlfn.XLOOKUP(ColombiaClientes[[#This Row],[Client]],VpsClientes[Client],VpsClientes[VP],"",0)</f>
        <v>Maria Forero Jara</v>
      </c>
      <c r="B1766" t="s">
        <v>125</v>
      </c>
      <c r="C1766" t="s">
        <v>202</v>
      </c>
      <c r="D1766" t="s">
        <v>219</v>
      </c>
      <c r="E1766" t="s">
        <v>91</v>
      </c>
      <c r="F1766" s="1">
        <v>4454</v>
      </c>
    </row>
    <row r="1767" spans="1:6" x14ac:dyDescent="0.3">
      <c r="A1767" t="str">
        <f>_xlfn.XLOOKUP(ColombiaClientes[[#This Row],[Client]],VpsClientes[Client],VpsClientes[VP],"",0)</f>
        <v>Jhonatan Izquierdo Rico</v>
      </c>
      <c r="B1767" t="s">
        <v>112</v>
      </c>
      <c r="C1767" t="s">
        <v>202</v>
      </c>
      <c r="D1767" t="s">
        <v>219</v>
      </c>
      <c r="E1767" t="s">
        <v>91</v>
      </c>
      <c r="F1767" s="1">
        <v>4311</v>
      </c>
    </row>
    <row r="1768" spans="1:6" x14ac:dyDescent="0.3">
      <c r="A1768" t="str">
        <f>_xlfn.XLOOKUP(ColombiaClientes[[#This Row],[Client]],VpsClientes[Client],VpsClientes[VP],"",0)</f>
        <v>Ludy Torres Benitez</v>
      </c>
      <c r="B1768" t="s">
        <v>95</v>
      </c>
      <c r="C1768" t="s">
        <v>202</v>
      </c>
      <c r="D1768" t="s">
        <v>219</v>
      </c>
      <c r="E1768" t="s">
        <v>91</v>
      </c>
      <c r="F1768" s="1">
        <v>4272</v>
      </c>
    </row>
    <row r="1769" spans="1:6" x14ac:dyDescent="0.3">
      <c r="A1769" t="str">
        <f>_xlfn.XLOOKUP(ColombiaClientes[[#This Row],[Client]],VpsClientes[Client],VpsClientes[VP],"",0)</f>
        <v>Carlos Castillo Figueroa</v>
      </c>
      <c r="B1769" t="s">
        <v>105</v>
      </c>
      <c r="C1769" t="s">
        <v>202</v>
      </c>
      <c r="D1769" t="s">
        <v>219</v>
      </c>
      <c r="E1769" t="s">
        <v>91</v>
      </c>
      <c r="F1769" s="1">
        <v>4144</v>
      </c>
    </row>
    <row r="1770" spans="1:6" x14ac:dyDescent="0.3">
      <c r="A1770" t="str">
        <f>_xlfn.XLOOKUP(ColombiaClientes[[#This Row],[Client]],VpsClientes[Client],VpsClientes[VP],"",0)</f>
        <v>Martha Guzman Arango</v>
      </c>
      <c r="B1770" t="s">
        <v>103</v>
      </c>
      <c r="C1770" t="s">
        <v>202</v>
      </c>
      <c r="D1770" t="s">
        <v>219</v>
      </c>
      <c r="E1770" t="s">
        <v>91</v>
      </c>
      <c r="F1770" s="1">
        <v>3870</v>
      </c>
    </row>
    <row r="1771" spans="1:6" x14ac:dyDescent="0.3">
      <c r="A1771" t="str">
        <f>_xlfn.XLOOKUP(ColombiaClientes[[#This Row],[Client]],VpsClientes[Client],VpsClientes[VP],"",0)</f>
        <v>Martha Guzman Arango</v>
      </c>
      <c r="B1771" t="s">
        <v>100</v>
      </c>
      <c r="C1771" t="s">
        <v>202</v>
      </c>
      <c r="D1771" t="s">
        <v>219</v>
      </c>
      <c r="E1771" t="s">
        <v>91</v>
      </c>
      <c r="F1771" s="1">
        <v>3841</v>
      </c>
    </row>
    <row r="1772" spans="1:6" x14ac:dyDescent="0.3">
      <c r="A1772" t="str">
        <f>_xlfn.XLOOKUP(ColombiaClientes[[#This Row],[Client]],VpsClientes[Client],VpsClientes[VP],"",0)</f>
        <v>Jhonatan Izquierdo Rico</v>
      </c>
      <c r="B1772" t="s">
        <v>128</v>
      </c>
      <c r="C1772" t="s">
        <v>202</v>
      </c>
      <c r="D1772" t="s">
        <v>219</v>
      </c>
      <c r="E1772" t="s">
        <v>91</v>
      </c>
      <c r="F1772" s="1">
        <v>3656</v>
      </c>
    </row>
    <row r="1773" spans="1:6" x14ac:dyDescent="0.3">
      <c r="A1773" t="str">
        <f>_xlfn.XLOOKUP(ColombiaClientes[[#This Row],[Client]],VpsClientes[Client],VpsClientes[VP],"",0)</f>
        <v>Ernesto Rico Zuluaga</v>
      </c>
      <c r="B1773" t="s">
        <v>121</v>
      </c>
      <c r="C1773" t="s">
        <v>202</v>
      </c>
      <c r="D1773" t="s">
        <v>219</v>
      </c>
      <c r="E1773" t="s">
        <v>91</v>
      </c>
      <c r="F1773" s="1">
        <v>3291</v>
      </c>
    </row>
    <row r="1774" spans="1:6" x14ac:dyDescent="0.3">
      <c r="A1774" t="str">
        <f>_xlfn.XLOOKUP(ColombiaClientes[[#This Row],[Client]],VpsClientes[Client],VpsClientes[VP],"",0)</f>
        <v>Ernesto Rico Zuluaga</v>
      </c>
      <c r="B1774" t="s">
        <v>116</v>
      </c>
      <c r="C1774" t="s">
        <v>202</v>
      </c>
      <c r="D1774" t="s">
        <v>219</v>
      </c>
      <c r="E1774" t="s">
        <v>91</v>
      </c>
      <c r="F1774" s="1">
        <v>2641</v>
      </c>
    </row>
    <row r="1775" spans="1:6" x14ac:dyDescent="0.3">
      <c r="A1775" t="str">
        <f>_xlfn.XLOOKUP(ColombiaClientes[[#This Row],[Client]],VpsClientes[Client],VpsClientes[VP],"",0)</f>
        <v>Moises Saavedra Garcia</v>
      </c>
      <c r="B1775" t="s">
        <v>120</v>
      </c>
      <c r="C1775" t="s">
        <v>202</v>
      </c>
      <c r="D1775" t="s">
        <v>219</v>
      </c>
      <c r="E1775" t="s">
        <v>91</v>
      </c>
      <c r="F1775" s="1">
        <v>2444</v>
      </c>
    </row>
    <row r="1776" spans="1:6" x14ac:dyDescent="0.3">
      <c r="A1776" t="str">
        <f>_xlfn.XLOOKUP(ColombiaClientes[[#This Row],[Client]],VpsClientes[Client],VpsClientes[VP],"",0)</f>
        <v>Maria Forero Jara</v>
      </c>
      <c r="B1776" t="s">
        <v>108</v>
      </c>
      <c r="C1776" t="s">
        <v>202</v>
      </c>
      <c r="D1776" t="s">
        <v>219</v>
      </c>
      <c r="E1776" t="s">
        <v>91</v>
      </c>
      <c r="F1776" s="1">
        <v>2431</v>
      </c>
    </row>
    <row r="1777" spans="1:6" x14ac:dyDescent="0.3">
      <c r="A1777" t="str">
        <f>_xlfn.XLOOKUP(ColombiaClientes[[#This Row],[Client]],VpsClientes[Client],VpsClientes[VP],"",0)</f>
        <v>Sandra Romero Zuluaga</v>
      </c>
      <c r="B1777" t="s">
        <v>113</v>
      </c>
      <c r="C1777" t="s">
        <v>202</v>
      </c>
      <c r="D1777" t="s">
        <v>219</v>
      </c>
      <c r="E1777" t="s">
        <v>91</v>
      </c>
      <c r="F1777" s="1">
        <v>2348</v>
      </c>
    </row>
    <row r="1778" spans="1:6" x14ac:dyDescent="0.3">
      <c r="A1778" t="str">
        <f>_xlfn.XLOOKUP(ColombiaClientes[[#This Row],[Client]],VpsClientes[Client],VpsClientes[VP],"",0)</f>
        <v>Hector Muraira Garza</v>
      </c>
      <c r="B1778" t="s">
        <v>137</v>
      </c>
      <c r="C1778" t="s">
        <v>202</v>
      </c>
      <c r="D1778" t="s">
        <v>219</v>
      </c>
      <c r="E1778" t="s">
        <v>91</v>
      </c>
      <c r="F1778" s="1">
        <v>2330</v>
      </c>
    </row>
    <row r="1779" spans="1:6" x14ac:dyDescent="0.3">
      <c r="A1779" t="str">
        <f>_xlfn.XLOOKUP(ColombiaClientes[[#This Row],[Client]],VpsClientes[Client],VpsClientes[VP],"",0)</f>
        <v>Martha Guzman Arango</v>
      </c>
      <c r="B1779" t="s">
        <v>109</v>
      </c>
      <c r="C1779" t="s">
        <v>202</v>
      </c>
      <c r="D1779" t="s">
        <v>219</v>
      </c>
      <c r="E1779" t="s">
        <v>91</v>
      </c>
      <c r="F1779" s="1">
        <v>2281</v>
      </c>
    </row>
    <row r="1780" spans="1:6" x14ac:dyDescent="0.3">
      <c r="A1780" t="str">
        <f>_xlfn.XLOOKUP(ColombiaClientes[[#This Row],[Client]],VpsClientes[Client],VpsClientes[VP],"",0)</f>
        <v>Martha Guzman Arango</v>
      </c>
      <c r="B1780" t="s">
        <v>122</v>
      </c>
      <c r="C1780" t="s">
        <v>202</v>
      </c>
      <c r="D1780" t="s">
        <v>219</v>
      </c>
      <c r="E1780" t="s">
        <v>91</v>
      </c>
      <c r="F1780" s="1">
        <v>2213</v>
      </c>
    </row>
    <row r="1781" spans="1:6" x14ac:dyDescent="0.3">
      <c r="A1781" t="str">
        <f>_xlfn.XLOOKUP(ColombiaClientes[[#This Row],[Client]],VpsClientes[Client],VpsClientes[VP],"",0)</f>
        <v>Juan Granados Castillo</v>
      </c>
      <c r="B1781" t="s">
        <v>136</v>
      </c>
      <c r="C1781" t="s">
        <v>202</v>
      </c>
      <c r="D1781" t="s">
        <v>219</v>
      </c>
      <c r="E1781" t="s">
        <v>91</v>
      </c>
      <c r="F1781" s="1">
        <v>2057</v>
      </c>
    </row>
    <row r="1782" spans="1:6" x14ac:dyDescent="0.3">
      <c r="A1782" t="str">
        <f>_xlfn.XLOOKUP(ColombiaClientes[[#This Row],[Client]],VpsClientes[Client],VpsClientes[VP],"",0)</f>
        <v>Carlos Beltran Hernandez</v>
      </c>
      <c r="B1782" t="s">
        <v>119</v>
      </c>
      <c r="C1782" t="s">
        <v>202</v>
      </c>
      <c r="D1782" t="s">
        <v>219</v>
      </c>
      <c r="E1782" t="s">
        <v>91</v>
      </c>
      <c r="F1782" s="1">
        <v>1948</v>
      </c>
    </row>
    <row r="1783" spans="1:6" x14ac:dyDescent="0.3">
      <c r="A1783" t="str">
        <f>_xlfn.XLOOKUP(ColombiaClientes[[#This Row],[Client]],VpsClientes[Client],VpsClientes[VP],"",0)</f>
        <v>Maria Forero Jara</v>
      </c>
      <c r="B1783" t="s">
        <v>106</v>
      </c>
      <c r="C1783" t="s">
        <v>202</v>
      </c>
      <c r="D1783" t="s">
        <v>219</v>
      </c>
      <c r="E1783" t="s">
        <v>91</v>
      </c>
      <c r="F1783" s="1">
        <v>1938</v>
      </c>
    </row>
    <row r="1784" spans="1:6" x14ac:dyDescent="0.3">
      <c r="A1784" t="str">
        <f>_xlfn.XLOOKUP(ColombiaClientes[[#This Row],[Client]],VpsClientes[Client],VpsClientes[VP],"",0)</f>
        <v>Martha Guzman Arango</v>
      </c>
      <c r="B1784" t="s">
        <v>97</v>
      </c>
      <c r="C1784" t="s">
        <v>202</v>
      </c>
      <c r="D1784" t="s">
        <v>219</v>
      </c>
      <c r="E1784" t="s">
        <v>91</v>
      </c>
      <c r="F1784" s="1">
        <v>1786</v>
      </c>
    </row>
    <row r="1785" spans="1:6" x14ac:dyDescent="0.3">
      <c r="A1785" t="str">
        <f>_xlfn.XLOOKUP(ColombiaClientes[[#This Row],[Client]],VpsClientes[Client],VpsClientes[VP],"",0)</f>
        <v>Maria Forero Jara</v>
      </c>
      <c r="B1785" t="s">
        <v>139</v>
      </c>
      <c r="C1785" t="s">
        <v>202</v>
      </c>
      <c r="D1785" t="s">
        <v>219</v>
      </c>
      <c r="E1785" t="s">
        <v>91</v>
      </c>
      <c r="F1785" s="1">
        <v>1431</v>
      </c>
    </row>
    <row r="1786" spans="1:6" x14ac:dyDescent="0.3">
      <c r="A1786" t="str">
        <f>_xlfn.XLOOKUP(ColombiaClientes[[#This Row],[Client]],VpsClientes[Client],VpsClientes[VP],"",0)</f>
        <v>Jhonatan Izquierdo Rico</v>
      </c>
      <c r="B1786" t="s">
        <v>126</v>
      </c>
      <c r="C1786" t="s">
        <v>202</v>
      </c>
      <c r="D1786" t="s">
        <v>219</v>
      </c>
      <c r="E1786" t="s">
        <v>91</v>
      </c>
      <c r="F1786" s="1">
        <v>1356</v>
      </c>
    </row>
    <row r="1787" spans="1:6" x14ac:dyDescent="0.3">
      <c r="A1787" t="str">
        <f>_xlfn.XLOOKUP(ColombiaClientes[[#This Row],[Client]],VpsClientes[Client],VpsClientes[VP],"",0)</f>
        <v>Moises Saavedra Garcia</v>
      </c>
      <c r="B1787" t="s">
        <v>110</v>
      </c>
      <c r="C1787" t="s">
        <v>202</v>
      </c>
      <c r="D1787" t="s">
        <v>219</v>
      </c>
      <c r="E1787" t="s">
        <v>91</v>
      </c>
      <c r="F1787" s="1">
        <v>1267</v>
      </c>
    </row>
    <row r="1788" spans="1:6" x14ac:dyDescent="0.3">
      <c r="A1788" t="str">
        <f>_xlfn.XLOOKUP(ColombiaClientes[[#This Row],[Client]],VpsClientes[Client],VpsClientes[VP],"",0)</f>
        <v>Martha Guzman Arango</v>
      </c>
      <c r="B1788" t="s">
        <v>114</v>
      </c>
      <c r="C1788" t="s">
        <v>202</v>
      </c>
      <c r="D1788" t="s">
        <v>219</v>
      </c>
      <c r="E1788" t="s">
        <v>91</v>
      </c>
      <c r="F1788" s="1">
        <v>1262</v>
      </c>
    </row>
    <row r="1789" spans="1:6" x14ac:dyDescent="0.3">
      <c r="A1789" t="str">
        <f>_xlfn.XLOOKUP(ColombiaClientes[[#This Row],[Client]],VpsClientes[Client],VpsClientes[VP],"",0)</f>
        <v>Hector Muraira Garza</v>
      </c>
      <c r="B1789" t="s">
        <v>130</v>
      </c>
      <c r="C1789" t="s">
        <v>202</v>
      </c>
      <c r="D1789" t="s">
        <v>219</v>
      </c>
      <c r="E1789" t="s">
        <v>91</v>
      </c>
      <c r="F1789" s="1">
        <v>1260</v>
      </c>
    </row>
    <row r="1790" spans="1:6" x14ac:dyDescent="0.3">
      <c r="A1790" t="str">
        <f>_xlfn.XLOOKUP(ColombiaClientes[[#This Row],[Client]],VpsClientes[Client],VpsClientes[VP],"",0)</f>
        <v>Moises Saavedra Garcia</v>
      </c>
      <c r="B1790" t="s">
        <v>115</v>
      </c>
      <c r="C1790" t="s">
        <v>202</v>
      </c>
      <c r="D1790" t="s">
        <v>219</v>
      </c>
      <c r="E1790" t="s">
        <v>91</v>
      </c>
      <c r="F1790" s="1">
        <v>1165</v>
      </c>
    </row>
    <row r="1791" spans="1:6" x14ac:dyDescent="0.3">
      <c r="A1791" t="str">
        <f>_xlfn.XLOOKUP(ColombiaClientes[[#This Row],[Client]],VpsClientes[Client],VpsClientes[VP],"",0)</f>
        <v>Juan Granados Castillo</v>
      </c>
      <c r="B1791" t="s">
        <v>134</v>
      </c>
      <c r="C1791" t="s">
        <v>202</v>
      </c>
      <c r="D1791" t="s">
        <v>219</v>
      </c>
      <c r="E1791" t="s">
        <v>91</v>
      </c>
      <c r="F1791" s="1">
        <v>1156</v>
      </c>
    </row>
    <row r="1792" spans="1:6" x14ac:dyDescent="0.3">
      <c r="A1792" t="str">
        <f>_xlfn.XLOOKUP(ColombiaClientes[[#This Row],[Client]],VpsClientes[Client],VpsClientes[VP],"",0)</f>
        <v>Jhonatan Izquierdo Rico</v>
      </c>
      <c r="B1792" t="s">
        <v>117</v>
      </c>
      <c r="C1792" t="s">
        <v>202</v>
      </c>
      <c r="D1792" t="s">
        <v>219</v>
      </c>
      <c r="E1792" t="s">
        <v>91</v>
      </c>
      <c r="F1792" s="1">
        <v>969</v>
      </c>
    </row>
    <row r="1793" spans="1:6" x14ac:dyDescent="0.3">
      <c r="A1793" t="str">
        <f>_xlfn.XLOOKUP(ColombiaClientes[[#This Row],[Client]],VpsClientes[Client],VpsClientes[VP],"",0)</f>
        <v>Jhonatan Izquierdo Rico</v>
      </c>
      <c r="B1793" t="s">
        <v>138</v>
      </c>
      <c r="C1793" t="s">
        <v>202</v>
      </c>
      <c r="D1793" t="s">
        <v>219</v>
      </c>
      <c r="E1793" t="s">
        <v>91</v>
      </c>
      <c r="F1793" s="1">
        <v>895</v>
      </c>
    </row>
    <row r="1794" spans="1:6" x14ac:dyDescent="0.3">
      <c r="A1794" t="str">
        <f>_xlfn.XLOOKUP(ColombiaClientes[[#This Row],[Client]],VpsClientes[Client],VpsClientes[VP],"",0)</f>
        <v>Martha Guzman Arango</v>
      </c>
      <c r="B1794" t="s">
        <v>152</v>
      </c>
      <c r="C1794" t="s">
        <v>202</v>
      </c>
      <c r="D1794" t="s">
        <v>219</v>
      </c>
      <c r="E1794" t="s">
        <v>91</v>
      </c>
      <c r="F1794" s="1">
        <v>879</v>
      </c>
    </row>
    <row r="1795" spans="1:6" x14ac:dyDescent="0.3">
      <c r="A1795" t="str">
        <f>_xlfn.XLOOKUP(ColombiaClientes[[#This Row],[Client]],VpsClientes[Client],VpsClientes[VP],"",0)</f>
        <v>Martha Guzman Arango</v>
      </c>
      <c r="B1795" t="s">
        <v>118</v>
      </c>
      <c r="C1795" t="s">
        <v>202</v>
      </c>
      <c r="D1795" t="s">
        <v>219</v>
      </c>
      <c r="E1795" t="s">
        <v>91</v>
      </c>
      <c r="F1795" s="1">
        <v>838</v>
      </c>
    </row>
    <row r="1796" spans="1:6" x14ac:dyDescent="0.3">
      <c r="A1796" t="str">
        <f>_xlfn.XLOOKUP(ColombiaClientes[[#This Row],[Client]],VpsClientes[Client],VpsClientes[VP],"",0)</f>
        <v>Moises Saavedra Garcia</v>
      </c>
      <c r="B1796" t="s">
        <v>150</v>
      </c>
      <c r="C1796" t="s">
        <v>202</v>
      </c>
      <c r="D1796" t="s">
        <v>219</v>
      </c>
      <c r="E1796" t="s">
        <v>91</v>
      </c>
      <c r="F1796" s="1">
        <v>807</v>
      </c>
    </row>
    <row r="1797" spans="1:6" x14ac:dyDescent="0.3">
      <c r="A1797" t="str">
        <f>_xlfn.XLOOKUP(ColombiaClientes[[#This Row],[Client]],VpsClientes[Client],VpsClientes[VP],"",0)</f>
        <v>Martha Guzman Arango</v>
      </c>
      <c r="B1797" t="s">
        <v>135</v>
      </c>
      <c r="C1797" t="s">
        <v>202</v>
      </c>
      <c r="D1797" t="s">
        <v>219</v>
      </c>
      <c r="E1797" t="s">
        <v>91</v>
      </c>
      <c r="F1797" s="1">
        <v>732</v>
      </c>
    </row>
    <row r="1798" spans="1:6" x14ac:dyDescent="0.3">
      <c r="A1798" t="str">
        <f>_xlfn.XLOOKUP(ColombiaClientes[[#This Row],[Client]],VpsClientes[Client],VpsClientes[VP],"",0)</f>
        <v>Hector Muraira Garza</v>
      </c>
      <c r="B1798" t="s">
        <v>140</v>
      </c>
      <c r="C1798" t="s">
        <v>202</v>
      </c>
      <c r="D1798" t="s">
        <v>219</v>
      </c>
      <c r="E1798" t="s">
        <v>91</v>
      </c>
      <c r="F1798" s="1">
        <v>693</v>
      </c>
    </row>
    <row r="1799" spans="1:6" x14ac:dyDescent="0.3">
      <c r="A1799" t="str">
        <f>_xlfn.XLOOKUP(ColombiaClientes[[#This Row],[Client]],VpsClientes[Client],VpsClientes[VP],"",0)</f>
        <v>Hector Muraira Garza</v>
      </c>
      <c r="B1799" t="s">
        <v>154</v>
      </c>
      <c r="C1799" t="s">
        <v>202</v>
      </c>
      <c r="D1799" t="s">
        <v>219</v>
      </c>
      <c r="E1799" t="s">
        <v>91</v>
      </c>
      <c r="F1799" s="1">
        <v>632</v>
      </c>
    </row>
    <row r="1800" spans="1:6" x14ac:dyDescent="0.3">
      <c r="A1800" t="str">
        <f>_xlfn.XLOOKUP(ColombiaClientes[[#This Row],[Client]],VpsClientes[Client],VpsClientes[VP],"",0)</f>
        <v>Martha Guzman Arango</v>
      </c>
      <c r="B1800" t="s">
        <v>156</v>
      </c>
      <c r="C1800" t="s">
        <v>202</v>
      </c>
      <c r="D1800" t="s">
        <v>219</v>
      </c>
      <c r="E1800" t="s">
        <v>91</v>
      </c>
      <c r="F1800" s="1">
        <v>522</v>
      </c>
    </row>
    <row r="1801" spans="1:6" x14ac:dyDescent="0.3">
      <c r="A1801" t="str">
        <f>_xlfn.XLOOKUP(ColombiaClientes[[#This Row],[Client]],VpsClientes[Client],VpsClientes[VP],"",0)</f>
        <v>Maria Forero Jara</v>
      </c>
      <c r="B1801" t="s">
        <v>163</v>
      </c>
      <c r="C1801" t="s">
        <v>202</v>
      </c>
      <c r="D1801" t="s">
        <v>219</v>
      </c>
      <c r="E1801" t="s">
        <v>91</v>
      </c>
      <c r="F1801" s="1">
        <v>520</v>
      </c>
    </row>
    <row r="1802" spans="1:6" x14ac:dyDescent="0.3">
      <c r="A1802" t="str">
        <f>_xlfn.XLOOKUP(ColombiaClientes[[#This Row],[Client]],VpsClientes[Client],VpsClientes[VP],"",0)</f>
        <v>Martha Guzman Arango</v>
      </c>
      <c r="B1802" t="s">
        <v>153</v>
      </c>
      <c r="C1802" t="s">
        <v>202</v>
      </c>
      <c r="D1802" t="s">
        <v>219</v>
      </c>
      <c r="E1802" t="s">
        <v>91</v>
      </c>
      <c r="F1802" s="1">
        <v>488</v>
      </c>
    </row>
    <row r="1803" spans="1:6" x14ac:dyDescent="0.3">
      <c r="A1803" t="str">
        <f>_xlfn.XLOOKUP(ColombiaClientes[[#This Row],[Client]],VpsClientes[Client],VpsClientes[VP],"",0)</f>
        <v>Martha Guzman Arango</v>
      </c>
      <c r="B1803" t="s">
        <v>166</v>
      </c>
      <c r="C1803" t="s">
        <v>202</v>
      </c>
      <c r="D1803" t="s">
        <v>219</v>
      </c>
      <c r="E1803" t="s">
        <v>91</v>
      </c>
      <c r="F1803" s="1">
        <v>425</v>
      </c>
    </row>
    <row r="1804" spans="1:6" x14ac:dyDescent="0.3">
      <c r="A1804" t="str">
        <f>_xlfn.XLOOKUP(ColombiaClientes[[#This Row],[Client]],VpsClientes[Client],VpsClientes[VP],"",0)</f>
        <v>Martha Guzman Arango</v>
      </c>
      <c r="B1804" t="s">
        <v>199</v>
      </c>
      <c r="C1804" t="s">
        <v>202</v>
      </c>
      <c r="D1804" t="s">
        <v>219</v>
      </c>
      <c r="E1804" t="s">
        <v>91</v>
      </c>
      <c r="F1804" s="1">
        <v>424</v>
      </c>
    </row>
    <row r="1805" spans="1:6" x14ac:dyDescent="0.3">
      <c r="A1805" t="str">
        <f>_xlfn.XLOOKUP(ColombiaClientes[[#This Row],[Client]],VpsClientes[Client],VpsClientes[VP],"",0)</f>
        <v>Martha Guzman Arango</v>
      </c>
      <c r="B1805" t="s">
        <v>146</v>
      </c>
      <c r="C1805" t="s">
        <v>202</v>
      </c>
      <c r="D1805" t="s">
        <v>219</v>
      </c>
      <c r="E1805" t="s">
        <v>91</v>
      </c>
      <c r="F1805" s="1">
        <v>403</v>
      </c>
    </row>
    <row r="1806" spans="1:6" x14ac:dyDescent="0.3">
      <c r="A1806" t="str">
        <f>_xlfn.XLOOKUP(ColombiaClientes[[#This Row],[Client]],VpsClientes[Client],VpsClientes[VP],"",0)</f>
        <v>Maria Forero Jara</v>
      </c>
      <c r="B1806" t="s">
        <v>111</v>
      </c>
      <c r="C1806" t="s">
        <v>202</v>
      </c>
      <c r="D1806" t="s">
        <v>219</v>
      </c>
      <c r="E1806" t="s">
        <v>91</v>
      </c>
      <c r="F1806" s="1">
        <v>383</v>
      </c>
    </row>
    <row r="1807" spans="1:6" x14ac:dyDescent="0.3">
      <c r="A1807" t="str">
        <f>_xlfn.XLOOKUP(ColombiaClientes[[#This Row],[Client]],VpsClientes[Client],VpsClientes[VP],"",0)</f>
        <v>Martha Guzman Arango</v>
      </c>
      <c r="B1807" t="s">
        <v>124</v>
      </c>
      <c r="C1807" t="s">
        <v>202</v>
      </c>
      <c r="D1807" t="s">
        <v>219</v>
      </c>
      <c r="E1807" t="s">
        <v>91</v>
      </c>
      <c r="F1807" s="1">
        <v>353</v>
      </c>
    </row>
    <row r="1808" spans="1:6" x14ac:dyDescent="0.3">
      <c r="A1808" t="str">
        <f>_xlfn.XLOOKUP(ColombiaClientes[[#This Row],[Client]],VpsClientes[Client],VpsClientes[VP],"",0)</f>
        <v>Martha Guzman Arango</v>
      </c>
      <c r="B1808" t="s">
        <v>168</v>
      </c>
      <c r="C1808" t="s">
        <v>202</v>
      </c>
      <c r="D1808" t="s">
        <v>219</v>
      </c>
      <c r="E1808" t="s">
        <v>91</v>
      </c>
      <c r="F1808" s="1">
        <v>332</v>
      </c>
    </row>
    <row r="1809" spans="1:6" x14ac:dyDescent="0.3">
      <c r="A1809" t="str">
        <f>_xlfn.XLOOKUP(ColombiaClientes[[#This Row],[Client]],VpsClientes[Client],VpsClientes[VP],"",0)</f>
        <v>Carlos Beltran Hernandez</v>
      </c>
      <c r="B1809" t="s">
        <v>151</v>
      </c>
      <c r="C1809" t="s">
        <v>202</v>
      </c>
      <c r="D1809" t="s">
        <v>219</v>
      </c>
      <c r="E1809" t="s">
        <v>91</v>
      </c>
      <c r="F1809" s="1">
        <v>309</v>
      </c>
    </row>
    <row r="1810" spans="1:6" x14ac:dyDescent="0.3">
      <c r="A1810" t="str">
        <f>_xlfn.XLOOKUP(ColombiaClientes[[#This Row],[Client]],VpsClientes[Client],VpsClientes[VP],"",0)</f>
        <v>Hector Muraira Garza</v>
      </c>
      <c r="B1810" t="s">
        <v>132</v>
      </c>
      <c r="C1810" t="s">
        <v>202</v>
      </c>
      <c r="D1810" t="s">
        <v>219</v>
      </c>
      <c r="E1810" t="s">
        <v>91</v>
      </c>
      <c r="F1810" s="1">
        <v>297</v>
      </c>
    </row>
    <row r="1811" spans="1:6" x14ac:dyDescent="0.3">
      <c r="A1811" t="str">
        <f>_xlfn.XLOOKUP(ColombiaClientes[[#This Row],[Client]],VpsClientes[Client],VpsClientes[VP],"",0)</f>
        <v>Maria Forero Jara</v>
      </c>
      <c r="B1811" t="s">
        <v>198</v>
      </c>
      <c r="C1811" t="s">
        <v>202</v>
      </c>
      <c r="D1811" t="s">
        <v>219</v>
      </c>
      <c r="E1811" t="s">
        <v>91</v>
      </c>
      <c r="F1811" s="1">
        <v>293</v>
      </c>
    </row>
    <row r="1812" spans="1:6" x14ac:dyDescent="0.3">
      <c r="A1812" t="str">
        <f>_xlfn.XLOOKUP(ColombiaClientes[[#This Row],[Client]],VpsClientes[Client],VpsClientes[VP],"",0)</f>
        <v>Jhonatan Izquierdo Rico</v>
      </c>
      <c r="B1812" t="s">
        <v>157</v>
      </c>
      <c r="C1812" t="s">
        <v>202</v>
      </c>
      <c r="D1812" t="s">
        <v>219</v>
      </c>
      <c r="E1812" t="s">
        <v>91</v>
      </c>
      <c r="F1812" s="1">
        <v>277</v>
      </c>
    </row>
    <row r="1813" spans="1:6" x14ac:dyDescent="0.3">
      <c r="A1813" t="str">
        <f>_xlfn.XLOOKUP(ColombiaClientes[[#This Row],[Client]],VpsClientes[Client],VpsClientes[VP],"",0)</f>
        <v>Martha Guzman Arango</v>
      </c>
      <c r="B1813" t="s">
        <v>145</v>
      </c>
      <c r="C1813" t="s">
        <v>202</v>
      </c>
      <c r="D1813" t="s">
        <v>219</v>
      </c>
      <c r="E1813" t="s">
        <v>91</v>
      </c>
      <c r="F1813" s="1">
        <v>246</v>
      </c>
    </row>
    <row r="1814" spans="1:6" x14ac:dyDescent="0.3">
      <c r="A1814" t="str">
        <f>_xlfn.XLOOKUP(ColombiaClientes[[#This Row],[Client]],VpsClientes[Client],VpsClientes[VP],"",0)</f>
        <v>Martha Guzman Arango</v>
      </c>
      <c r="B1814" t="s">
        <v>162</v>
      </c>
      <c r="C1814" t="s">
        <v>202</v>
      </c>
      <c r="D1814" t="s">
        <v>219</v>
      </c>
      <c r="E1814" t="s">
        <v>91</v>
      </c>
      <c r="F1814" s="1">
        <v>221</v>
      </c>
    </row>
    <row r="1815" spans="1:6" x14ac:dyDescent="0.3">
      <c r="A1815" t="str">
        <f>_xlfn.XLOOKUP(ColombiaClientes[[#This Row],[Client]],VpsClientes[Client],VpsClientes[VP],"",0)</f>
        <v>Carlos Beltran Hernandez</v>
      </c>
      <c r="B1815" t="s">
        <v>173</v>
      </c>
      <c r="C1815" t="s">
        <v>202</v>
      </c>
      <c r="D1815" t="s">
        <v>219</v>
      </c>
      <c r="E1815" t="s">
        <v>91</v>
      </c>
      <c r="F1815" s="1">
        <v>213</v>
      </c>
    </row>
    <row r="1816" spans="1:6" x14ac:dyDescent="0.3">
      <c r="A1816" t="str">
        <f>_xlfn.XLOOKUP(ColombiaClientes[[#This Row],[Client]],VpsClientes[Client],VpsClientes[VP],"",0)</f>
        <v>Martha Guzman Arango</v>
      </c>
      <c r="B1816" t="s">
        <v>143</v>
      </c>
      <c r="C1816" t="s">
        <v>202</v>
      </c>
      <c r="D1816" t="s">
        <v>219</v>
      </c>
      <c r="E1816" t="s">
        <v>91</v>
      </c>
      <c r="F1816" s="1">
        <v>196</v>
      </c>
    </row>
    <row r="1817" spans="1:6" x14ac:dyDescent="0.3">
      <c r="A1817" t="str">
        <f>_xlfn.XLOOKUP(ColombiaClientes[[#This Row],[Client]],VpsClientes[Client],VpsClientes[VP],"",0)</f>
        <v>Jhonatan Izquierdo Rico</v>
      </c>
      <c r="B1817" t="s">
        <v>196</v>
      </c>
      <c r="C1817" t="s">
        <v>202</v>
      </c>
      <c r="D1817" t="s">
        <v>219</v>
      </c>
      <c r="E1817" t="s">
        <v>91</v>
      </c>
      <c r="F1817" s="1">
        <v>188</v>
      </c>
    </row>
    <row r="1818" spans="1:6" x14ac:dyDescent="0.3">
      <c r="A1818" t="str">
        <f>_xlfn.XLOOKUP(ColombiaClientes[[#This Row],[Client]],VpsClientes[Client],VpsClientes[VP],"",0)</f>
        <v>Moises Saavedra Garcia</v>
      </c>
      <c r="B1818" t="s">
        <v>172</v>
      </c>
      <c r="C1818" t="s">
        <v>202</v>
      </c>
      <c r="D1818" t="s">
        <v>219</v>
      </c>
      <c r="E1818" t="s">
        <v>91</v>
      </c>
      <c r="F1818" s="1">
        <v>172</v>
      </c>
    </row>
    <row r="1819" spans="1:6" x14ac:dyDescent="0.3">
      <c r="A1819" t="str">
        <f>_xlfn.XLOOKUP(ColombiaClientes[[#This Row],[Client]],VpsClientes[Client],VpsClientes[VP],"",0)</f>
        <v>Hector Muraira Garza</v>
      </c>
      <c r="B1819" t="s">
        <v>178</v>
      </c>
      <c r="C1819" t="s">
        <v>202</v>
      </c>
      <c r="D1819" t="s">
        <v>90</v>
      </c>
      <c r="E1819" t="s">
        <v>91</v>
      </c>
      <c r="F1819" s="1">
        <v>452</v>
      </c>
    </row>
    <row r="1820" spans="1:6" x14ac:dyDescent="0.3">
      <c r="A1820" t="str">
        <f>_xlfn.XLOOKUP(ColombiaClientes[[#This Row],[Client]],VpsClientes[Client],VpsClientes[VP],"",0)</f>
        <v>Martha Guzman Arango</v>
      </c>
      <c r="B1820" t="s">
        <v>185</v>
      </c>
      <c r="C1820" t="s">
        <v>202</v>
      </c>
      <c r="D1820" t="s">
        <v>219</v>
      </c>
      <c r="E1820" t="s">
        <v>91</v>
      </c>
      <c r="F1820" s="1">
        <v>170</v>
      </c>
    </row>
    <row r="1821" spans="1:6" x14ac:dyDescent="0.3">
      <c r="A1821" t="str">
        <f>_xlfn.XLOOKUP(ColombiaClientes[[#This Row],[Client]],VpsClientes[Client],VpsClientes[VP],"",0)</f>
        <v>Juan Granados Castillo</v>
      </c>
      <c r="B1821" t="s">
        <v>142</v>
      </c>
      <c r="C1821" t="s">
        <v>202</v>
      </c>
      <c r="D1821" t="s">
        <v>219</v>
      </c>
      <c r="E1821" t="s">
        <v>91</v>
      </c>
      <c r="F1821" s="1">
        <v>151</v>
      </c>
    </row>
    <row r="1822" spans="1:6" x14ac:dyDescent="0.3">
      <c r="A1822" t="str">
        <f>_xlfn.XLOOKUP(ColombiaClientes[[#This Row],[Client]],VpsClientes[Client],VpsClientes[VP],"",0)</f>
        <v>Jhonatan Izquierdo Rico</v>
      </c>
      <c r="B1822" t="s">
        <v>197</v>
      </c>
      <c r="C1822" t="s">
        <v>202</v>
      </c>
      <c r="D1822" t="s">
        <v>219</v>
      </c>
      <c r="E1822" t="s">
        <v>91</v>
      </c>
      <c r="F1822" s="1">
        <v>150</v>
      </c>
    </row>
    <row r="1823" spans="1:6" x14ac:dyDescent="0.3">
      <c r="A1823" t="str">
        <f>_xlfn.XLOOKUP(ColombiaClientes[[#This Row],[Client]],VpsClientes[Client],VpsClientes[VP],"",0)</f>
        <v>Martha Guzman Arango</v>
      </c>
      <c r="B1823" t="s">
        <v>170</v>
      </c>
      <c r="C1823" t="s">
        <v>202</v>
      </c>
      <c r="D1823" t="s">
        <v>219</v>
      </c>
      <c r="E1823" t="s">
        <v>91</v>
      </c>
      <c r="F1823" s="1">
        <v>136</v>
      </c>
    </row>
    <row r="1824" spans="1:6" x14ac:dyDescent="0.3">
      <c r="A1824" t="str">
        <f>_xlfn.XLOOKUP(ColombiaClientes[[#This Row],[Client]],VpsClientes[Client],VpsClientes[VP],"",0)</f>
        <v>Jhonatan Izquierdo Rico</v>
      </c>
      <c r="B1824" t="s">
        <v>129</v>
      </c>
      <c r="C1824" t="s">
        <v>202</v>
      </c>
      <c r="D1824" t="s">
        <v>219</v>
      </c>
      <c r="E1824" t="s">
        <v>91</v>
      </c>
      <c r="F1824" s="1">
        <v>128</v>
      </c>
    </row>
    <row r="1825" spans="1:6" x14ac:dyDescent="0.3">
      <c r="A1825" t="str">
        <f>_xlfn.XLOOKUP(ColombiaClientes[[#This Row],[Client]],VpsClientes[Client],VpsClientes[VP],"",0)</f>
        <v>Martha Guzman Arango</v>
      </c>
      <c r="B1825" t="s">
        <v>171</v>
      </c>
      <c r="C1825" t="s">
        <v>202</v>
      </c>
      <c r="D1825" t="s">
        <v>219</v>
      </c>
      <c r="E1825" t="s">
        <v>91</v>
      </c>
      <c r="F1825" s="1">
        <v>127</v>
      </c>
    </row>
    <row r="1826" spans="1:6" x14ac:dyDescent="0.3">
      <c r="A1826" t="str">
        <f>_xlfn.XLOOKUP(ColombiaClientes[[#This Row],[Client]],VpsClientes[Client],VpsClientes[VP],"",0)</f>
        <v>Martha Guzman Arango</v>
      </c>
      <c r="B1826" t="s">
        <v>174</v>
      </c>
      <c r="C1826" t="s">
        <v>202</v>
      </c>
      <c r="D1826" t="s">
        <v>219</v>
      </c>
      <c r="E1826" t="s">
        <v>91</v>
      </c>
      <c r="F1826" s="1">
        <v>123</v>
      </c>
    </row>
    <row r="1827" spans="1:6" x14ac:dyDescent="0.3">
      <c r="A1827" t="str">
        <f>_xlfn.XLOOKUP(ColombiaClientes[[#This Row],[Client]],VpsClientes[Client],VpsClientes[VP],"",0)</f>
        <v>Maria Forero Jara</v>
      </c>
      <c r="B1827" t="s">
        <v>179</v>
      </c>
      <c r="C1827" t="s">
        <v>202</v>
      </c>
      <c r="D1827" t="s">
        <v>219</v>
      </c>
      <c r="E1827" t="s">
        <v>91</v>
      </c>
      <c r="F1827" s="1">
        <v>121</v>
      </c>
    </row>
    <row r="1828" spans="1:6" x14ac:dyDescent="0.3">
      <c r="A1828" t="str">
        <f>_xlfn.XLOOKUP(ColombiaClientes[[#This Row],[Client]],VpsClientes[Client],VpsClientes[VP],"",0)</f>
        <v>Carlos Beltran Hernandez</v>
      </c>
      <c r="B1828" t="s">
        <v>158</v>
      </c>
      <c r="C1828" t="s">
        <v>202</v>
      </c>
      <c r="D1828" t="s">
        <v>219</v>
      </c>
      <c r="E1828" t="s">
        <v>91</v>
      </c>
      <c r="F1828" s="1">
        <v>119</v>
      </c>
    </row>
    <row r="1829" spans="1:6" x14ac:dyDescent="0.3">
      <c r="A1829" t="str">
        <f>_xlfn.XLOOKUP(ColombiaClientes[[#This Row],[Client]],VpsClientes[Client],VpsClientes[VP],"",0)</f>
        <v>Hector Muraira Garza</v>
      </c>
      <c r="B1829" t="s">
        <v>178</v>
      </c>
      <c r="C1829" t="s">
        <v>203</v>
      </c>
      <c r="D1829" t="s">
        <v>90</v>
      </c>
      <c r="E1829" t="s">
        <v>91</v>
      </c>
      <c r="F1829" s="1">
        <v>1641</v>
      </c>
    </row>
    <row r="1830" spans="1:6" x14ac:dyDescent="0.3">
      <c r="A1830" t="str">
        <f>_xlfn.XLOOKUP(ColombiaClientes[[#This Row],[Client]],VpsClientes[Client],VpsClientes[VP],"",0)</f>
        <v>Moises Saavedra Garcia</v>
      </c>
      <c r="B1830" t="s">
        <v>187</v>
      </c>
      <c r="C1830" t="s">
        <v>202</v>
      </c>
      <c r="D1830" t="s">
        <v>219</v>
      </c>
      <c r="E1830" t="s">
        <v>91</v>
      </c>
      <c r="F1830" s="1">
        <v>103</v>
      </c>
    </row>
    <row r="1831" spans="1:6" x14ac:dyDescent="0.3">
      <c r="A1831" t="str">
        <f>_xlfn.XLOOKUP(ColombiaClientes[[#This Row],[Client]],VpsClientes[Client],VpsClientes[VP],"",0)</f>
        <v>Juan Granados Castillo</v>
      </c>
      <c r="B1831" t="s">
        <v>149</v>
      </c>
      <c r="C1831" t="s">
        <v>202</v>
      </c>
      <c r="D1831" t="s">
        <v>219</v>
      </c>
      <c r="E1831" t="s">
        <v>91</v>
      </c>
      <c r="F1831" s="1">
        <v>94</v>
      </c>
    </row>
    <row r="1832" spans="1:6" x14ac:dyDescent="0.3">
      <c r="A1832" t="str">
        <f>_xlfn.XLOOKUP(ColombiaClientes[[#This Row],[Client]],VpsClientes[Client],VpsClientes[VP],"",0)</f>
        <v>Martha Guzman Arango</v>
      </c>
      <c r="B1832" t="s">
        <v>148</v>
      </c>
      <c r="C1832" t="s">
        <v>202</v>
      </c>
      <c r="D1832" t="s">
        <v>219</v>
      </c>
      <c r="E1832" t="s">
        <v>91</v>
      </c>
      <c r="F1832" s="1">
        <v>91</v>
      </c>
    </row>
    <row r="1833" spans="1:6" x14ac:dyDescent="0.3">
      <c r="A1833" t="str">
        <f>_xlfn.XLOOKUP(ColombiaClientes[[#This Row],[Client]],VpsClientes[Client],VpsClientes[VP],"",0)</f>
        <v>Maria Forero Jara</v>
      </c>
      <c r="B1833" t="s">
        <v>161</v>
      </c>
      <c r="C1833" t="s">
        <v>202</v>
      </c>
      <c r="D1833" t="s">
        <v>219</v>
      </c>
      <c r="E1833" t="s">
        <v>91</v>
      </c>
      <c r="F1833" s="1">
        <v>86</v>
      </c>
    </row>
    <row r="1834" spans="1:6" x14ac:dyDescent="0.3">
      <c r="A1834" t="str">
        <f>_xlfn.XLOOKUP(ColombiaClientes[[#This Row],[Client]],VpsClientes[Client],VpsClientes[VP],"",0)</f>
        <v>Moises Saavedra Garcia</v>
      </c>
      <c r="B1834" t="s">
        <v>175</v>
      </c>
      <c r="C1834" t="s">
        <v>202</v>
      </c>
      <c r="D1834" t="s">
        <v>219</v>
      </c>
      <c r="E1834" t="s">
        <v>91</v>
      </c>
      <c r="F1834" s="1">
        <v>85</v>
      </c>
    </row>
    <row r="1835" spans="1:6" x14ac:dyDescent="0.3">
      <c r="A1835" t="str">
        <f>_xlfn.XLOOKUP(ColombiaClientes[[#This Row],[Client]],VpsClientes[Client],VpsClientes[VP],"",0)</f>
        <v>Martha Guzman Arango</v>
      </c>
      <c r="B1835" t="s">
        <v>176</v>
      </c>
      <c r="C1835" t="s">
        <v>202</v>
      </c>
      <c r="D1835" t="s">
        <v>219</v>
      </c>
      <c r="E1835" t="s">
        <v>91</v>
      </c>
      <c r="F1835" s="1">
        <v>75</v>
      </c>
    </row>
    <row r="1836" spans="1:6" x14ac:dyDescent="0.3">
      <c r="A1836" t="str">
        <f>_xlfn.XLOOKUP(ColombiaClientes[[#This Row],[Client]],VpsClientes[Client],VpsClientes[VP],"",0)</f>
        <v>Martha Guzman Arango</v>
      </c>
      <c r="B1836" t="s">
        <v>183</v>
      </c>
      <c r="C1836" t="s">
        <v>202</v>
      </c>
      <c r="D1836" t="s">
        <v>219</v>
      </c>
      <c r="E1836" t="s">
        <v>91</v>
      </c>
      <c r="F1836" s="1">
        <v>74</v>
      </c>
    </row>
    <row r="1837" spans="1:6" x14ac:dyDescent="0.3">
      <c r="A1837" t="str">
        <f>_xlfn.XLOOKUP(ColombiaClientes[[#This Row],[Client]],VpsClientes[Client],VpsClientes[VP],"",0)</f>
        <v>Hector Muraira Garza</v>
      </c>
      <c r="B1837" t="s">
        <v>178</v>
      </c>
      <c r="C1837" t="s">
        <v>92</v>
      </c>
      <c r="D1837" t="s">
        <v>90</v>
      </c>
      <c r="E1837" t="s">
        <v>206</v>
      </c>
      <c r="F1837" s="1">
        <v>135</v>
      </c>
    </row>
    <row r="1838" spans="1:6" x14ac:dyDescent="0.3">
      <c r="A1838" t="str">
        <f>_xlfn.XLOOKUP(ColombiaClientes[[#This Row],[Client]],VpsClientes[Client],VpsClientes[VP],"",0)</f>
        <v>Maria Forero Jara</v>
      </c>
      <c r="B1838" t="s">
        <v>144</v>
      </c>
      <c r="C1838" t="s">
        <v>202</v>
      </c>
      <c r="D1838" t="s">
        <v>219</v>
      </c>
      <c r="E1838" t="s">
        <v>91</v>
      </c>
      <c r="F1838" s="1">
        <v>49</v>
      </c>
    </row>
    <row r="1839" spans="1:6" x14ac:dyDescent="0.3">
      <c r="A1839" t="str">
        <f>_xlfn.XLOOKUP(ColombiaClientes[[#This Row],[Client]],VpsClientes[Client],VpsClientes[VP],"",0)</f>
        <v>Martha Guzman Arango</v>
      </c>
      <c r="B1839" t="s">
        <v>131</v>
      </c>
      <c r="C1839" t="s">
        <v>202</v>
      </c>
      <c r="D1839" t="s">
        <v>219</v>
      </c>
      <c r="E1839" t="s">
        <v>91</v>
      </c>
      <c r="F1839" s="1">
        <v>45</v>
      </c>
    </row>
    <row r="1840" spans="1:6" x14ac:dyDescent="0.3">
      <c r="A1840" t="str">
        <f>_xlfn.XLOOKUP(ColombiaClientes[[#This Row],[Client]],VpsClientes[Client],VpsClientes[VP],"",0)</f>
        <v>Martha Guzman Arango</v>
      </c>
      <c r="B1840" t="s">
        <v>165</v>
      </c>
      <c r="C1840" t="s">
        <v>202</v>
      </c>
      <c r="D1840" t="s">
        <v>219</v>
      </c>
      <c r="E1840" t="s">
        <v>91</v>
      </c>
      <c r="F1840" s="1">
        <v>44</v>
      </c>
    </row>
    <row r="1841" spans="1:6" x14ac:dyDescent="0.3">
      <c r="A1841" t="str">
        <f>_xlfn.XLOOKUP(ColombiaClientes[[#This Row],[Client]],VpsClientes[Client],VpsClientes[VP],"",0)</f>
        <v>Maria Forero Jara</v>
      </c>
      <c r="B1841" t="s">
        <v>182</v>
      </c>
      <c r="C1841" t="s">
        <v>202</v>
      </c>
      <c r="D1841" t="s">
        <v>219</v>
      </c>
      <c r="E1841" t="s">
        <v>91</v>
      </c>
      <c r="F1841" s="1">
        <v>42</v>
      </c>
    </row>
    <row r="1842" spans="1:6" x14ac:dyDescent="0.3">
      <c r="A1842" t="str">
        <f>_xlfn.XLOOKUP(ColombiaClientes[[#This Row],[Client]],VpsClientes[Client],VpsClientes[VP],"",0)</f>
        <v>Martha Guzman Arango</v>
      </c>
      <c r="B1842" t="s">
        <v>155</v>
      </c>
      <c r="C1842" t="s">
        <v>202</v>
      </c>
      <c r="D1842" t="s">
        <v>219</v>
      </c>
      <c r="E1842" t="s">
        <v>91</v>
      </c>
      <c r="F1842" s="1">
        <v>28</v>
      </c>
    </row>
    <row r="1843" spans="1:6" x14ac:dyDescent="0.3">
      <c r="A1843" t="str">
        <f>_xlfn.XLOOKUP(ColombiaClientes[[#This Row],[Client]],VpsClientes[Client],VpsClientes[VP],"",0)</f>
        <v>Martha Guzman Arango</v>
      </c>
      <c r="B1843" t="s">
        <v>169</v>
      </c>
      <c r="C1843" t="s">
        <v>202</v>
      </c>
      <c r="D1843" t="s">
        <v>219</v>
      </c>
      <c r="E1843" t="s">
        <v>91</v>
      </c>
      <c r="F1843" s="1">
        <v>28</v>
      </c>
    </row>
    <row r="1844" spans="1:6" x14ac:dyDescent="0.3">
      <c r="A1844" t="str">
        <f>_xlfn.XLOOKUP(ColombiaClientes[[#This Row],[Client]],VpsClientes[Client],VpsClientes[VP],"",0)</f>
        <v>Hector Muraira Garza</v>
      </c>
      <c r="B1844" t="s">
        <v>164</v>
      </c>
      <c r="C1844" t="s">
        <v>202</v>
      </c>
      <c r="D1844" t="s">
        <v>219</v>
      </c>
      <c r="E1844" t="s">
        <v>91</v>
      </c>
      <c r="F1844" s="1">
        <v>22</v>
      </c>
    </row>
    <row r="1845" spans="1:6" x14ac:dyDescent="0.3">
      <c r="A1845" t="str">
        <f>_xlfn.XLOOKUP(ColombiaClientes[[#This Row],[Client]],VpsClientes[Client],VpsClientes[VP],"",0)</f>
        <v>Hector Muraira Garza</v>
      </c>
      <c r="B1845" t="s">
        <v>178</v>
      </c>
      <c r="C1845" t="s">
        <v>191</v>
      </c>
      <c r="D1845" t="s">
        <v>90</v>
      </c>
      <c r="E1845" t="s">
        <v>206</v>
      </c>
      <c r="F1845" s="1">
        <v>110</v>
      </c>
    </row>
    <row r="1846" spans="1:6" x14ac:dyDescent="0.3">
      <c r="A1846" t="str">
        <f>_xlfn.XLOOKUP(ColombiaClientes[[#This Row],[Client]],VpsClientes[Client],VpsClientes[VP],"",0)</f>
        <v>Hector Muraira Garza</v>
      </c>
      <c r="B1846" t="s">
        <v>167</v>
      </c>
      <c r="C1846" t="s">
        <v>202</v>
      </c>
      <c r="D1846" t="s">
        <v>219</v>
      </c>
      <c r="E1846" t="s">
        <v>91</v>
      </c>
      <c r="F1846" s="1">
        <v>18</v>
      </c>
    </row>
    <row r="1847" spans="1:6" x14ac:dyDescent="0.3">
      <c r="A1847" t="str">
        <f>_xlfn.XLOOKUP(ColombiaClientes[[#This Row],[Client]],VpsClientes[Client],VpsClientes[VP],"",0)</f>
        <v>Jhonatan Izquierdo Rico</v>
      </c>
      <c r="B1847" t="s">
        <v>200</v>
      </c>
      <c r="C1847" t="s">
        <v>202</v>
      </c>
      <c r="D1847" t="s">
        <v>219</v>
      </c>
      <c r="E1847" t="s">
        <v>91</v>
      </c>
      <c r="F1847" s="1">
        <v>14</v>
      </c>
    </row>
    <row r="1848" spans="1:6" x14ac:dyDescent="0.3">
      <c r="A1848" t="str">
        <f>_xlfn.XLOOKUP(ColombiaClientes[[#This Row],[Client]],VpsClientes[Client],VpsClientes[VP],"",0)</f>
        <v>Moises Saavedra Garcia</v>
      </c>
      <c r="B1848" t="s">
        <v>190</v>
      </c>
      <c r="C1848" t="s">
        <v>202</v>
      </c>
      <c r="D1848" t="s">
        <v>219</v>
      </c>
      <c r="E1848" t="s">
        <v>91</v>
      </c>
      <c r="F1848" s="1">
        <v>11</v>
      </c>
    </row>
    <row r="1849" spans="1:6" x14ac:dyDescent="0.3">
      <c r="A1849" t="str">
        <f>_xlfn.XLOOKUP(ColombiaClientes[[#This Row],[Client]],VpsClientes[Client],VpsClientes[VP],"",0)</f>
        <v>Martha Guzman Arango</v>
      </c>
      <c r="B1849" t="s">
        <v>180</v>
      </c>
      <c r="C1849" t="s">
        <v>202</v>
      </c>
      <c r="D1849" t="s">
        <v>219</v>
      </c>
      <c r="E1849" t="s">
        <v>91</v>
      </c>
      <c r="F1849" s="1">
        <v>8</v>
      </c>
    </row>
    <row r="1850" spans="1:6" x14ac:dyDescent="0.3">
      <c r="A1850" t="str">
        <f>_xlfn.XLOOKUP(ColombiaClientes[[#This Row],[Client]],VpsClientes[Client],VpsClientes[VP],"",0)</f>
        <v>Jhonatan Izquierdo Rico</v>
      </c>
      <c r="B1850" t="s">
        <v>159</v>
      </c>
      <c r="C1850" t="s">
        <v>202</v>
      </c>
      <c r="D1850" t="s">
        <v>219</v>
      </c>
      <c r="E1850" t="s">
        <v>91</v>
      </c>
      <c r="F1850" s="1">
        <v>6</v>
      </c>
    </row>
    <row r="1851" spans="1:6" x14ac:dyDescent="0.3">
      <c r="A1851" t="str">
        <f>_xlfn.XLOOKUP(ColombiaClientes[[#This Row],[Client]],VpsClientes[Client],VpsClientes[VP],"",0)</f>
        <v>Martha Guzman Arango</v>
      </c>
      <c r="B1851" t="s">
        <v>186</v>
      </c>
      <c r="C1851" t="s">
        <v>202</v>
      </c>
      <c r="D1851" t="s">
        <v>219</v>
      </c>
      <c r="E1851" t="s">
        <v>91</v>
      </c>
      <c r="F1851" s="1">
        <v>5</v>
      </c>
    </row>
    <row r="1852" spans="1:6" x14ac:dyDescent="0.3">
      <c r="A1852" t="str">
        <f>_xlfn.XLOOKUP(ColombiaClientes[[#This Row],[Client]],VpsClientes[Client],VpsClientes[VP],"",0)</f>
        <v>Martha Guzman Arango</v>
      </c>
      <c r="B1852" t="s">
        <v>188</v>
      </c>
      <c r="C1852" t="s">
        <v>202</v>
      </c>
      <c r="D1852" t="s">
        <v>219</v>
      </c>
      <c r="E1852" t="s">
        <v>91</v>
      </c>
      <c r="F1852" s="1">
        <v>3</v>
      </c>
    </row>
    <row r="1853" spans="1:6" x14ac:dyDescent="0.3">
      <c r="A1853" t="str">
        <f>_xlfn.XLOOKUP(ColombiaClientes[[#This Row],[Client]],VpsClientes[Client],VpsClientes[VP],"",0)</f>
        <v>Martha Guzman Arango</v>
      </c>
      <c r="B1853" t="s">
        <v>189</v>
      </c>
      <c r="C1853" t="s">
        <v>202</v>
      </c>
      <c r="D1853" t="s">
        <v>219</v>
      </c>
      <c r="E1853" t="s">
        <v>91</v>
      </c>
      <c r="F1853" s="1">
        <v>3</v>
      </c>
    </row>
    <row r="1854" spans="1:6" x14ac:dyDescent="0.3">
      <c r="A1854" t="str">
        <f>_xlfn.XLOOKUP(ColombiaClientes[[#This Row],[Client]],VpsClientes[Client],VpsClientes[VP],"",0)</f>
        <v>Carlos Beltran Hernandez</v>
      </c>
      <c r="B1854" t="s">
        <v>93</v>
      </c>
      <c r="C1854" t="s">
        <v>203</v>
      </c>
      <c r="D1854" t="s">
        <v>219</v>
      </c>
      <c r="E1854" t="s">
        <v>91</v>
      </c>
      <c r="F1854" s="1">
        <v>24606</v>
      </c>
    </row>
    <row r="1855" spans="1:6" x14ac:dyDescent="0.3">
      <c r="A1855" t="str">
        <f>_xlfn.XLOOKUP(ColombiaClientes[[#This Row],[Client]],VpsClientes[Client],VpsClientes[VP],"",0)</f>
        <v>Carlos Beltran Hernandez</v>
      </c>
      <c r="B1855" t="s">
        <v>94</v>
      </c>
      <c r="C1855" t="s">
        <v>203</v>
      </c>
      <c r="D1855" t="s">
        <v>219</v>
      </c>
      <c r="E1855" t="s">
        <v>91</v>
      </c>
      <c r="F1855" s="1">
        <v>23023</v>
      </c>
    </row>
    <row r="1856" spans="1:6" x14ac:dyDescent="0.3">
      <c r="A1856" t="str">
        <f>_xlfn.XLOOKUP(ColombiaClientes[[#This Row],[Client]],VpsClientes[Client],VpsClientes[VP],"",0)</f>
        <v>Martha Guzman Arango</v>
      </c>
      <c r="B1856" t="s">
        <v>96</v>
      </c>
      <c r="C1856" t="s">
        <v>203</v>
      </c>
      <c r="D1856" t="s">
        <v>219</v>
      </c>
      <c r="E1856" t="s">
        <v>91</v>
      </c>
      <c r="F1856" s="1">
        <v>17622</v>
      </c>
    </row>
    <row r="1857" spans="1:6" x14ac:dyDescent="0.3">
      <c r="A1857" t="str">
        <f>_xlfn.XLOOKUP(ColombiaClientes[[#This Row],[Client]],VpsClientes[Client],VpsClientes[VP],"",0)</f>
        <v>Jhonatan Izquierdo Rico</v>
      </c>
      <c r="B1857" t="s">
        <v>104</v>
      </c>
      <c r="C1857" t="s">
        <v>203</v>
      </c>
      <c r="D1857" t="s">
        <v>219</v>
      </c>
      <c r="E1857" t="s">
        <v>91</v>
      </c>
      <c r="F1857" s="1">
        <v>17234</v>
      </c>
    </row>
    <row r="1858" spans="1:6" x14ac:dyDescent="0.3">
      <c r="A1858" t="str">
        <f>_xlfn.XLOOKUP(ColombiaClientes[[#This Row],[Client]],VpsClientes[Client],VpsClientes[VP],"",0)</f>
        <v>Carlos Castillo Figueroa</v>
      </c>
      <c r="B1858" t="s">
        <v>105</v>
      </c>
      <c r="C1858" t="s">
        <v>203</v>
      </c>
      <c r="D1858" t="s">
        <v>219</v>
      </c>
      <c r="E1858" t="s">
        <v>91</v>
      </c>
      <c r="F1858" s="1">
        <v>11095</v>
      </c>
    </row>
    <row r="1859" spans="1:6" x14ac:dyDescent="0.3">
      <c r="A1859" t="str">
        <f>_xlfn.XLOOKUP(ColombiaClientes[[#This Row],[Client]],VpsClientes[Client],VpsClientes[VP],"",0)</f>
        <v>Moises Saavedra Garcia</v>
      </c>
      <c r="B1859" t="s">
        <v>99</v>
      </c>
      <c r="C1859" t="s">
        <v>203</v>
      </c>
      <c r="D1859" t="s">
        <v>219</v>
      </c>
      <c r="E1859" t="s">
        <v>91</v>
      </c>
      <c r="F1859" s="1">
        <v>7890</v>
      </c>
    </row>
    <row r="1860" spans="1:6" x14ac:dyDescent="0.3">
      <c r="A1860" t="str">
        <f>_xlfn.XLOOKUP(ColombiaClientes[[#This Row],[Client]],VpsClientes[Client],VpsClientes[VP],"",0)</f>
        <v>Carlos Beltran Hernandez</v>
      </c>
      <c r="B1860" t="s">
        <v>102</v>
      </c>
      <c r="C1860" t="s">
        <v>203</v>
      </c>
      <c r="D1860" t="s">
        <v>219</v>
      </c>
      <c r="E1860" t="s">
        <v>91</v>
      </c>
      <c r="F1860" s="1">
        <v>6703</v>
      </c>
    </row>
    <row r="1861" spans="1:6" x14ac:dyDescent="0.3">
      <c r="A1861" t="str">
        <f>_xlfn.XLOOKUP(ColombiaClientes[[#This Row],[Client]],VpsClientes[Client],VpsClientes[VP],"",0)</f>
        <v>Martha Guzman Arango</v>
      </c>
      <c r="B1861" t="s">
        <v>98</v>
      </c>
      <c r="C1861" t="s">
        <v>203</v>
      </c>
      <c r="D1861" t="s">
        <v>219</v>
      </c>
      <c r="E1861" t="s">
        <v>91</v>
      </c>
      <c r="F1861" s="1">
        <v>6626</v>
      </c>
    </row>
    <row r="1862" spans="1:6" x14ac:dyDescent="0.3">
      <c r="A1862" t="str">
        <f>_xlfn.XLOOKUP(ColombiaClientes[[#This Row],[Client]],VpsClientes[Client],VpsClientes[VP],"",0)</f>
        <v>Jhonatan Izquierdo Rico</v>
      </c>
      <c r="B1862" t="s">
        <v>107</v>
      </c>
      <c r="C1862" t="s">
        <v>203</v>
      </c>
      <c r="D1862" t="s">
        <v>219</v>
      </c>
      <c r="E1862" t="s">
        <v>91</v>
      </c>
      <c r="F1862" s="1">
        <v>6275</v>
      </c>
    </row>
    <row r="1863" spans="1:6" x14ac:dyDescent="0.3">
      <c r="A1863" t="str">
        <f>_xlfn.XLOOKUP(ColombiaClientes[[#This Row],[Client]],VpsClientes[Client],VpsClientes[VP],"",0)</f>
        <v>Maria Forero Jara</v>
      </c>
      <c r="B1863" t="s">
        <v>101</v>
      </c>
      <c r="C1863" t="s">
        <v>203</v>
      </c>
      <c r="D1863" t="s">
        <v>219</v>
      </c>
      <c r="E1863" t="s">
        <v>91</v>
      </c>
      <c r="F1863" s="1">
        <v>5613</v>
      </c>
    </row>
    <row r="1864" spans="1:6" x14ac:dyDescent="0.3">
      <c r="A1864" t="str">
        <f>_xlfn.XLOOKUP(ColombiaClientes[[#This Row],[Client]],VpsClientes[Client],VpsClientes[VP],"",0)</f>
        <v>Ludy Torres Benitez</v>
      </c>
      <c r="B1864" t="s">
        <v>95</v>
      </c>
      <c r="C1864" t="s">
        <v>203</v>
      </c>
      <c r="D1864" t="s">
        <v>219</v>
      </c>
      <c r="E1864" t="s">
        <v>91</v>
      </c>
      <c r="F1864" s="1">
        <v>5596</v>
      </c>
    </row>
    <row r="1865" spans="1:6" x14ac:dyDescent="0.3">
      <c r="A1865" t="str">
        <f>_xlfn.XLOOKUP(ColombiaClientes[[#This Row],[Client]],VpsClientes[Client],VpsClientes[VP],"",0)</f>
        <v>Jhonatan Izquierdo Rico</v>
      </c>
      <c r="B1865" t="s">
        <v>112</v>
      </c>
      <c r="C1865" t="s">
        <v>203</v>
      </c>
      <c r="D1865" t="s">
        <v>219</v>
      </c>
      <c r="E1865" t="s">
        <v>91</v>
      </c>
      <c r="F1865" s="1">
        <v>5022</v>
      </c>
    </row>
    <row r="1866" spans="1:6" x14ac:dyDescent="0.3">
      <c r="A1866" t="str">
        <f>_xlfn.XLOOKUP(ColombiaClientes[[#This Row],[Client]],VpsClientes[Client],VpsClientes[VP],"",0)</f>
        <v>Maria Forero Jara</v>
      </c>
      <c r="B1866" t="s">
        <v>125</v>
      </c>
      <c r="C1866" t="s">
        <v>203</v>
      </c>
      <c r="D1866" t="s">
        <v>219</v>
      </c>
      <c r="E1866" t="s">
        <v>91</v>
      </c>
      <c r="F1866" s="1">
        <v>4613</v>
      </c>
    </row>
    <row r="1867" spans="1:6" x14ac:dyDescent="0.3">
      <c r="A1867" t="str">
        <f>_xlfn.XLOOKUP(ColombiaClientes[[#This Row],[Client]],VpsClientes[Client],VpsClientes[VP],"",0)</f>
        <v>Jhonatan Izquierdo Rico</v>
      </c>
      <c r="B1867" t="s">
        <v>128</v>
      </c>
      <c r="C1867" t="s">
        <v>203</v>
      </c>
      <c r="D1867" t="s">
        <v>219</v>
      </c>
      <c r="E1867" t="s">
        <v>91</v>
      </c>
      <c r="F1867" s="1">
        <v>4379</v>
      </c>
    </row>
    <row r="1868" spans="1:6" x14ac:dyDescent="0.3">
      <c r="A1868" t="str">
        <f>_xlfn.XLOOKUP(ColombiaClientes[[#This Row],[Client]],VpsClientes[Client],VpsClientes[VP],"",0)</f>
        <v>Martha Guzman Arango</v>
      </c>
      <c r="B1868" t="s">
        <v>103</v>
      </c>
      <c r="C1868" t="s">
        <v>203</v>
      </c>
      <c r="D1868" t="s">
        <v>219</v>
      </c>
      <c r="E1868" t="s">
        <v>91</v>
      </c>
      <c r="F1868" s="1">
        <v>3944</v>
      </c>
    </row>
    <row r="1869" spans="1:6" x14ac:dyDescent="0.3">
      <c r="A1869" t="str">
        <f>_xlfn.XLOOKUP(ColombiaClientes[[#This Row],[Client]],VpsClientes[Client],VpsClientes[VP],"",0)</f>
        <v>Maria Forero Jara</v>
      </c>
      <c r="B1869" t="s">
        <v>123</v>
      </c>
      <c r="C1869" t="s">
        <v>203</v>
      </c>
      <c r="D1869" t="s">
        <v>219</v>
      </c>
      <c r="E1869" t="s">
        <v>91</v>
      </c>
      <c r="F1869" s="1">
        <v>3815</v>
      </c>
    </row>
    <row r="1870" spans="1:6" x14ac:dyDescent="0.3">
      <c r="A1870" t="str">
        <f>_xlfn.XLOOKUP(ColombiaClientes[[#This Row],[Client]],VpsClientes[Client],VpsClientes[VP],"",0)</f>
        <v>Ernesto Rico Zuluaga</v>
      </c>
      <c r="B1870" t="s">
        <v>121</v>
      </c>
      <c r="C1870" t="s">
        <v>203</v>
      </c>
      <c r="D1870" t="s">
        <v>219</v>
      </c>
      <c r="E1870" t="s">
        <v>91</v>
      </c>
      <c r="F1870" s="1">
        <v>3535</v>
      </c>
    </row>
    <row r="1871" spans="1:6" x14ac:dyDescent="0.3">
      <c r="A1871" t="str">
        <f>_xlfn.XLOOKUP(ColombiaClientes[[#This Row],[Client]],VpsClientes[Client],VpsClientes[VP],"",0)</f>
        <v>Ernesto Rico Zuluaga</v>
      </c>
      <c r="B1871" t="s">
        <v>116</v>
      </c>
      <c r="C1871" t="s">
        <v>203</v>
      </c>
      <c r="D1871" t="s">
        <v>219</v>
      </c>
      <c r="E1871" t="s">
        <v>91</v>
      </c>
      <c r="F1871" s="1">
        <v>3503</v>
      </c>
    </row>
    <row r="1872" spans="1:6" x14ac:dyDescent="0.3">
      <c r="A1872" t="str">
        <f>_xlfn.XLOOKUP(ColombiaClientes[[#This Row],[Client]],VpsClientes[Client],VpsClientes[VP],"",0)</f>
        <v>Martha Guzman Arango</v>
      </c>
      <c r="B1872" t="s">
        <v>100</v>
      </c>
      <c r="C1872" t="s">
        <v>203</v>
      </c>
      <c r="D1872" t="s">
        <v>219</v>
      </c>
      <c r="E1872" t="s">
        <v>91</v>
      </c>
      <c r="F1872" s="1">
        <v>3318</v>
      </c>
    </row>
    <row r="1873" spans="1:6" x14ac:dyDescent="0.3">
      <c r="A1873" t="str">
        <f>_xlfn.XLOOKUP(ColombiaClientes[[#This Row],[Client]],VpsClientes[Client],VpsClientes[VP],"",0)</f>
        <v>System System</v>
      </c>
      <c r="B1873" t="s">
        <v>208</v>
      </c>
      <c r="C1873" t="s">
        <v>203</v>
      </c>
      <c r="D1873" t="s">
        <v>219</v>
      </c>
      <c r="E1873" t="s">
        <v>91</v>
      </c>
      <c r="F1873" s="1">
        <v>3228</v>
      </c>
    </row>
    <row r="1874" spans="1:6" x14ac:dyDescent="0.3">
      <c r="A1874" t="str">
        <f>_xlfn.XLOOKUP(ColombiaClientes[[#This Row],[Client]],VpsClientes[Client],VpsClientes[VP],"",0)</f>
        <v>Hector Muraira Garza</v>
      </c>
      <c r="B1874" t="s">
        <v>137</v>
      </c>
      <c r="C1874" t="s">
        <v>203</v>
      </c>
      <c r="D1874" t="s">
        <v>219</v>
      </c>
      <c r="E1874" t="s">
        <v>91</v>
      </c>
      <c r="F1874" s="1">
        <v>3218</v>
      </c>
    </row>
    <row r="1875" spans="1:6" x14ac:dyDescent="0.3">
      <c r="A1875" t="str">
        <f>_xlfn.XLOOKUP(ColombiaClientes[[#This Row],[Client]],VpsClientes[Client],VpsClientes[VP],"",0)</f>
        <v>Maria Forero Jara</v>
      </c>
      <c r="B1875" t="s">
        <v>108</v>
      </c>
      <c r="C1875" t="s">
        <v>203</v>
      </c>
      <c r="D1875" t="s">
        <v>219</v>
      </c>
      <c r="E1875" t="s">
        <v>91</v>
      </c>
      <c r="F1875" s="1">
        <v>2929</v>
      </c>
    </row>
    <row r="1876" spans="1:6" x14ac:dyDescent="0.3">
      <c r="A1876" t="str">
        <f>_xlfn.XLOOKUP(ColombiaClientes[[#This Row],[Client]],VpsClientes[Client],VpsClientes[VP],"",0)</f>
        <v>Martha Guzman Arango</v>
      </c>
      <c r="B1876" t="s">
        <v>109</v>
      </c>
      <c r="C1876" t="s">
        <v>203</v>
      </c>
      <c r="D1876" t="s">
        <v>219</v>
      </c>
      <c r="E1876" t="s">
        <v>91</v>
      </c>
      <c r="F1876" s="1">
        <v>2704</v>
      </c>
    </row>
    <row r="1877" spans="1:6" x14ac:dyDescent="0.3">
      <c r="A1877" t="str">
        <f>_xlfn.XLOOKUP(ColombiaClientes[[#This Row],[Client]],VpsClientes[Client],VpsClientes[VP],"",0)</f>
        <v>Moises Saavedra Garcia</v>
      </c>
      <c r="B1877" t="s">
        <v>120</v>
      </c>
      <c r="C1877" t="s">
        <v>203</v>
      </c>
      <c r="D1877" t="s">
        <v>219</v>
      </c>
      <c r="E1877" t="s">
        <v>91</v>
      </c>
      <c r="F1877" s="1">
        <v>2551</v>
      </c>
    </row>
    <row r="1878" spans="1:6" x14ac:dyDescent="0.3">
      <c r="A1878" t="str">
        <f>_xlfn.XLOOKUP(ColombiaClientes[[#This Row],[Client]],VpsClientes[Client],VpsClientes[VP],"",0)</f>
        <v>Martha Guzman Arango</v>
      </c>
      <c r="B1878" t="s">
        <v>122</v>
      </c>
      <c r="C1878" t="s">
        <v>203</v>
      </c>
      <c r="D1878" t="s">
        <v>219</v>
      </c>
      <c r="E1878" t="s">
        <v>91</v>
      </c>
      <c r="F1878" s="1">
        <v>2375</v>
      </c>
    </row>
    <row r="1879" spans="1:6" x14ac:dyDescent="0.3">
      <c r="A1879" t="str">
        <f>_xlfn.XLOOKUP(ColombiaClientes[[#This Row],[Client]],VpsClientes[Client],VpsClientes[VP],"",0)</f>
        <v>Sandra Romero Zuluaga</v>
      </c>
      <c r="B1879" t="s">
        <v>113</v>
      </c>
      <c r="C1879" t="s">
        <v>203</v>
      </c>
      <c r="D1879" t="s">
        <v>219</v>
      </c>
      <c r="E1879" t="s">
        <v>91</v>
      </c>
      <c r="F1879" s="1">
        <v>2167</v>
      </c>
    </row>
    <row r="1880" spans="1:6" x14ac:dyDescent="0.3">
      <c r="A1880" t="str">
        <f>_xlfn.XLOOKUP(ColombiaClientes[[#This Row],[Client]],VpsClientes[Client],VpsClientes[VP],"",0)</f>
        <v>Maria Forero Jara</v>
      </c>
      <c r="B1880" t="s">
        <v>106</v>
      </c>
      <c r="C1880" t="s">
        <v>203</v>
      </c>
      <c r="D1880" t="s">
        <v>219</v>
      </c>
      <c r="E1880" t="s">
        <v>91</v>
      </c>
      <c r="F1880" s="1">
        <v>2031</v>
      </c>
    </row>
    <row r="1881" spans="1:6" x14ac:dyDescent="0.3">
      <c r="A1881" t="str">
        <f>_xlfn.XLOOKUP(ColombiaClientes[[#This Row],[Client]],VpsClientes[Client],VpsClientes[VP],"",0)</f>
        <v>Carlos Beltran Hernandez</v>
      </c>
      <c r="B1881" t="s">
        <v>119</v>
      </c>
      <c r="C1881" t="s">
        <v>203</v>
      </c>
      <c r="D1881" t="s">
        <v>219</v>
      </c>
      <c r="E1881" t="s">
        <v>91</v>
      </c>
      <c r="F1881" s="1">
        <v>1966</v>
      </c>
    </row>
    <row r="1882" spans="1:6" x14ac:dyDescent="0.3">
      <c r="A1882" t="str">
        <f>_xlfn.XLOOKUP(ColombiaClientes[[#This Row],[Client]],VpsClientes[Client],VpsClientes[VP],"",0)</f>
        <v>Juan Granados Castillo</v>
      </c>
      <c r="B1882" t="s">
        <v>136</v>
      </c>
      <c r="C1882" t="s">
        <v>203</v>
      </c>
      <c r="D1882" t="s">
        <v>219</v>
      </c>
      <c r="E1882" t="s">
        <v>91</v>
      </c>
      <c r="F1882" s="1">
        <v>1859</v>
      </c>
    </row>
    <row r="1883" spans="1:6" x14ac:dyDescent="0.3">
      <c r="A1883" t="str">
        <f>_xlfn.XLOOKUP(ColombiaClientes[[#This Row],[Client]],VpsClientes[Client],VpsClientes[VP],"",0)</f>
        <v>Martha Guzman Arango</v>
      </c>
      <c r="B1883" t="s">
        <v>97</v>
      </c>
      <c r="C1883" t="s">
        <v>203</v>
      </c>
      <c r="D1883" t="s">
        <v>219</v>
      </c>
      <c r="E1883" t="s">
        <v>91</v>
      </c>
      <c r="F1883" s="1">
        <v>1663</v>
      </c>
    </row>
    <row r="1884" spans="1:6" x14ac:dyDescent="0.3">
      <c r="A1884" t="str">
        <f>_xlfn.XLOOKUP(ColombiaClientes[[#This Row],[Client]],VpsClientes[Client],VpsClientes[VP],"",0)</f>
        <v>Juan Granados Castillo</v>
      </c>
      <c r="B1884" t="s">
        <v>134</v>
      </c>
      <c r="C1884" t="s">
        <v>203</v>
      </c>
      <c r="D1884" t="s">
        <v>219</v>
      </c>
      <c r="E1884" t="s">
        <v>91</v>
      </c>
      <c r="F1884" s="1">
        <v>1632</v>
      </c>
    </row>
    <row r="1885" spans="1:6" x14ac:dyDescent="0.3">
      <c r="A1885" t="str">
        <f>_xlfn.XLOOKUP(ColombiaClientes[[#This Row],[Client]],VpsClientes[Client],VpsClientes[VP],"",0)</f>
        <v>Martha Guzman Arango</v>
      </c>
      <c r="B1885" t="s">
        <v>114</v>
      </c>
      <c r="C1885" t="s">
        <v>203</v>
      </c>
      <c r="D1885" t="s">
        <v>219</v>
      </c>
      <c r="E1885" t="s">
        <v>91</v>
      </c>
      <c r="F1885" s="1">
        <v>1384</v>
      </c>
    </row>
    <row r="1886" spans="1:6" x14ac:dyDescent="0.3">
      <c r="A1886" t="str">
        <f>_xlfn.XLOOKUP(ColombiaClientes[[#This Row],[Client]],VpsClientes[Client],VpsClientes[VP],"",0)</f>
        <v>Moises Saavedra Garcia</v>
      </c>
      <c r="B1886" t="s">
        <v>115</v>
      </c>
      <c r="C1886" t="s">
        <v>203</v>
      </c>
      <c r="D1886" t="s">
        <v>219</v>
      </c>
      <c r="E1886" t="s">
        <v>91</v>
      </c>
      <c r="F1886" s="1">
        <v>1350</v>
      </c>
    </row>
    <row r="1887" spans="1:6" x14ac:dyDescent="0.3">
      <c r="A1887" t="str">
        <f>_xlfn.XLOOKUP(ColombiaClientes[[#This Row],[Client]],VpsClientes[Client],VpsClientes[VP],"",0)</f>
        <v>Jhonatan Izquierdo Rico</v>
      </c>
      <c r="B1887" t="s">
        <v>126</v>
      </c>
      <c r="C1887" t="s">
        <v>203</v>
      </c>
      <c r="D1887" t="s">
        <v>219</v>
      </c>
      <c r="E1887" t="s">
        <v>91</v>
      </c>
      <c r="F1887" s="1">
        <v>1341</v>
      </c>
    </row>
    <row r="1888" spans="1:6" x14ac:dyDescent="0.3">
      <c r="A1888" t="str">
        <f>_xlfn.XLOOKUP(ColombiaClientes[[#This Row],[Client]],VpsClientes[Client],VpsClientes[VP],"",0)</f>
        <v>Moises Saavedra Garcia</v>
      </c>
      <c r="B1888" t="s">
        <v>110</v>
      </c>
      <c r="C1888" t="s">
        <v>203</v>
      </c>
      <c r="D1888" t="s">
        <v>219</v>
      </c>
      <c r="E1888" t="s">
        <v>91</v>
      </c>
      <c r="F1888" s="1">
        <v>1317</v>
      </c>
    </row>
    <row r="1889" spans="1:6" x14ac:dyDescent="0.3">
      <c r="A1889" t="str">
        <f>_xlfn.XLOOKUP(ColombiaClientes[[#This Row],[Client]],VpsClientes[Client],VpsClientes[VP],"",0)</f>
        <v>Hector Muraira Garza</v>
      </c>
      <c r="B1889" t="s">
        <v>130</v>
      </c>
      <c r="C1889" t="s">
        <v>203</v>
      </c>
      <c r="D1889" t="s">
        <v>219</v>
      </c>
      <c r="E1889" t="s">
        <v>91</v>
      </c>
      <c r="F1889" s="1">
        <v>1233</v>
      </c>
    </row>
    <row r="1890" spans="1:6" x14ac:dyDescent="0.3">
      <c r="A1890" t="str">
        <f>_xlfn.XLOOKUP(ColombiaClientes[[#This Row],[Client]],VpsClientes[Client],VpsClientes[VP],"",0)</f>
        <v>Jhonatan Izquierdo Rico</v>
      </c>
      <c r="B1890" t="s">
        <v>117</v>
      </c>
      <c r="C1890" t="s">
        <v>203</v>
      </c>
      <c r="D1890" t="s">
        <v>219</v>
      </c>
      <c r="E1890" t="s">
        <v>91</v>
      </c>
      <c r="F1890" s="1">
        <v>1215</v>
      </c>
    </row>
    <row r="1891" spans="1:6" x14ac:dyDescent="0.3">
      <c r="A1891" t="str">
        <f>_xlfn.XLOOKUP(ColombiaClientes[[#This Row],[Client]],VpsClientes[Client],VpsClientes[VP],"",0)</f>
        <v>Jhonatan Izquierdo Rico</v>
      </c>
      <c r="B1891" t="s">
        <v>138</v>
      </c>
      <c r="C1891" t="s">
        <v>203</v>
      </c>
      <c r="D1891" t="s">
        <v>219</v>
      </c>
      <c r="E1891" t="s">
        <v>91</v>
      </c>
      <c r="F1891" s="1">
        <v>1034</v>
      </c>
    </row>
    <row r="1892" spans="1:6" x14ac:dyDescent="0.3">
      <c r="A1892" t="str">
        <f>_xlfn.XLOOKUP(ColombiaClientes[[#This Row],[Client]],VpsClientes[Client],VpsClientes[VP],"",0)</f>
        <v>Martha Guzman Arango</v>
      </c>
      <c r="B1892" t="s">
        <v>118</v>
      </c>
      <c r="C1892" t="s">
        <v>203</v>
      </c>
      <c r="D1892" t="s">
        <v>219</v>
      </c>
      <c r="E1892" t="s">
        <v>91</v>
      </c>
      <c r="F1892" s="1">
        <v>999</v>
      </c>
    </row>
    <row r="1893" spans="1:6" x14ac:dyDescent="0.3">
      <c r="A1893" t="str">
        <f>_xlfn.XLOOKUP(ColombiaClientes[[#This Row],[Client]],VpsClientes[Client],VpsClientes[VP],"",0)</f>
        <v>Moises Saavedra Garcia</v>
      </c>
      <c r="B1893" t="s">
        <v>150</v>
      </c>
      <c r="C1893" t="s">
        <v>203</v>
      </c>
      <c r="D1893" t="s">
        <v>219</v>
      </c>
      <c r="E1893" t="s">
        <v>91</v>
      </c>
      <c r="F1893" s="1">
        <v>975</v>
      </c>
    </row>
    <row r="1894" spans="1:6" x14ac:dyDescent="0.3">
      <c r="A1894" t="str">
        <f>_xlfn.XLOOKUP(ColombiaClientes[[#This Row],[Client]],VpsClientes[Client],VpsClientes[VP],"",0)</f>
        <v>Maria Forero Jara</v>
      </c>
      <c r="B1894" t="s">
        <v>139</v>
      </c>
      <c r="C1894" t="s">
        <v>203</v>
      </c>
      <c r="D1894" t="s">
        <v>219</v>
      </c>
      <c r="E1894" t="s">
        <v>91</v>
      </c>
      <c r="F1894" s="1">
        <v>921</v>
      </c>
    </row>
    <row r="1895" spans="1:6" x14ac:dyDescent="0.3">
      <c r="A1895" t="str">
        <f>_xlfn.XLOOKUP(ColombiaClientes[[#This Row],[Client]],VpsClientes[Client],VpsClientes[VP],"",0)</f>
        <v>Martha Guzman Arango</v>
      </c>
      <c r="B1895" t="s">
        <v>135</v>
      </c>
      <c r="C1895" t="s">
        <v>203</v>
      </c>
      <c r="D1895" t="s">
        <v>219</v>
      </c>
      <c r="E1895" t="s">
        <v>91</v>
      </c>
      <c r="F1895" s="1">
        <v>901</v>
      </c>
    </row>
    <row r="1896" spans="1:6" x14ac:dyDescent="0.3">
      <c r="A1896" t="str">
        <f>_xlfn.XLOOKUP(ColombiaClientes[[#This Row],[Client]],VpsClientes[Client],VpsClientes[VP],"",0)</f>
        <v>Martha Guzman Arango</v>
      </c>
      <c r="B1896" t="s">
        <v>152</v>
      </c>
      <c r="C1896" t="s">
        <v>203</v>
      </c>
      <c r="D1896" t="s">
        <v>219</v>
      </c>
      <c r="E1896" t="s">
        <v>91</v>
      </c>
      <c r="F1896" s="1">
        <v>749</v>
      </c>
    </row>
    <row r="1897" spans="1:6" x14ac:dyDescent="0.3">
      <c r="A1897" t="str">
        <f>_xlfn.XLOOKUP(ColombiaClientes[[#This Row],[Client]],VpsClientes[Client],VpsClientes[VP],"",0)</f>
        <v>Maria Forero Jara</v>
      </c>
      <c r="B1897" t="s">
        <v>111</v>
      </c>
      <c r="C1897" t="s">
        <v>203</v>
      </c>
      <c r="D1897" t="s">
        <v>219</v>
      </c>
      <c r="E1897" t="s">
        <v>91</v>
      </c>
      <c r="F1897" s="1">
        <v>602</v>
      </c>
    </row>
    <row r="1898" spans="1:6" x14ac:dyDescent="0.3">
      <c r="A1898" t="str">
        <f>_xlfn.XLOOKUP(ColombiaClientes[[#This Row],[Client]],VpsClientes[Client],VpsClientes[VP],"",0)</f>
        <v>Hector Muraira Garza</v>
      </c>
      <c r="B1898" t="s">
        <v>154</v>
      </c>
      <c r="C1898" t="s">
        <v>203</v>
      </c>
      <c r="D1898" t="s">
        <v>219</v>
      </c>
      <c r="E1898" t="s">
        <v>91</v>
      </c>
      <c r="F1898" s="1">
        <v>577</v>
      </c>
    </row>
    <row r="1899" spans="1:6" x14ac:dyDescent="0.3">
      <c r="A1899" t="str">
        <f>_xlfn.XLOOKUP(ColombiaClientes[[#This Row],[Client]],VpsClientes[Client],VpsClientes[VP],"",0)</f>
        <v>Martha Guzman Arango</v>
      </c>
      <c r="B1899" t="s">
        <v>153</v>
      </c>
      <c r="C1899" t="s">
        <v>203</v>
      </c>
      <c r="D1899" t="s">
        <v>219</v>
      </c>
      <c r="E1899" t="s">
        <v>91</v>
      </c>
      <c r="F1899" s="1">
        <v>523</v>
      </c>
    </row>
    <row r="1900" spans="1:6" x14ac:dyDescent="0.3">
      <c r="A1900" t="str">
        <f>_xlfn.XLOOKUP(ColombiaClientes[[#This Row],[Client]],VpsClientes[Client],VpsClientes[VP],"",0)</f>
        <v>Martha Guzman Arango</v>
      </c>
      <c r="B1900" t="s">
        <v>156</v>
      </c>
      <c r="C1900" t="s">
        <v>203</v>
      </c>
      <c r="D1900" t="s">
        <v>219</v>
      </c>
      <c r="E1900" t="s">
        <v>91</v>
      </c>
      <c r="F1900" s="1">
        <v>513</v>
      </c>
    </row>
    <row r="1901" spans="1:6" x14ac:dyDescent="0.3">
      <c r="A1901" t="str">
        <f>_xlfn.XLOOKUP(ColombiaClientes[[#This Row],[Client]],VpsClientes[Client],VpsClientes[VP],"",0)</f>
        <v>Hector Muraira Garza</v>
      </c>
      <c r="B1901" t="s">
        <v>140</v>
      </c>
      <c r="C1901" t="s">
        <v>203</v>
      </c>
      <c r="D1901" t="s">
        <v>219</v>
      </c>
      <c r="E1901" t="s">
        <v>91</v>
      </c>
      <c r="F1901" s="1">
        <v>450</v>
      </c>
    </row>
    <row r="1902" spans="1:6" x14ac:dyDescent="0.3">
      <c r="A1902" t="str">
        <f>_xlfn.XLOOKUP(ColombiaClientes[[#This Row],[Client]],VpsClientes[Client],VpsClientes[VP],"",0)</f>
        <v>Martha Guzman Arango</v>
      </c>
      <c r="B1902" t="s">
        <v>124</v>
      </c>
      <c r="C1902" t="s">
        <v>203</v>
      </c>
      <c r="D1902" t="s">
        <v>219</v>
      </c>
      <c r="E1902" t="s">
        <v>91</v>
      </c>
      <c r="F1902" s="1">
        <v>419</v>
      </c>
    </row>
    <row r="1903" spans="1:6" x14ac:dyDescent="0.3">
      <c r="A1903" t="str">
        <f>_xlfn.XLOOKUP(ColombiaClientes[[#This Row],[Client]],VpsClientes[Client],VpsClientes[VP],"",0)</f>
        <v>Martha Guzman Arango</v>
      </c>
      <c r="B1903" t="s">
        <v>146</v>
      </c>
      <c r="C1903" t="s">
        <v>203</v>
      </c>
      <c r="D1903" t="s">
        <v>219</v>
      </c>
      <c r="E1903" t="s">
        <v>91</v>
      </c>
      <c r="F1903" s="1">
        <v>369</v>
      </c>
    </row>
    <row r="1904" spans="1:6" x14ac:dyDescent="0.3">
      <c r="A1904" t="str">
        <f>_xlfn.XLOOKUP(ColombiaClientes[[#This Row],[Client]],VpsClientes[Client],VpsClientes[VP],"",0)</f>
        <v>Jhonatan Izquierdo Rico</v>
      </c>
      <c r="B1904" t="s">
        <v>157</v>
      </c>
      <c r="C1904" t="s">
        <v>203</v>
      </c>
      <c r="D1904" t="s">
        <v>219</v>
      </c>
      <c r="E1904" t="s">
        <v>91</v>
      </c>
      <c r="F1904" s="1">
        <v>336</v>
      </c>
    </row>
    <row r="1905" spans="1:6" x14ac:dyDescent="0.3">
      <c r="A1905" t="str">
        <f>_xlfn.XLOOKUP(ColombiaClientes[[#This Row],[Client]],VpsClientes[Client],VpsClientes[VP],"",0)</f>
        <v>Martha Guzman Arango</v>
      </c>
      <c r="B1905" t="s">
        <v>199</v>
      </c>
      <c r="C1905" t="s">
        <v>203</v>
      </c>
      <c r="D1905" t="s">
        <v>219</v>
      </c>
      <c r="E1905" t="s">
        <v>91</v>
      </c>
      <c r="F1905" s="1">
        <v>329</v>
      </c>
    </row>
    <row r="1906" spans="1:6" x14ac:dyDescent="0.3">
      <c r="A1906" t="str">
        <f>_xlfn.XLOOKUP(ColombiaClientes[[#This Row],[Client]],VpsClientes[Client],VpsClientes[VP],"",0)</f>
        <v>Martha Guzman Arango</v>
      </c>
      <c r="B1906" t="s">
        <v>145</v>
      </c>
      <c r="C1906" t="s">
        <v>203</v>
      </c>
      <c r="D1906" t="s">
        <v>219</v>
      </c>
      <c r="E1906" t="s">
        <v>91</v>
      </c>
      <c r="F1906" s="1">
        <v>326</v>
      </c>
    </row>
    <row r="1907" spans="1:6" x14ac:dyDescent="0.3">
      <c r="A1907" t="str">
        <f>_xlfn.XLOOKUP(ColombiaClientes[[#This Row],[Client]],VpsClientes[Client],VpsClientes[VP],"",0)</f>
        <v>Martha Guzman Arango</v>
      </c>
      <c r="B1907" t="s">
        <v>166</v>
      </c>
      <c r="C1907" t="s">
        <v>203</v>
      </c>
      <c r="D1907" t="s">
        <v>219</v>
      </c>
      <c r="E1907" t="s">
        <v>91</v>
      </c>
      <c r="F1907" s="1">
        <v>325</v>
      </c>
    </row>
    <row r="1908" spans="1:6" x14ac:dyDescent="0.3">
      <c r="A1908" t="str">
        <f>_xlfn.XLOOKUP(ColombiaClientes[[#This Row],[Client]],VpsClientes[Client],VpsClientes[VP],"",0)</f>
        <v>Jhonatan Izquierdo Rico</v>
      </c>
      <c r="B1908" t="s">
        <v>129</v>
      </c>
      <c r="C1908" t="s">
        <v>203</v>
      </c>
      <c r="D1908" t="s">
        <v>219</v>
      </c>
      <c r="E1908" t="s">
        <v>91</v>
      </c>
      <c r="F1908" s="1">
        <v>325</v>
      </c>
    </row>
    <row r="1909" spans="1:6" x14ac:dyDescent="0.3">
      <c r="A1909" t="str">
        <f>_xlfn.XLOOKUP(ColombiaClientes[[#This Row],[Client]],VpsClientes[Client],VpsClientes[VP],"",0)</f>
        <v>Martha Guzman Arango</v>
      </c>
      <c r="B1909" t="s">
        <v>162</v>
      </c>
      <c r="C1909" t="s">
        <v>203</v>
      </c>
      <c r="D1909" t="s">
        <v>219</v>
      </c>
      <c r="E1909" t="s">
        <v>91</v>
      </c>
      <c r="F1909" s="1">
        <v>313</v>
      </c>
    </row>
    <row r="1910" spans="1:6" x14ac:dyDescent="0.3">
      <c r="A1910" t="str">
        <f>_xlfn.XLOOKUP(ColombiaClientes[[#This Row],[Client]],VpsClientes[Client],VpsClientes[VP],"",0)</f>
        <v>Martha Guzman Arango</v>
      </c>
      <c r="B1910" t="s">
        <v>143</v>
      </c>
      <c r="C1910" t="s">
        <v>203</v>
      </c>
      <c r="D1910" t="s">
        <v>219</v>
      </c>
      <c r="E1910" t="s">
        <v>91</v>
      </c>
      <c r="F1910" s="1">
        <v>238</v>
      </c>
    </row>
    <row r="1911" spans="1:6" x14ac:dyDescent="0.3">
      <c r="A1911" t="str">
        <f>_xlfn.XLOOKUP(ColombiaClientes[[#This Row],[Client]],VpsClientes[Client],VpsClientes[VP],"",0)</f>
        <v>Maria Forero Jara</v>
      </c>
      <c r="B1911" t="s">
        <v>163</v>
      </c>
      <c r="C1911" t="s">
        <v>203</v>
      </c>
      <c r="D1911" t="s">
        <v>219</v>
      </c>
      <c r="E1911" t="s">
        <v>91</v>
      </c>
      <c r="F1911" s="1">
        <v>234</v>
      </c>
    </row>
    <row r="1912" spans="1:6" x14ac:dyDescent="0.3">
      <c r="A1912" t="str">
        <f>_xlfn.XLOOKUP(ColombiaClientes[[#This Row],[Client]],VpsClientes[Client],VpsClientes[VP],"",0)</f>
        <v>Maria Forero Jara</v>
      </c>
      <c r="B1912" t="s">
        <v>198</v>
      </c>
      <c r="C1912" t="s">
        <v>203</v>
      </c>
      <c r="D1912" t="s">
        <v>219</v>
      </c>
      <c r="E1912" t="s">
        <v>91</v>
      </c>
      <c r="F1912" s="1">
        <v>207</v>
      </c>
    </row>
    <row r="1913" spans="1:6" x14ac:dyDescent="0.3">
      <c r="A1913" t="str">
        <f>_xlfn.XLOOKUP(ColombiaClientes[[#This Row],[Client]],VpsClientes[Client],VpsClientes[VP],"",0)</f>
        <v>Martha Guzman Arango</v>
      </c>
      <c r="B1913" t="s">
        <v>185</v>
      </c>
      <c r="C1913" t="s">
        <v>203</v>
      </c>
      <c r="D1913" t="s">
        <v>219</v>
      </c>
      <c r="E1913" t="s">
        <v>91</v>
      </c>
      <c r="F1913" s="1">
        <v>204</v>
      </c>
    </row>
    <row r="1914" spans="1:6" x14ac:dyDescent="0.3">
      <c r="A1914" t="str">
        <f>_xlfn.XLOOKUP(ColombiaClientes[[#This Row],[Client]],VpsClientes[Client],VpsClientes[VP],"",0)</f>
        <v>Martha Guzman Arango</v>
      </c>
      <c r="B1914" t="s">
        <v>148</v>
      </c>
      <c r="C1914" t="s">
        <v>203</v>
      </c>
      <c r="D1914" t="s">
        <v>219</v>
      </c>
      <c r="E1914" t="s">
        <v>91</v>
      </c>
      <c r="F1914" s="1">
        <v>202</v>
      </c>
    </row>
    <row r="1915" spans="1:6" x14ac:dyDescent="0.3">
      <c r="A1915" t="str">
        <f>_xlfn.XLOOKUP(ColombiaClientes[[#This Row],[Client]],VpsClientes[Client],VpsClientes[VP],"",0)</f>
        <v>Maria Forero Jara</v>
      </c>
      <c r="B1915" t="s">
        <v>179</v>
      </c>
      <c r="C1915" t="s">
        <v>203</v>
      </c>
      <c r="D1915" t="s">
        <v>219</v>
      </c>
      <c r="E1915" t="s">
        <v>91</v>
      </c>
      <c r="F1915" s="1">
        <v>190</v>
      </c>
    </row>
    <row r="1916" spans="1:6" x14ac:dyDescent="0.3">
      <c r="A1916" t="str">
        <f>_xlfn.XLOOKUP(ColombiaClientes[[#This Row],[Client]],VpsClientes[Client],VpsClientes[VP],"",0)</f>
        <v>Martha Guzman Arango</v>
      </c>
      <c r="B1916" t="s">
        <v>168</v>
      </c>
      <c r="C1916" t="s">
        <v>203</v>
      </c>
      <c r="D1916" t="s">
        <v>219</v>
      </c>
      <c r="E1916" t="s">
        <v>91</v>
      </c>
      <c r="F1916" s="1">
        <v>182</v>
      </c>
    </row>
    <row r="1917" spans="1:6" x14ac:dyDescent="0.3">
      <c r="A1917" t="str">
        <f>_xlfn.XLOOKUP(ColombiaClientes[[#This Row],[Client]],VpsClientes[Client],VpsClientes[VP],"",0)</f>
        <v>Juan Granados Castillo</v>
      </c>
      <c r="B1917" t="s">
        <v>142</v>
      </c>
      <c r="C1917" t="s">
        <v>203</v>
      </c>
      <c r="D1917" t="s">
        <v>219</v>
      </c>
      <c r="E1917" t="s">
        <v>91</v>
      </c>
      <c r="F1917" s="1">
        <v>176</v>
      </c>
    </row>
    <row r="1918" spans="1:6" x14ac:dyDescent="0.3">
      <c r="A1918" t="str">
        <f>_xlfn.XLOOKUP(ColombiaClientes[[#This Row],[Client]],VpsClientes[Client],VpsClientes[VP],"",0)</f>
        <v>Moises Saavedra Garcia</v>
      </c>
      <c r="B1918" t="s">
        <v>172</v>
      </c>
      <c r="C1918" t="s">
        <v>203</v>
      </c>
      <c r="D1918" t="s">
        <v>219</v>
      </c>
      <c r="E1918" t="s">
        <v>91</v>
      </c>
      <c r="F1918" s="1">
        <v>144</v>
      </c>
    </row>
    <row r="1919" spans="1:6" x14ac:dyDescent="0.3">
      <c r="A1919" t="str">
        <f>_xlfn.XLOOKUP(ColombiaClientes[[#This Row],[Client]],VpsClientes[Client],VpsClientes[VP],"",0)</f>
        <v>Jhonatan Izquierdo Rico</v>
      </c>
      <c r="B1919" t="s">
        <v>196</v>
      </c>
      <c r="C1919" t="s">
        <v>203</v>
      </c>
      <c r="D1919" t="s">
        <v>219</v>
      </c>
      <c r="E1919" t="s">
        <v>91</v>
      </c>
      <c r="F1919" s="1">
        <v>141</v>
      </c>
    </row>
    <row r="1920" spans="1:6" x14ac:dyDescent="0.3">
      <c r="A1920" t="str">
        <f>_xlfn.XLOOKUP(ColombiaClientes[[#This Row],[Client]],VpsClientes[Client],VpsClientes[VP],"",0)</f>
        <v>Hector Muraira Garza</v>
      </c>
      <c r="B1920" t="s">
        <v>178</v>
      </c>
      <c r="C1920" t="s">
        <v>192</v>
      </c>
      <c r="D1920" t="s">
        <v>90</v>
      </c>
      <c r="E1920" t="s">
        <v>206</v>
      </c>
      <c r="F1920" s="1">
        <v>121</v>
      </c>
    </row>
    <row r="1921" spans="1:6" x14ac:dyDescent="0.3">
      <c r="A1921" t="str">
        <f>_xlfn.XLOOKUP(ColombiaClientes[[#This Row],[Client]],VpsClientes[Client],VpsClientes[VP],"",0)</f>
        <v>Maria Forero Jara</v>
      </c>
      <c r="B1921" t="s">
        <v>161</v>
      </c>
      <c r="C1921" t="s">
        <v>203</v>
      </c>
      <c r="D1921" t="s">
        <v>219</v>
      </c>
      <c r="E1921" t="s">
        <v>91</v>
      </c>
      <c r="F1921" s="1">
        <v>131</v>
      </c>
    </row>
    <row r="1922" spans="1:6" x14ac:dyDescent="0.3">
      <c r="A1922" t="str">
        <f>_xlfn.XLOOKUP(ColombiaClientes[[#This Row],[Client]],VpsClientes[Client],VpsClientes[VP],"",0)</f>
        <v>Martha Guzman Arango</v>
      </c>
      <c r="B1922" t="s">
        <v>174</v>
      </c>
      <c r="C1922" t="s">
        <v>203</v>
      </c>
      <c r="D1922" t="s">
        <v>219</v>
      </c>
      <c r="E1922" t="s">
        <v>91</v>
      </c>
      <c r="F1922" s="1">
        <v>122</v>
      </c>
    </row>
    <row r="1923" spans="1:6" x14ac:dyDescent="0.3">
      <c r="A1923" t="str">
        <f>_xlfn.XLOOKUP(ColombiaClientes[[#This Row],[Client]],VpsClientes[Client],VpsClientes[VP],"",0)</f>
        <v>Maria Forero Jara</v>
      </c>
      <c r="B1923" t="s">
        <v>144</v>
      </c>
      <c r="C1923" t="s">
        <v>203</v>
      </c>
      <c r="D1923" t="s">
        <v>219</v>
      </c>
      <c r="E1923" t="s">
        <v>91</v>
      </c>
      <c r="F1923" s="1">
        <v>118</v>
      </c>
    </row>
    <row r="1924" spans="1:6" x14ac:dyDescent="0.3">
      <c r="A1924" t="str">
        <f>_xlfn.XLOOKUP(ColombiaClientes[[#This Row],[Client]],VpsClientes[Client],VpsClientes[VP],"",0)</f>
        <v>Martha Guzman Arango</v>
      </c>
      <c r="B1924" t="s">
        <v>170</v>
      </c>
      <c r="C1924" t="s">
        <v>203</v>
      </c>
      <c r="D1924" t="s">
        <v>219</v>
      </c>
      <c r="E1924" t="s">
        <v>91</v>
      </c>
      <c r="F1924" s="1">
        <v>118</v>
      </c>
    </row>
    <row r="1925" spans="1:6" x14ac:dyDescent="0.3">
      <c r="A1925" t="str">
        <f>_xlfn.XLOOKUP(ColombiaClientes[[#This Row],[Client]],VpsClientes[Client],VpsClientes[VP],"",0)</f>
        <v>Carlos Beltran Hernandez</v>
      </c>
      <c r="B1925" t="s">
        <v>158</v>
      </c>
      <c r="C1925" t="s">
        <v>203</v>
      </c>
      <c r="D1925" t="s">
        <v>219</v>
      </c>
      <c r="E1925" t="s">
        <v>91</v>
      </c>
      <c r="F1925" s="1">
        <v>118</v>
      </c>
    </row>
    <row r="1926" spans="1:6" x14ac:dyDescent="0.3">
      <c r="A1926" t="str">
        <f>_xlfn.XLOOKUP(ColombiaClientes[[#This Row],[Client]],VpsClientes[Client],VpsClientes[VP],"",0)</f>
        <v>Hector Muraira Garza</v>
      </c>
      <c r="B1926" t="s">
        <v>132</v>
      </c>
      <c r="C1926" t="s">
        <v>203</v>
      </c>
      <c r="D1926" t="s">
        <v>219</v>
      </c>
      <c r="E1926" t="s">
        <v>91</v>
      </c>
      <c r="F1926" s="1">
        <v>116</v>
      </c>
    </row>
    <row r="1927" spans="1:6" x14ac:dyDescent="0.3">
      <c r="A1927" t="str">
        <f>_xlfn.XLOOKUP(ColombiaClientes[[#This Row],[Client]],VpsClientes[Client],VpsClientes[VP],"",0)</f>
        <v>Jhonatan Izquierdo Rico</v>
      </c>
      <c r="B1927" t="s">
        <v>197</v>
      </c>
      <c r="C1927" t="s">
        <v>203</v>
      </c>
      <c r="D1927" t="s">
        <v>219</v>
      </c>
      <c r="E1927" t="s">
        <v>91</v>
      </c>
      <c r="F1927" s="1">
        <v>111</v>
      </c>
    </row>
    <row r="1928" spans="1:6" x14ac:dyDescent="0.3">
      <c r="A1928" t="str">
        <f>_xlfn.XLOOKUP(ColombiaClientes[[#This Row],[Client]],VpsClientes[Client],VpsClientes[VP],"",0)</f>
        <v>Juan Granados Castillo</v>
      </c>
      <c r="B1928" t="s">
        <v>149</v>
      </c>
      <c r="C1928" t="s">
        <v>203</v>
      </c>
      <c r="D1928" t="s">
        <v>219</v>
      </c>
      <c r="E1928" t="s">
        <v>91</v>
      </c>
      <c r="F1928" s="1">
        <v>110</v>
      </c>
    </row>
    <row r="1929" spans="1:6" x14ac:dyDescent="0.3">
      <c r="A1929" t="str">
        <f>_xlfn.XLOOKUP(ColombiaClientes[[#This Row],[Client]],VpsClientes[Client],VpsClientes[VP],"",0)</f>
        <v>Martha Guzman Arango</v>
      </c>
      <c r="B1929" t="s">
        <v>183</v>
      </c>
      <c r="C1929" t="s">
        <v>203</v>
      </c>
      <c r="D1929" t="s">
        <v>219</v>
      </c>
      <c r="E1929" t="s">
        <v>91</v>
      </c>
      <c r="F1929" s="1">
        <v>88</v>
      </c>
    </row>
    <row r="1930" spans="1:6" x14ac:dyDescent="0.3">
      <c r="A1930" t="str">
        <f>_xlfn.XLOOKUP(ColombiaClientes[[#This Row],[Client]],VpsClientes[Client],VpsClientes[VP],"",0)</f>
        <v>Martha Guzman Arango</v>
      </c>
      <c r="B1930" t="s">
        <v>176</v>
      </c>
      <c r="C1930" t="s">
        <v>203</v>
      </c>
      <c r="D1930" t="s">
        <v>219</v>
      </c>
      <c r="E1930" t="s">
        <v>91</v>
      </c>
      <c r="F1930" s="1">
        <v>84</v>
      </c>
    </row>
    <row r="1931" spans="1:6" x14ac:dyDescent="0.3">
      <c r="A1931" t="str">
        <f>_xlfn.XLOOKUP(ColombiaClientes[[#This Row],[Client]],VpsClientes[Client],VpsClientes[VP],"",0)</f>
        <v>Carlos Beltran Hernandez</v>
      </c>
      <c r="B1931" t="s">
        <v>173</v>
      </c>
      <c r="C1931" t="s">
        <v>203</v>
      </c>
      <c r="D1931" t="s">
        <v>219</v>
      </c>
      <c r="E1931" t="s">
        <v>91</v>
      </c>
      <c r="F1931" s="1">
        <v>74</v>
      </c>
    </row>
    <row r="1932" spans="1:6" x14ac:dyDescent="0.3">
      <c r="A1932" t="str">
        <f>_xlfn.XLOOKUP(ColombiaClientes[[#This Row],[Client]],VpsClientes[Client],VpsClientes[VP],"",0)</f>
        <v>Carlos Beltran Hernandez</v>
      </c>
      <c r="B1932" t="s">
        <v>151</v>
      </c>
      <c r="C1932" t="s">
        <v>203</v>
      </c>
      <c r="D1932" t="s">
        <v>219</v>
      </c>
      <c r="E1932" t="s">
        <v>91</v>
      </c>
      <c r="F1932" s="1">
        <v>71</v>
      </c>
    </row>
    <row r="1933" spans="1:6" x14ac:dyDescent="0.3">
      <c r="A1933" t="str">
        <f>_xlfn.XLOOKUP(ColombiaClientes[[#This Row],[Client]],VpsClientes[Client],VpsClientes[VP],"",0)</f>
        <v>Martha Guzman Arango</v>
      </c>
      <c r="B1933" t="s">
        <v>171</v>
      </c>
      <c r="C1933" t="s">
        <v>203</v>
      </c>
      <c r="D1933" t="s">
        <v>219</v>
      </c>
      <c r="E1933" t="s">
        <v>91</v>
      </c>
      <c r="F1933" s="1">
        <v>70</v>
      </c>
    </row>
    <row r="1934" spans="1:6" x14ac:dyDescent="0.3">
      <c r="A1934" t="str">
        <f>_xlfn.XLOOKUP(ColombiaClientes[[#This Row],[Client]],VpsClientes[Client],VpsClientes[VP],"",0)</f>
        <v>Martha Guzman Arango</v>
      </c>
      <c r="B1934" t="s">
        <v>131</v>
      </c>
      <c r="C1934" t="s">
        <v>203</v>
      </c>
      <c r="D1934" t="s">
        <v>219</v>
      </c>
      <c r="E1934" t="s">
        <v>91</v>
      </c>
      <c r="F1934" s="1">
        <v>68</v>
      </c>
    </row>
    <row r="1935" spans="1:6" x14ac:dyDescent="0.3">
      <c r="A1935" t="str">
        <f>_xlfn.XLOOKUP(ColombiaClientes[[#This Row],[Client]],VpsClientes[Client],VpsClientes[VP],"",0)</f>
        <v>Hector Muraira Garza</v>
      </c>
      <c r="B1935" t="s">
        <v>178</v>
      </c>
      <c r="C1935" t="s">
        <v>194</v>
      </c>
      <c r="D1935" t="s">
        <v>90</v>
      </c>
      <c r="E1935" t="s">
        <v>206</v>
      </c>
      <c r="F1935" s="1">
        <v>160</v>
      </c>
    </row>
    <row r="1936" spans="1:6" x14ac:dyDescent="0.3">
      <c r="A1936" t="str">
        <f>_xlfn.XLOOKUP(ColombiaClientes[[#This Row],[Client]],VpsClientes[Client],VpsClientes[VP],"",0)</f>
        <v>Martha Guzman Arango</v>
      </c>
      <c r="B1936" t="s">
        <v>155</v>
      </c>
      <c r="C1936" t="s">
        <v>203</v>
      </c>
      <c r="D1936" t="s">
        <v>219</v>
      </c>
      <c r="E1936" t="s">
        <v>91</v>
      </c>
      <c r="F1936" s="1">
        <v>56</v>
      </c>
    </row>
    <row r="1937" spans="1:6" x14ac:dyDescent="0.3">
      <c r="A1937" t="str">
        <f>_xlfn.XLOOKUP(ColombiaClientes[[#This Row],[Client]],VpsClientes[Client],VpsClientes[VP],"",0)</f>
        <v>Moises Saavedra Garcia</v>
      </c>
      <c r="B1937" t="s">
        <v>190</v>
      </c>
      <c r="C1937" t="s">
        <v>203</v>
      </c>
      <c r="D1937" t="s">
        <v>219</v>
      </c>
      <c r="E1937" t="s">
        <v>91</v>
      </c>
      <c r="F1937" s="1">
        <v>56</v>
      </c>
    </row>
    <row r="1938" spans="1:6" x14ac:dyDescent="0.3">
      <c r="A1938" t="str">
        <f>_xlfn.XLOOKUP(ColombiaClientes[[#This Row],[Client]],VpsClientes[Client],VpsClientes[VP],"",0)</f>
        <v>Martha Guzman Arango</v>
      </c>
      <c r="B1938" t="s">
        <v>165</v>
      </c>
      <c r="C1938" t="s">
        <v>203</v>
      </c>
      <c r="D1938" t="s">
        <v>219</v>
      </c>
      <c r="E1938" t="s">
        <v>91</v>
      </c>
      <c r="F1938" s="1">
        <v>51</v>
      </c>
    </row>
    <row r="1939" spans="1:6" x14ac:dyDescent="0.3">
      <c r="A1939" t="str">
        <f>_xlfn.XLOOKUP(ColombiaClientes[[#This Row],[Client]],VpsClientes[Client],VpsClientes[VP],"",0)</f>
        <v>Maria Forero Jara</v>
      </c>
      <c r="B1939" t="s">
        <v>182</v>
      </c>
      <c r="C1939" t="s">
        <v>203</v>
      </c>
      <c r="D1939" t="s">
        <v>219</v>
      </c>
      <c r="E1939" t="s">
        <v>91</v>
      </c>
      <c r="F1939" s="1">
        <v>34</v>
      </c>
    </row>
    <row r="1940" spans="1:6" x14ac:dyDescent="0.3">
      <c r="A1940" t="str">
        <f>_xlfn.XLOOKUP(ColombiaClientes[[#This Row],[Client]],VpsClientes[Client],VpsClientes[VP],"",0)</f>
        <v>Martha Guzman Arango</v>
      </c>
      <c r="B1940" t="s">
        <v>169</v>
      </c>
      <c r="C1940" t="s">
        <v>203</v>
      </c>
      <c r="D1940" t="s">
        <v>219</v>
      </c>
      <c r="E1940" t="s">
        <v>91</v>
      </c>
      <c r="F1940" s="1">
        <v>28</v>
      </c>
    </row>
    <row r="1941" spans="1:6" x14ac:dyDescent="0.3">
      <c r="A1941" t="str">
        <f>_xlfn.XLOOKUP(ColombiaClientes[[#This Row],[Client]],VpsClientes[Client],VpsClientes[VP],"",0)</f>
        <v>Moises Saavedra Garcia</v>
      </c>
      <c r="B1941" t="s">
        <v>207</v>
      </c>
      <c r="C1941" t="s">
        <v>203</v>
      </c>
      <c r="D1941" t="s">
        <v>219</v>
      </c>
      <c r="E1941" t="s">
        <v>91</v>
      </c>
      <c r="F1941" s="1">
        <v>26</v>
      </c>
    </row>
    <row r="1942" spans="1:6" x14ac:dyDescent="0.3">
      <c r="A1942" t="str">
        <f>_xlfn.XLOOKUP(ColombiaClientes[[#This Row],[Client]],VpsClientes[Client],VpsClientes[VP],"",0)</f>
        <v>Moises Saavedra Garcia</v>
      </c>
      <c r="B1942" t="s">
        <v>187</v>
      </c>
      <c r="C1942" t="s">
        <v>203</v>
      </c>
      <c r="D1942" t="s">
        <v>219</v>
      </c>
      <c r="E1942" t="s">
        <v>91</v>
      </c>
      <c r="F1942" s="1">
        <v>26</v>
      </c>
    </row>
    <row r="1943" spans="1:6" x14ac:dyDescent="0.3">
      <c r="A1943" t="str">
        <f>_xlfn.XLOOKUP(ColombiaClientes[[#This Row],[Client]],VpsClientes[Client],VpsClientes[VP],"",0)</f>
        <v>Moises Saavedra Garcia</v>
      </c>
      <c r="B1943" t="s">
        <v>175</v>
      </c>
      <c r="C1943" t="s">
        <v>203</v>
      </c>
      <c r="D1943" t="s">
        <v>219</v>
      </c>
      <c r="E1943" t="s">
        <v>91</v>
      </c>
      <c r="F1943" s="1">
        <v>24</v>
      </c>
    </row>
    <row r="1944" spans="1:6" x14ac:dyDescent="0.3">
      <c r="A1944" t="str">
        <f>_xlfn.XLOOKUP(ColombiaClientes[[#This Row],[Client]],VpsClientes[Client],VpsClientes[VP],"",0)</f>
        <v>Hector Muraira Garza</v>
      </c>
      <c r="B1944" t="s">
        <v>178</v>
      </c>
      <c r="C1944" t="s">
        <v>202</v>
      </c>
      <c r="D1944" t="s">
        <v>90</v>
      </c>
      <c r="E1944" t="s">
        <v>206</v>
      </c>
      <c r="F1944" s="1">
        <v>157</v>
      </c>
    </row>
    <row r="1945" spans="1:6" x14ac:dyDescent="0.3">
      <c r="A1945" t="str">
        <f>_xlfn.XLOOKUP(ColombiaClientes[[#This Row],[Client]],VpsClientes[Client],VpsClientes[VP],"",0)</f>
        <v>Hector Muraira Garza</v>
      </c>
      <c r="B1945" t="s">
        <v>164</v>
      </c>
      <c r="C1945" t="s">
        <v>203</v>
      </c>
      <c r="D1945" t="s">
        <v>219</v>
      </c>
      <c r="E1945" t="s">
        <v>91</v>
      </c>
      <c r="F1945" s="1">
        <v>16</v>
      </c>
    </row>
    <row r="1946" spans="1:6" x14ac:dyDescent="0.3">
      <c r="A1946" t="str">
        <f>_xlfn.XLOOKUP(ColombiaClientes[[#This Row],[Client]],VpsClientes[Client],VpsClientes[VP],"",0)</f>
        <v>Martha Guzman Arango</v>
      </c>
      <c r="B1946" t="s">
        <v>186</v>
      </c>
      <c r="C1946" t="s">
        <v>203</v>
      </c>
      <c r="D1946" t="s">
        <v>219</v>
      </c>
      <c r="E1946" t="s">
        <v>91</v>
      </c>
      <c r="F1946" s="1">
        <v>10</v>
      </c>
    </row>
    <row r="1947" spans="1:6" x14ac:dyDescent="0.3">
      <c r="A1947" t="str">
        <f>_xlfn.XLOOKUP(ColombiaClientes[[#This Row],[Client]],VpsClientes[Client],VpsClientes[VP],"",0)</f>
        <v>Jhonatan Izquierdo Rico</v>
      </c>
      <c r="B1947" t="s">
        <v>200</v>
      </c>
      <c r="C1947" t="s">
        <v>203</v>
      </c>
      <c r="D1947" t="s">
        <v>219</v>
      </c>
      <c r="E1947" t="s">
        <v>91</v>
      </c>
      <c r="F1947" s="1">
        <v>6</v>
      </c>
    </row>
    <row r="1948" spans="1:6" x14ac:dyDescent="0.3">
      <c r="A1948" t="str">
        <f>_xlfn.XLOOKUP(ColombiaClientes[[#This Row],[Client]],VpsClientes[Client],VpsClientes[VP],"",0)</f>
        <v>Martha Guzman Arango</v>
      </c>
      <c r="B1948" t="s">
        <v>180</v>
      </c>
      <c r="C1948" t="s">
        <v>203</v>
      </c>
      <c r="D1948" t="s">
        <v>219</v>
      </c>
      <c r="E1948" t="s">
        <v>91</v>
      </c>
      <c r="F1948" s="1">
        <v>5</v>
      </c>
    </row>
    <row r="1949" spans="1:6" x14ac:dyDescent="0.3">
      <c r="A1949" t="str">
        <f>_xlfn.XLOOKUP(ColombiaClientes[[#This Row],[Client]],VpsClientes[Client],VpsClientes[VP],"",0)</f>
        <v>Hector Muraira Garza</v>
      </c>
      <c r="B1949" t="s">
        <v>167</v>
      </c>
      <c r="C1949" t="s">
        <v>203</v>
      </c>
      <c r="D1949" t="s">
        <v>219</v>
      </c>
      <c r="E1949" t="s">
        <v>91</v>
      </c>
      <c r="F1949" s="1">
        <v>4</v>
      </c>
    </row>
    <row r="1950" spans="1:6" x14ac:dyDescent="0.3">
      <c r="A1950" t="str">
        <f>_xlfn.XLOOKUP(ColombiaClientes[[#This Row],[Client]],VpsClientes[Client],VpsClientes[VP],"",0)</f>
        <v>Martha Guzman Arango</v>
      </c>
      <c r="B1950" t="s">
        <v>189</v>
      </c>
      <c r="C1950" t="s">
        <v>203</v>
      </c>
      <c r="D1950" t="s">
        <v>219</v>
      </c>
      <c r="E1950" t="s">
        <v>91</v>
      </c>
      <c r="F1950" s="1">
        <v>3</v>
      </c>
    </row>
    <row r="1951" spans="1:6" x14ac:dyDescent="0.3">
      <c r="A1951" t="str">
        <f>_xlfn.XLOOKUP(ColombiaClientes[[#This Row],[Client]],VpsClientes[Client],VpsClientes[VP],"",0)</f>
        <v>Martha Guzman Arango</v>
      </c>
      <c r="B1951" t="s">
        <v>188</v>
      </c>
      <c r="C1951" t="s">
        <v>203</v>
      </c>
      <c r="D1951" t="s">
        <v>219</v>
      </c>
      <c r="E1951" t="s">
        <v>91</v>
      </c>
      <c r="F1951" s="1">
        <v>2</v>
      </c>
    </row>
    <row r="1952" spans="1:6" x14ac:dyDescent="0.3">
      <c r="A1952" t="str">
        <f>_xlfn.XLOOKUP(ColombiaClientes[[#This Row],[Client]],VpsClientes[Client],VpsClientes[VP],"",0)</f>
        <v>Jhonatan Izquierdo Rico</v>
      </c>
      <c r="B1952" t="s">
        <v>159</v>
      </c>
      <c r="C1952" t="s">
        <v>203</v>
      </c>
      <c r="D1952" t="s">
        <v>219</v>
      </c>
      <c r="E1952" t="s">
        <v>91</v>
      </c>
      <c r="F1952" s="1">
        <v>0</v>
      </c>
    </row>
    <row r="1953" spans="1:6" x14ac:dyDescent="0.3">
      <c r="A1953" t="str">
        <f>_xlfn.XLOOKUP(ColombiaClientes[[#This Row],[Client]],VpsClientes[Client],VpsClientes[VP],"",0)</f>
        <v>Carlos Beltran Hernandez</v>
      </c>
      <c r="B1953" t="s">
        <v>93</v>
      </c>
      <c r="C1953" t="s">
        <v>205</v>
      </c>
      <c r="D1953" t="s">
        <v>219</v>
      </c>
      <c r="E1953" t="s">
        <v>91</v>
      </c>
      <c r="F1953" s="1">
        <v>24606</v>
      </c>
    </row>
    <row r="1954" spans="1:6" x14ac:dyDescent="0.3">
      <c r="A1954" t="str">
        <f>_xlfn.XLOOKUP(ColombiaClientes[[#This Row],[Client]],VpsClientes[Client],VpsClientes[VP],"",0)</f>
        <v>Carlos Beltran Hernandez</v>
      </c>
      <c r="B1954" t="s">
        <v>94</v>
      </c>
      <c r="C1954" t="s">
        <v>205</v>
      </c>
      <c r="D1954" t="s">
        <v>219</v>
      </c>
      <c r="E1954" t="s">
        <v>91</v>
      </c>
      <c r="F1954" s="1">
        <v>23023</v>
      </c>
    </row>
    <row r="1955" spans="1:6" x14ac:dyDescent="0.3">
      <c r="A1955" t="str">
        <f>_xlfn.XLOOKUP(ColombiaClientes[[#This Row],[Client]],VpsClientes[Client],VpsClientes[VP],"",0)</f>
        <v>Martha Guzman Arango</v>
      </c>
      <c r="B1955" t="s">
        <v>96</v>
      </c>
      <c r="C1955" t="s">
        <v>205</v>
      </c>
      <c r="D1955" t="s">
        <v>219</v>
      </c>
      <c r="E1955" t="s">
        <v>91</v>
      </c>
      <c r="F1955" s="1">
        <v>17622</v>
      </c>
    </row>
    <row r="1956" spans="1:6" x14ac:dyDescent="0.3">
      <c r="A1956" t="str">
        <f>_xlfn.XLOOKUP(ColombiaClientes[[#This Row],[Client]],VpsClientes[Client],VpsClientes[VP],"",0)</f>
        <v>Jhonatan Izquierdo Rico</v>
      </c>
      <c r="B1956" t="s">
        <v>104</v>
      </c>
      <c r="C1956" t="s">
        <v>205</v>
      </c>
      <c r="D1956" t="s">
        <v>219</v>
      </c>
      <c r="E1956" t="s">
        <v>91</v>
      </c>
      <c r="F1956" s="1">
        <v>17234</v>
      </c>
    </row>
    <row r="1957" spans="1:6" x14ac:dyDescent="0.3">
      <c r="A1957" t="str">
        <f>_xlfn.XLOOKUP(ColombiaClientes[[#This Row],[Client]],VpsClientes[Client],VpsClientes[VP],"",0)</f>
        <v>Carlos Castillo Figueroa</v>
      </c>
      <c r="B1957" t="s">
        <v>105</v>
      </c>
      <c r="C1957" t="s">
        <v>205</v>
      </c>
      <c r="D1957" t="s">
        <v>219</v>
      </c>
      <c r="E1957" t="s">
        <v>91</v>
      </c>
      <c r="F1957" s="1">
        <v>11095</v>
      </c>
    </row>
    <row r="1958" spans="1:6" x14ac:dyDescent="0.3">
      <c r="A1958" t="str">
        <f>_xlfn.XLOOKUP(ColombiaClientes[[#This Row],[Client]],VpsClientes[Client],VpsClientes[VP],"",0)</f>
        <v>Moises Saavedra Garcia</v>
      </c>
      <c r="B1958" t="s">
        <v>99</v>
      </c>
      <c r="C1958" t="s">
        <v>205</v>
      </c>
      <c r="D1958" t="s">
        <v>219</v>
      </c>
      <c r="E1958" t="s">
        <v>91</v>
      </c>
      <c r="F1958" s="1">
        <v>7890</v>
      </c>
    </row>
    <row r="1959" spans="1:6" x14ac:dyDescent="0.3">
      <c r="A1959" t="str">
        <f>_xlfn.XLOOKUP(ColombiaClientes[[#This Row],[Client]],VpsClientes[Client],VpsClientes[VP],"",0)</f>
        <v>Carlos Beltran Hernandez</v>
      </c>
      <c r="B1959" t="s">
        <v>102</v>
      </c>
      <c r="C1959" t="s">
        <v>205</v>
      </c>
      <c r="D1959" t="s">
        <v>219</v>
      </c>
      <c r="E1959" t="s">
        <v>91</v>
      </c>
      <c r="F1959" s="1">
        <v>6703</v>
      </c>
    </row>
    <row r="1960" spans="1:6" x14ac:dyDescent="0.3">
      <c r="A1960" t="str">
        <f>_xlfn.XLOOKUP(ColombiaClientes[[#This Row],[Client]],VpsClientes[Client],VpsClientes[VP],"",0)</f>
        <v>Martha Guzman Arango</v>
      </c>
      <c r="B1960" t="s">
        <v>98</v>
      </c>
      <c r="C1960" t="s">
        <v>205</v>
      </c>
      <c r="D1960" t="s">
        <v>219</v>
      </c>
      <c r="E1960" t="s">
        <v>91</v>
      </c>
      <c r="F1960" s="1">
        <v>6626</v>
      </c>
    </row>
    <row r="1961" spans="1:6" x14ac:dyDescent="0.3">
      <c r="A1961" t="str">
        <f>_xlfn.XLOOKUP(ColombiaClientes[[#This Row],[Client]],VpsClientes[Client],VpsClientes[VP],"",0)</f>
        <v>Jhonatan Izquierdo Rico</v>
      </c>
      <c r="B1961" t="s">
        <v>107</v>
      </c>
      <c r="C1961" t="s">
        <v>205</v>
      </c>
      <c r="D1961" t="s">
        <v>219</v>
      </c>
      <c r="E1961" t="s">
        <v>91</v>
      </c>
      <c r="F1961" s="1">
        <v>6275</v>
      </c>
    </row>
    <row r="1962" spans="1:6" x14ac:dyDescent="0.3">
      <c r="A1962" t="str">
        <f>_xlfn.XLOOKUP(ColombiaClientes[[#This Row],[Client]],VpsClientes[Client],VpsClientes[VP],"",0)</f>
        <v>Maria Forero Jara</v>
      </c>
      <c r="B1962" t="s">
        <v>101</v>
      </c>
      <c r="C1962" t="s">
        <v>205</v>
      </c>
      <c r="D1962" t="s">
        <v>219</v>
      </c>
      <c r="E1962" t="s">
        <v>91</v>
      </c>
      <c r="F1962" s="1">
        <v>5613</v>
      </c>
    </row>
    <row r="1963" spans="1:6" x14ac:dyDescent="0.3">
      <c r="A1963" t="str">
        <f>_xlfn.XLOOKUP(ColombiaClientes[[#This Row],[Client]],VpsClientes[Client],VpsClientes[VP],"",0)</f>
        <v>Ludy Torres Benitez</v>
      </c>
      <c r="B1963" t="s">
        <v>95</v>
      </c>
      <c r="C1963" t="s">
        <v>205</v>
      </c>
      <c r="D1963" t="s">
        <v>219</v>
      </c>
      <c r="E1963" t="s">
        <v>91</v>
      </c>
      <c r="F1963" s="1">
        <v>5596</v>
      </c>
    </row>
    <row r="1964" spans="1:6" x14ac:dyDescent="0.3">
      <c r="A1964" t="str">
        <f>_xlfn.XLOOKUP(ColombiaClientes[[#This Row],[Client]],VpsClientes[Client],VpsClientes[VP],"",0)</f>
        <v>Jhonatan Izquierdo Rico</v>
      </c>
      <c r="B1964" t="s">
        <v>112</v>
      </c>
      <c r="C1964" t="s">
        <v>205</v>
      </c>
      <c r="D1964" t="s">
        <v>219</v>
      </c>
      <c r="E1964" t="s">
        <v>91</v>
      </c>
      <c r="F1964" s="1">
        <v>5022</v>
      </c>
    </row>
    <row r="1965" spans="1:6" x14ac:dyDescent="0.3">
      <c r="A1965" t="str">
        <f>_xlfn.XLOOKUP(ColombiaClientes[[#This Row],[Client]],VpsClientes[Client],VpsClientes[VP],"",0)</f>
        <v>Maria Forero Jara</v>
      </c>
      <c r="B1965" t="s">
        <v>125</v>
      </c>
      <c r="C1965" t="s">
        <v>205</v>
      </c>
      <c r="D1965" t="s">
        <v>219</v>
      </c>
      <c r="E1965" t="s">
        <v>91</v>
      </c>
      <c r="F1965" s="1">
        <v>4613</v>
      </c>
    </row>
    <row r="1966" spans="1:6" x14ac:dyDescent="0.3">
      <c r="A1966" t="str">
        <f>_xlfn.XLOOKUP(ColombiaClientes[[#This Row],[Client]],VpsClientes[Client],VpsClientes[VP],"",0)</f>
        <v>Jhonatan Izquierdo Rico</v>
      </c>
      <c r="B1966" t="s">
        <v>128</v>
      </c>
      <c r="C1966" t="s">
        <v>205</v>
      </c>
      <c r="D1966" t="s">
        <v>219</v>
      </c>
      <c r="E1966" t="s">
        <v>91</v>
      </c>
      <c r="F1966" s="1">
        <v>4379</v>
      </c>
    </row>
    <row r="1967" spans="1:6" x14ac:dyDescent="0.3">
      <c r="A1967" t="str">
        <f>_xlfn.XLOOKUP(ColombiaClientes[[#This Row],[Client]],VpsClientes[Client],VpsClientes[VP],"",0)</f>
        <v>Martha Guzman Arango</v>
      </c>
      <c r="B1967" t="s">
        <v>103</v>
      </c>
      <c r="C1967" t="s">
        <v>205</v>
      </c>
      <c r="D1967" t="s">
        <v>219</v>
      </c>
      <c r="E1967" t="s">
        <v>91</v>
      </c>
      <c r="F1967" s="1">
        <v>3944</v>
      </c>
    </row>
    <row r="1968" spans="1:6" x14ac:dyDescent="0.3">
      <c r="A1968" t="str">
        <f>_xlfn.XLOOKUP(ColombiaClientes[[#This Row],[Client]],VpsClientes[Client],VpsClientes[VP],"",0)</f>
        <v>Maria Forero Jara</v>
      </c>
      <c r="B1968" t="s">
        <v>123</v>
      </c>
      <c r="C1968" t="s">
        <v>205</v>
      </c>
      <c r="D1968" t="s">
        <v>219</v>
      </c>
      <c r="E1968" t="s">
        <v>91</v>
      </c>
      <c r="F1968" s="1">
        <v>3815</v>
      </c>
    </row>
    <row r="1969" spans="1:6" x14ac:dyDescent="0.3">
      <c r="A1969" t="str">
        <f>_xlfn.XLOOKUP(ColombiaClientes[[#This Row],[Client]],VpsClientes[Client],VpsClientes[VP],"",0)</f>
        <v>Ernesto Rico Zuluaga</v>
      </c>
      <c r="B1969" t="s">
        <v>121</v>
      </c>
      <c r="C1969" t="s">
        <v>205</v>
      </c>
      <c r="D1969" t="s">
        <v>219</v>
      </c>
      <c r="E1969" t="s">
        <v>91</v>
      </c>
      <c r="F1969" s="1">
        <v>3535</v>
      </c>
    </row>
    <row r="1970" spans="1:6" x14ac:dyDescent="0.3">
      <c r="A1970" t="str">
        <f>_xlfn.XLOOKUP(ColombiaClientes[[#This Row],[Client]],VpsClientes[Client],VpsClientes[VP],"",0)</f>
        <v>Ernesto Rico Zuluaga</v>
      </c>
      <c r="B1970" t="s">
        <v>116</v>
      </c>
      <c r="C1970" t="s">
        <v>205</v>
      </c>
      <c r="D1970" t="s">
        <v>219</v>
      </c>
      <c r="E1970" t="s">
        <v>91</v>
      </c>
      <c r="F1970" s="1">
        <v>3503</v>
      </c>
    </row>
    <row r="1971" spans="1:6" x14ac:dyDescent="0.3">
      <c r="A1971" t="str">
        <f>_xlfn.XLOOKUP(ColombiaClientes[[#This Row],[Client]],VpsClientes[Client],VpsClientes[VP],"",0)</f>
        <v>Martha Guzman Arango</v>
      </c>
      <c r="B1971" t="s">
        <v>100</v>
      </c>
      <c r="C1971" t="s">
        <v>205</v>
      </c>
      <c r="D1971" t="s">
        <v>219</v>
      </c>
      <c r="E1971" t="s">
        <v>91</v>
      </c>
      <c r="F1971" s="1">
        <v>3318</v>
      </c>
    </row>
    <row r="1972" spans="1:6" x14ac:dyDescent="0.3">
      <c r="A1972" t="str">
        <f>_xlfn.XLOOKUP(ColombiaClientes[[#This Row],[Client]],VpsClientes[Client],VpsClientes[VP],"",0)</f>
        <v>System System</v>
      </c>
      <c r="B1972" t="s">
        <v>208</v>
      </c>
      <c r="C1972" t="s">
        <v>205</v>
      </c>
      <c r="D1972" t="s">
        <v>219</v>
      </c>
      <c r="E1972" t="s">
        <v>91</v>
      </c>
      <c r="F1972" s="1">
        <v>3228</v>
      </c>
    </row>
    <row r="1973" spans="1:6" x14ac:dyDescent="0.3">
      <c r="A1973" t="str">
        <f>_xlfn.XLOOKUP(ColombiaClientes[[#This Row],[Client]],VpsClientes[Client],VpsClientes[VP],"",0)</f>
        <v>Hector Muraira Garza</v>
      </c>
      <c r="B1973" t="s">
        <v>137</v>
      </c>
      <c r="C1973" t="s">
        <v>205</v>
      </c>
      <c r="D1973" t="s">
        <v>219</v>
      </c>
      <c r="E1973" t="s">
        <v>91</v>
      </c>
      <c r="F1973" s="1">
        <v>3218</v>
      </c>
    </row>
    <row r="1974" spans="1:6" x14ac:dyDescent="0.3">
      <c r="A1974" t="str">
        <f>_xlfn.XLOOKUP(ColombiaClientes[[#This Row],[Client]],VpsClientes[Client],VpsClientes[VP],"",0)</f>
        <v>Maria Forero Jara</v>
      </c>
      <c r="B1974" t="s">
        <v>108</v>
      </c>
      <c r="C1974" t="s">
        <v>205</v>
      </c>
      <c r="D1974" t="s">
        <v>219</v>
      </c>
      <c r="E1974" t="s">
        <v>91</v>
      </c>
      <c r="F1974" s="1">
        <v>2929</v>
      </c>
    </row>
    <row r="1975" spans="1:6" x14ac:dyDescent="0.3">
      <c r="A1975" t="str">
        <f>_xlfn.XLOOKUP(ColombiaClientes[[#This Row],[Client]],VpsClientes[Client],VpsClientes[VP],"",0)</f>
        <v>Martha Guzman Arango</v>
      </c>
      <c r="B1975" t="s">
        <v>109</v>
      </c>
      <c r="C1975" t="s">
        <v>205</v>
      </c>
      <c r="D1975" t="s">
        <v>219</v>
      </c>
      <c r="E1975" t="s">
        <v>91</v>
      </c>
      <c r="F1975" s="1">
        <v>2704</v>
      </c>
    </row>
    <row r="1976" spans="1:6" x14ac:dyDescent="0.3">
      <c r="A1976" t="str">
        <f>_xlfn.XLOOKUP(ColombiaClientes[[#This Row],[Client]],VpsClientes[Client],VpsClientes[VP],"",0)</f>
        <v>Moises Saavedra Garcia</v>
      </c>
      <c r="B1976" t="s">
        <v>120</v>
      </c>
      <c r="C1976" t="s">
        <v>205</v>
      </c>
      <c r="D1976" t="s">
        <v>219</v>
      </c>
      <c r="E1976" t="s">
        <v>91</v>
      </c>
      <c r="F1976" s="1">
        <v>2551</v>
      </c>
    </row>
    <row r="1977" spans="1:6" x14ac:dyDescent="0.3">
      <c r="A1977" t="str">
        <f>_xlfn.XLOOKUP(ColombiaClientes[[#This Row],[Client]],VpsClientes[Client],VpsClientes[VP],"",0)</f>
        <v>Martha Guzman Arango</v>
      </c>
      <c r="B1977" t="s">
        <v>122</v>
      </c>
      <c r="C1977" t="s">
        <v>205</v>
      </c>
      <c r="D1977" t="s">
        <v>219</v>
      </c>
      <c r="E1977" t="s">
        <v>91</v>
      </c>
      <c r="F1977" s="1">
        <v>2375</v>
      </c>
    </row>
    <row r="1978" spans="1:6" x14ac:dyDescent="0.3">
      <c r="A1978" t="str">
        <f>_xlfn.XLOOKUP(ColombiaClientes[[#This Row],[Client]],VpsClientes[Client],VpsClientes[VP],"",0)</f>
        <v>Sandra Romero Zuluaga</v>
      </c>
      <c r="B1978" t="s">
        <v>113</v>
      </c>
      <c r="C1978" t="s">
        <v>205</v>
      </c>
      <c r="D1978" t="s">
        <v>219</v>
      </c>
      <c r="E1978" t="s">
        <v>91</v>
      </c>
      <c r="F1978" s="1">
        <v>2167</v>
      </c>
    </row>
    <row r="1979" spans="1:6" x14ac:dyDescent="0.3">
      <c r="A1979" t="str">
        <f>_xlfn.XLOOKUP(ColombiaClientes[[#This Row],[Client]],VpsClientes[Client],VpsClientes[VP],"",0)</f>
        <v>Maria Forero Jara</v>
      </c>
      <c r="B1979" t="s">
        <v>106</v>
      </c>
      <c r="C1979" t="s">
        <v>205</v>
      </c>
      <c r="D1979" t="s">
        <v>219</v>
      </c>
      <c r="E1979" t="s">
        <v>91</v>
      </c>
      <c r="F1979" s="1">
        <v>2031</v>
      </c>
    </row>
    <row r="1980" spans="1:6" x14ac:dyDescent="0.3">
      <c r="A1980" t="str">
        <f>_xlfn.XLOOKUP(ColombiaClientes[[#This Row],[Client]],VpsClientes[Client],VpsClientes[VP],"",0)</f>
        <v>Carlos Beltran Hernandez</v>
      </c>
      <c r="B1980" t="s">
        <v>119</v>
      </c>
      <c r="C1980" t="s">
        <v>205</v>
      </c>
      <c r="D1980" t="s">
        <v>219</v>
      </c>
      <c r="E1980" t="s">
        <v>91</v>
      </c>
      <c r="F1980" s="1">
        <v>1966</v>
      </c>
    </row>
    <row r="1981" spans="1:6" x14ac:dyDescent="0.3">
      <c r="A1981" t="str">
        <f>_xlfn.XLOOKUP(ColombiaClientes[[#This Row],[Client]],VpsClientes[Client],VpsClientes[VP],"",0)</f>
        <v>Juan Granados Castillo</v>
      </c>
      <c r="B1981" t="s">
        <v>136</v>
      </c>
      <c r="C1981" t="s">
        <v>205</v>
      </c>
      <c r="D1981" t="s">
        <v>219</v>
      </c>
      <c r="E1981" t="s">
        <v>91</v>
      </c>
      <c r="F1981" s="1">
        <v>1859</v>
      </c>
    </row>
    <row r="1982" spans="1:6" x14ac:dyDescent="0.3">
      <c r="A1982" t="str">
        <f>_xlfn.XLOOKUP(ColombiaClientes[[#This Row],[Client]],VpsClientes[Client],VpsClientes[VP],"",0)</f>
        <v>Martha Guzman Arango</v>
      </c>
      <c r="B1982" t="s">
        <v>97</v>
      </c>
      <c r="C1982" t="s">
        <v>205</v>
      </c>
      <c r="D1982" t="s">
        <v>219</v>
      </c>
      <c r="E1982" t="s">
        <v>91</v>
      </c>
      <c r="F1982" s="1">
        <v>1663</v>
      </c>
    </row>
    <row r="1983" spans="1:6" x14ac:dyDescent="0.3">
      <c r="A1983" t="str">
        <f>_xlfn.XLOOKUP(ColombiaClientes[[#This Row],[Client]],VpsClientes[Client],VpsClientes[VP],"",0)</f>
        <v>Juan Granados Castillo</v>
      </c>
      <c r="B1983" t="s">
        <v>134</v>
      </c>
      <c r="C1983" t="s">
        <v>205</v>
      </c>
      <c r="D1983" t="s">
        <v>219</v>
      </c>
      <c r="E1983" t="s">
        <v>91</v>
      </c>
      <c r="F1983" s="1">
        <v>1632</v>
      </c>
    </row>
    <row r="1984" spans="1:6" x14ac:dyDescent="0.3">
      <c r="A1984" t="str">
        <f>_xlfn.XLOOKUP(ColombiaClientes[[#This Row],[Client]],VpsClientes[Client],VpsClientes[VP],"",0)</f>
        <v>Martha Guzman Arango</v>
      </c>
      <c r="B1984" t="s">
        <v>114</v>
      </c>
      <c r="C1984" t="s">
        <v>205</v>
      </c>
      <c r="D1984" t="s">
        <v>219</v>
      </c>
      <c r="E1984" t="s">
        <v>91</v>
      </c>
      <c r="F1984" s="1">
        <v>1384</v>
      </c>
    </row>
    <row r="1985" spans="1:6" x14ac:dyDescent="0.3">
      <c r="A1985" t="str">
        <f>_xlfn.XLOOKUP(ColombiaClientes[[#This Row],[Client]],VpsClientes[Client],VpsClientes[VP],"",0)</f>
        <v>Moises Saavedra Garcia</v>
      </c>
      <c r="B1985" t="s">
        <v>115</v>
      </c>
      <c r="C1985" t="s">
        <v>205</v>
      </c>
      <c r="D1985" t="s">
        <v>219</v>
      </c>
      <c r="E1985" t="s">
        <v>91</v>
      </c>
      <c r="F1985" s="1">
        <v>1350</v>
      </c>
    </row>
    <row r="1986" spans="1:6" x14ac:dyDescent="0.3">
      <c r="A1986" t="str">
        <f>_xlfn.XLOOKUP(ColombiaClientes[[#This Row],[Client]],VpsClientes[Client],VpsClientes[VP],"",0)</f>
        <v>Jhonatan Izquierdo Rico</v>
      </c>
      <c r="B1986" t="s">
        <v>126</v>
      </c>
      <c r="C1986" t="s">
        <v>205</v>
      </c>
      <c r="D1986" t="s">
        <v>219</v>
      </c>
      <c r="E1986" t="s">
        <v>91</v>
      </c>
      <c r="F1986" s="1">
        <v>1341</v>
      </c>
    </row>
    <row r="1987" spans="1:6" x14ac:dyDescent="0.3">
      <c r="A1987" t="str">
        <f>_xlfn.XLOOKUP(ColombiaClientes[[#This Row],[Client]],VpsClientes[Client],VpsClientes[VP],"",0)</f>
        <v>Moises Saavedra Garcia</v>
      </c>
      <c r="B1987" t="s">
        <v>110</v>
      </c>
      <c r="C1987" t="s">
        <v>205</v>
      </c>
      <c r="D1987" t="s">
        <v>219</v>
      </c>
      <c r="E1987" t="s">
        <v>91</v>
      </c>
      <c r="F1987" s="1">
        <v>1317</v>
      </c>
    </row>
    <row r="1988" spans="1:6" x14ac:dyDescent="0.3">
      <c r="A1988" t="str">
        <f>_xlfn.XLOOKUP(ColombiaClientes[[#This Row],[Client]],VpsClientes[Client],VpsClientes[VP],"",0)</f>
        <v>Hector Muraira Garza</v>
      </c>
      <c r="B1988" t="s">
        <v>130</v>
      </c>
      <c r="C1988" t="s">
        <v>205</v>
      </c>
      <c r="D1988" t="s">
        <v>219</v>
      </c>
      <c r="E1988" t="s">
        <v>91</v>
      </c>
      <c r="F1988" s="1">
        <v>1233</v>
      </c>
    </row>
    <row r="1989" spans="1:6" x14ac:dyDescent="0.3">
      <c r="A1989" t="str">
        <f>_xlfn.XLOOKUP(ColombiaClientes[[#This Row],[Client]],VpsClientes[Client],VpsClientes[VP],"",0)</f>
        <v>Jhonatan Izquierdo Rico</v>
      </c>
      <c r="B1989" t="s">
        <v>117</v>
      </c>
      <c r="C1989" t="s">
        <v>205</v>
      </c>
      <c r="D1989" t="s">
        <v>219</v>
      </c>
      <c r="E1989" t="s">
        <v>91</v>
      </c>
      <c r="F1989" s="1">
        <v>1215</v>
      </c>
    </row>
    <row r="1990" spans="1:6" x14ac:dyDescent="0.3">
      <c r="A1990" t="str">
        <f>_xlfn.XLOOKUP(ColombiaClientes[[#This Row],[Client]],VpsClientes[Client],VpsClientes[VP],"",0)</f>
        <v>Jhonatan Izquierdo Rico</v>
      </c>
      <c r="B1990" t="s">
        <v>138</v>
      </c>
      <c r="C1990" t="s">
        <v>205</v>
      </c>
      <c r="D1990" t="s">
        <v>219</v>
      </c>
      <c r="E1990" t="s">
        <v>91</v>
      </c>
      <c r="F1990" s="1">
        <v>1034</v>
      </c>
    </row>
    <row r="1991" spans="1:6" x14ac:dyDescent="0.3">
      <c r="A1991" t="str">
        <f>_xlfn.XLOOKUP(ColombiaClientes[[#This Row],[Client]],VpsClientes[Client],VpsClientes[VP],"",0)</f>
        <v>Martha Guzman Arango</v>
      </c>
      <c r="B1991" t="s">
        <v>118</v>
      </c>
      <c r="C1991" t="s">
        <v>205</v>
      </c>
      <c r="D1991" t="s">
        <v>219</v>
      </c>
      <c r="E1991" t="s">
        <v>91</v>
      </c>
      <c r="F1991" s="1">
        <v>999</v>
      </c>
    </row>
    <row r="1992" spans="1:6" x14ac:dyDescent="0.3">
      <c r="A1992" t="str">
        <f>_xlfn.XLOOKUP(ColombiaClientes[[#This Row],[Client]],VpsClientes[Client],VpsClientes[VP],"",0)</f>
        <v>Moises Saavedra Garcia</v>
      </c>
      <c r="B1992" t="s">
        <v>150</v>
      </c>
      <c r="C1992" t="s">
        <v>205</v>
      </c>
      <c r="D1992" t="s">
        <v>219</v>
      </c>
      <c r="E1992" t="s">
        <v>91</v>
      </c>
      <c r="F1992" s="1">
        <v>975</v>
      </c>
    </row>
    <row r="1993" spans="1:6" x14ac:dyDescent="0.3">
      <c r="A1993" t="str">
        <f>_xlfn.XLOOKUP(ColombiaClientes[[#This Row],[Client]],VpsClientes[Client],VpsClientes[VP],"",0)</f>
        <v>Maria Forero Jara</v>
      </c>
      <c r="B1993" t="s">
        <v>139</v>
      </c>
      <c r="C1993" t="s">
        <v>205</v>
      </c>
      <c r="D1993" t="s">
        <v>219</v>
      </c>
      <c r="E1993" t="s">
        <v>91</v>
      </c>
      <c r="F1993" s="1">
        <v>921</v>
      </c>
    </row>
    <row r="1994" spans="1:6" x14ac:dyDescent="0.3">
      <c r="A1994" t="str">
        <f>_xlfn.XLOOKUP(ColombiaClientes[[#This Row],[Client]],VpsClientes[Client],VpsClientes[VP],"",0)</f>
        <v>Martha Guzman Arango</v>
      </c>
      <c r="B1994" t="s">
        <v>135</v>
      </c>
      <c r="C1994" t="s">
        <v>205</v>
      </c>
      <c r="D1994" t="s">
        <v>219</v>
      </c>
      <c r="E1994" t="s">
        <v>91</v>
      </c>
      <c r="F1994" s="1">
        <v>901</v>
      </c>
    </row>
    <row r="1995" spans="1:6" x14ac:dyDescent="0.3">
      <c r="A1995" t="str">
        <f>_xlfn.XLOOKUP(ColombiaClientes[[#This Row],[Client]],VpsClientes[Client],VpsClientes[VP],"",0)</f>
        <v>Martha Guzman Arango</v>
      </c>
      <c r="B1995" t="s">
        <v>152</v>
      </c>
      <c r="C1995" t="s">
        <v>205</v>
      </c>
      <c r="D1995" t="s">
        <v>219</v>
      </c>
      <c r="E1995" t="s">
        <v>91</v>
      </c>
      <c r="F1995" s="1">
        <v>749</v>
      </c>
    </row>
    <row r="1996" spans="1:6" x14ac:dyDescent="0.3">
      <c r="A1996" t="str">
        <f>_xlfn.XLOOKUP(ColombiaClientes[[#This Row],[Client]],VpsClientes[Client],VpsClientes[VP],"",0)</f>
        <v>Maria Forero Jara</v>
      </c>
      <c r="B1996" t="s">
        <v>111</v>
      </c>
      <c r="C1996" t="s">
        <v>205</v>
      </c>
      <c r="D1996" t="s">
        <v>219</v>
      </c>
      <c r="E1996" t="s">
        <v>91</v>
      </c>
      <c r="F1996" s="1">
        <v>602</v>
      </c>
    </row>
    <row r="1997" spans="1:6" x14ac:dyDescent="0.3">
      <c r="A1997" t="str">
        <f>_xlfn.XLOOKUP(ColombiaClientes[[#This Row],[Client]],VpsClientes[Client],VpsClientes[VP],"",0)</f>
        <v>Hector Muraira Garza</v>
      </c>
      <c r="B1997" t="s">
        <v>154</v>
      </c>
      <c r="C1997" t="s">
        <v>205</v>
      </c>
      <c r="D1997" t="s">
        <v>219</v>
      </c>
      <c r="E1997" t="s">
        <v>91</v>
      </c>
      <c r="F1997" s="1">
        <v>577</v>
      </c>
    </row>
    <row r="1998" spans="1:6" x14ac:dyDescent="0.3">
      <c r="A1998" t="str">
        <f>_xlfn.XLOOKUP(ColombiaClientes[[#This Row],[Client]],VpsClientes[Client],VpsClientes[VP],"",0)</f>
        <v>Martha Guzman Arango</v>
      </c>
      <c r="B1998" t="s">
        <v>153</v>
      </c>
      <c r="C1998" t="s">
        <v>205</v>
      </c>
      <c r="D1998" t="s">
        <v>219</v>
      </c>
      <c r="E1998" t="s">
        <v>91</v>
      </c>
      <c r="F1998" s="1">
        <v>523</v>
      </c>
    </row>
    <row r="1999" spans="1:6" x14ac:dyDescent="0.3">
      <c r="A1999" t="str">
        <f>_xlfn.XLOOKUP(ColombiaClientes[[#This Row],[Client]],VpsClientes[Client],VpsClientes[VP],"",0)</f>
        <v>Martha Guzman Arango</v>
      </c>
      <c r="B1999" t="s">
        <v>156</v>
      </c>
      <c r="C1999" t="s">
        <v>205</v>
      </c>
      <c r="D1999" t="s">
        <v>219</v>
      </c>
      <c r="E1999" t="s">
        <v>91</v>
      </c>
      <c r="F1999" s="1">
        <v>513</v>
      </c>
    </row>
    <row r="2000" spans="1:6" x14ac:dyDescent="0.3">
      <c r="A2000" t="str">
        <f>_xlfn.XLOOKUP(ColombiaClientes[[#This Row],[Client]],VpsClientes[Client],VpsClientes[VP],"",0)</f>
        <v>Hector Muraira Garza</v>
      </c>
      <c r="B2000" t="s">
        <v>140</v>
      </c>
      <c r="C2000" t="s">
        <v>205</v>
      </c>
      <c r="D2000" t="s">
        <v>219</v>
      </c>
      <c r="E2000" t="s">
        <v>91</v>
      </c>
      <c r="F2000" s="1">
        <v>450</v>
      </c>
    </row>
    <row r="2001" spans="1:6" x14ac:dyDescent="0.3">
      <c r="A2001" t="str">
        <f>_xlfn.XLOOKUP(ColombiaClientes[[#This Row],[Client]],VpsClientes[Client],VpsClientes[VP],"",0)</f>
        <v>Martha Guzman Arango</v>
      </c>
      <c r="B2001" t="s">
        <v>124</v>
      </c>
      <c r="C2001" t="s">
        <v>205</v>
      </c>
      <c r="D2001" t="s">
        <v>219</v>
      </c>
      <c r="E2001" t="s">
        <v>91</v>
      </c>
      <c r="F2001" s="1">
        <v>419</v>
      </c>
    </row>
    <row r="2002" spans="1:6" x14ac:dyDescent="0.3">
      <c r="A2002" t="str">
        <f>_xlfn.XLOOKUP(ColombiaClientes[[#This Row],[Client]],VpsClientes[Client],VpsClientes[VP],"",0)</f>
        <v>Martha Guzman Arango</v>
      </c>
      <c r="B2002" t="s">
        <v>146</v>
      </c>
      <c r="C2002" t="s">
        <v>205</v>
      </c>
      <c r="D2002" t="s">
        <v>219</v>
      </c>
      <c r="E2002" t="s">
        <v>91</v>
      </c>
      <c r="F2002" s="1">
        <v>369</v>
      </c>
    </row>
    <row r="2003" spans="1:6" x14ac:dyDescent="0.3">
      <c r="A2003" t="str">
        <f>_xlfn.XLOOKUP(ColombiaClientes[[#This Row],[Client]],VpsClientes[Client],VpsClientes[VP],"",0)</f>
        <v>Jhonatan Izquierdo Rico</v>
      </c>
      <c r="B2003" t="s">
        <v>157</v>
      </c>
      <c r="C2003" t="s">
        <v>205</v>
      </c>
      <c r="D2003" t="s">
        <v>219</v>
      </c>
      <c r="E2003" t="s">
        <v>91</v>
      </c>
      <c r="F2003" s="1">
        <v>336</v>
      </c>
    </row>
    <row r="2004" spans="1:6" x14ac:dyDescent="0.3">
      <c r="A2004" t="str">
        <f>_xlfn.XLOOKUP(ColombiaClientes[[#This Row],[Client]],VpsClientes[Client],VpsClientes[VP],"",0)</f>
        <v>Martha Guzman Arango</v>
      </c>
      <c r="B2004" t="s">
        <v>199</v>
      </c>
      <c r="C2004" t="s">
        <v>205</v>
      </c>
      <c r="D2004" t="s">
        <v>219</v>
      </c>
      <c r="E2004" t="s">
        <v>91</v>
      </c>
      <c r="F2004" s="1">
        <v>329</v>
      </c>
    </row>
    <row r="2005" spans="1:6" x14ac:dyDescent="0.3">
      <c r="A2005" t="str">
        <f>_xlfn.XLOOKUP(ColombiaClientes[[#This Row],[Client]],VpsClientes[Client],VpsClientes[VP],"",0)</f>
        <v>Martha Guzman Arango</v>
      </c>
      <c r="B2005" t="s">
        <v>145</v>
      </c>
      <c r="C2005" t="s">
        <v>205</v>
      </c>
      <c r="D2005" t="s">
        <v>219</v>
      </c>
      <c r="E2005" t="s">
        <v>91</v>
      </c>
      <c r="F2005" s="1">
        <v>326</v>
      </c>
    </row>
    <row r="2006" spans="1:6" x14ac:dyDescent="0.3">
      <c r="A2006" t="str">
        <f>_xlfn.XLOOKUP(ColombiaClientes[[#This Row],[Client]],VpsClientes[Client],VpsClientes[VP],"",0)</f>
        <v>Martha Guzman Arango</v>
      </c>
      <c r="B2006" t="s">
        <v>166</v>
      </c>
      <c r="C2006" t="s">
        <v>205</v>
      </c>
      <c r="D2006" t="s">
        <v>219</v>
      </c>
      <c r="E2006" t="s">
        <v>91</v>
      </c>
      <c r="F2006" s="1">
        <v>325</v>
      </c>
    </row>
    <row r="2007" spans="1:6" x14ac:dyDescent="0.3">
      <c r="A2007" t="str">
        <f>_xlfn.XLOOKUP(ColombiaClientes[[#This Row],[Client]],VpsClientes[Client],VpsClientes[VP],"",0)</f>
        <v>Jhonatan Izquierdo Rico</v>
      </c>
      <c r="B2007" t="s">
        <v>129</v>
      </c>
      <c r="C2007" t="s">
        <v>205</v>
      </c>
      <c r="D2007" t="s">
        <v>219</v>
      </c>
      <c r="E2007" t="s">
        <v>91</v>
      </c>
      <c r="F2007" s="1">
        <v>325</v>
      </c>
    </row>
    <row r="2008" spans="1:6" x14ac:dyDescent="0.3">
      <c r="A2008" t="str">
        <f>_xlfn.XLOOKUP(ColombiaClientes[[#This Row],[Client]],VpsClientes[Client],VpsClientes[VP],"",0)</f>
        <v>Martha Guzman Arango</v>
      </c>
      <c r="B2008" t="s">
        <v>162</v>
      </c>
      <c r="C2008" t="s">
        <v>205</v>
      </c>
      <c r="D2008" t="s">
        <v>219</v>
      </c>
      <c r="E2008" t="s">
        <v>91</v>
      </c>
      <c r="F2008" s="1">
        <v>313</v>
      </c>
    </row>
    <row r="2009" spans="1:6" x14ac:dyDescent="0.3">
      <c r="A2009" t="str">
        <f>_xlfn.XLOOKUP(ColombiaClientes[[#This Row],[Client]],VpsClientes[Client],VpsClientes[VP],"",0)</f>
        <v>Martha Guzman Arango</v>
      </c>
      <c r="B2009" t="s">
        <v>143</v>
      </c>
      <c r="C2009" t="s">
        <v>205</v>
      </c>
      <c r="D2009" t="s">
        <v>219</v>
      </c>
      <c r="E2009" t="s">
        <v>91</v>
      </c>
      <c r="F2009" s="1">
        <v>238</v>
      </c>
    </row>
    <row r="2010" spans="1:6" x14ac:dyDescent="0.3">
      <c r="A2010" t="str">
        <f>_xlfn.XLOOKUP(ColombiaClientes[[#This Row],[Client]],VpsClientes[Client],VpsClientes[VP],"",0)</f>
        <v>Maria Forero Jara</v>
      </c>
      <c r="B2010" t="s">
        <v>163</v>
      </c>
      <c r="C2010" t="s">
        <v>205</v>
      </c>
      <c r="D2010" t="s">
        <v>219</v>
      </c>
      <c r="E2010" t="s">
        <v>91</v>
      </c>
      <c r="F2010" s="1">
        <v>234</v>
      </c>
    </row>
    <row r="2011" spans="1:6" x14ac:dyDescent="0.3">
      <c r="A2011" t="str">
        <f>_xlfn.XLOOKUP(ColombiaClientes[[#This Row],[Client]],VpsClientes[Client],VpsClientes[VP],"",0)</f>
        <v>Maria Forero Jara</v>
      </c>
      <c r="B2011" t="s">
        <v>198</v>
      </c>
      <c r="C2011" t="s">
        <v>205</v>
      </c>
      <c r="D2011" t="s">
        <v>219</v>
      </c>
      <c r="E2011" t="s">
        <v>91</v>
      </c>
      <c r="F2011" s="1">
        <v>207</v>
      </c>
    </row>
    <row r="2012" spans="1:6" x14ac:dyDescent="0.3">
      <c r="A2012" t="str">
        <f>_xlfn.XLOOKUP(ColombiaClientes[[#This Row],[Client]],VpsClientes[Client],VpsClientes[VP],"",0)</f>
        <v>Martha Guzman Arango</v>
      </c>
      <c r="B2012" t="s">
        <v>185</v>
      </c>
      <c r="C2012" t="s">
        <v>205</v>
      </c>
      <c r="D2012" t="s">
        <v>219</v>
      </c>
      <c r="E2012" t="s">
        <v>91</v>
      </c>
      <c r="F2012" s="1">
        <v>204</v>
      </c>
    </row>
    <row r="2013" spans="1:6" x14ac:dyDescent="0.3">
      <c r="A2013" t="str">
        <f>_xlfn.XLOOKUP(ColombiaClientes[[#This Row],[Client]],VpsClientes[Client],VpsClientes[VP],"",0)</f>
        <v>Martha Guzman Arango</v>
      </c>
      <c r="B2013" t="s">
        <v>148</v>
      </c>
      <c r="C2013" t="s">
        <v>205</v>
      </c>
      <c r="D2013" t="s">
        <v>219</v>
      </c>
      <c r="E2013" t="s">
        <v>91</v>
      </c>
      <c r="F2013" s="1">
        <v>202</v>
      </c>
    </row>
    <row r="2014" spans="1:6" x14ac:dyDescent="0.3">
      <c r="A2014" t="str">
        <f>_xlfn.XLOOKUP(ColombiaClientes[[#This Row],[Client]],VpsClientes[Client],VpsClientes[VP],"",0)</f>
        <v>Maria Forero Jara</v>
      </c>
      <c r="B2014" t="s">
        <v>179</v>
      </c>
      <c r="C2014" t="s">
        <v>205</v>
      </c>
      <c r="D2014" t="s">
        <v>219</v>
      </c>
      <c r="E2014" t="s">
        <v>91</v>
      </c>
      <c r="F2014" s="1">
        <v>190</v>
      </c>
    </row>
    <row r="2015" spans="1:6" x14ac:dyDescent="0.3">
      <c r="A2015" t="str">
        <f>_xlfn.XLOOKUP(ColombiaClientes[[#This Row],[Client]],VpsClientes[Client],VpsClientes[VP],"",0)</f>
        <v>Martha Guzman Arango</v>
      </c>
      <c r="B2015" t="s">
        <v>168</v>
      </c>
      <c r="C2015" t="s">
        <v>205</v>
      </c>
      <c r="D2015" t="s">
        <v>219</v>
      </c>
      <c r="E2015" t="s">
        <v>91</v>
      </c>
      <c r="F2015" s="1">
        <v>182</v>
      </c>
    </row>
    <row r="2016" spans="1:6" x14ac:dyDescent="0.3">
      <c r="A2016" t="str">
        <f>_xlfn.XLOOKUP(ColombiaClientes[[#This Row],[Client]],VpsClientes[Client],VpsClientes[VP],"",0)</f>
        <v>Juan Granados Castillo</v>
      </c>
      <c r="B2016" t="s">
        <v>142</v>
      </c>
      <c r="C2016" t="s">
        <v>205</v>
      </c>
      <c r="D2016" t="s">
        <v>219</v>
      </c>
      <c r="E2016" t="s">
        <v>91</v>
      </c>
      <c r="F2016" s="1">
        <v>176</v>
      </c>
    </row>
    <row r="2017" spans="1:6" x14ac:dyDescent="0.3">
      <c r="A2017" t="str">
        <f>_xlfn.XLOOKUP(ColombiaClientes[[#This Row],[Client]],VpsClientes[Client],VpsClientes[VP],"",0)</f>
        <v>Moises Saavedra Garcia</v>
      </c>
      <c r="B2017" t="s">
        <v>172</v>
      </c>
      <c r="C2017" t="s">
        <v>205</v>
      </c>
      <c r="D2017" t="s">
        <v>219</v>
      </c>
      <c r="E2017" t="s">
        <v>91</v>
      </c>
      <c r="F2017" s="1">
        <v>144</v>
      </c>
    </row>
    <row r="2018" spans="1:6" x14ac:dyDescent="0.3">
      <c r="A2018" t="str">
        <f>_xlfn.XLOOKUP(ColombiaClientes[[#This Row],[Client]],VpsClientes[Client],VpsClientes[VP],"",0)</f>
        <v>Jhonatan Izquierdo Rico</v>
      </c>
      <c r="B2018" t="s">
        <v>196</v>
      </c>
      <c r="C2018" t="s">
        <v>205</v>
      </c>
      <c r="D2018" t="s">
        <v>219</v>
      </c>
      <c r="E2018" t="s">
        <v>91</v>
      </c>
      <c r="F2018" s="1">
        <v>141</v>
      </c>
    </row>
    <row r="2019" spans="1:6" x14ac:dyDescent="0.3">
      <c r="A2019" t="str">
        <f>_xlfn.XLOOKUP(ColombiaClientes[[#This Row],[Client]],VpsClientes[Client],VpsClientes[VP],"",0)</f>
        <v>Hector Muraira Garza</v>
      </c>
      <c r="B2019" t="s">
        <v>178</v>
      </c>
      <c r="C2019" t="s">
        <v>203</v>
      </c>
      <c r="D2019" t="s">
        <v>90</v>
      </c>
      <c r="E2019" t="s">
        <v>206</v>
      </c>
      <c r="F2019" s="1">
        <v>14</v>
      </c>
    </row>
    <row r="2020" spans="1:6" x14ac:dyDescent="0.3">
      <c r="A2020" t="str">
        <f>_xlfn.XLOOKUP(ColombiaClientes[[#This Row],[Client]],VpsClientes[Client],VpsClientes[VP],"",0)</f>
        <v>Maria Forero Jara</v>
      </c>
      <c r="B2020" t="s">
        <v>161</v>
      </c>
      <c r="C2020" t="s">
        <v>205</v>
      </c>
      <c r="D2020" t="s">
        <v>219</v>
      </c>
      <c r="E2020" t="s">
        <v>91</v>
      </c>
      <c r="F2020" s="1">
        <v>131</v>
      </c>
    </row>
    <row r="2021" spans="1:6" x14ac:dyDescent="0.3">
      <c r="A2021" t="str">
        <f>_xlfn.XLOOKUP(ColombiaClientes[[#This Row],[Client]],VpsClientes[Client],VpsClientes[VP],"",0)</f>
        <v>Martha Guzman Arango</v>
      </c>
      <c r="B2021" t="s">
        <v>174</v>
      </c>
      <c r="C2021" t="s">
        <v>205</v>
      </c>
      <c r="D2021" t="s">
        <v>219</v>
      </c>
      <c r="E2021" t="s">
        <v>91</v>
      </c>
      <c r="F2021" s="1">
        <v>122</v>
      </c>
    </row>
    <row r="2022" spans="1:6" x14ac:dyDescent="0.3">
      <c r="A2022" t="str">
        <f>_xlfn.XLOOKUP(ColombiaClientes[[#This Row],[Client]],VpsClientes[Client],VpsClientes[VP],"",0)</f>
        <v>Maria Forero Jara</v>
      </c>
      <c r="B2022" t="s">
        <v>144</v>
      </c>
      <c r="C2022" t="s">
        <v>205</v>
      </c>
      <c r="D2022" t="s">
        <v>219</v>
      </c>
      <c r="E2022" t="s">
        <v>91</v>
      </c>
      <c r="F2022" s="1">
        <v>118</v>
      </c>
    </row>
    <row r="2023" spans="1:6" x14ac:dyDescent="0.3">
      <c r="A2023" t="str">
        <f>_xlfn.XLOOKUP(ColombiaClientes[[#This Row],[Client]],VpsClientes[Client],VpsClientes[VP],"",0)</f>
        <v>Martha Guzman Arango</v>
      </c>
      <c r="B2023" t="s">
        <v>170</v>
      </c>
      <c r="C2023" t="s">
        <v>205</v>
      </c>
      <c r="D2023" t="s">
        <v>219</v>
      </c>
      <c r="E2023" t="s">
        <v>91</v>
      </c>
      <c r="F2023" s="1">
        <v>118</v>
      </c>
    </row>
    <row r="2024" spans="1:6" x14ac:dyDescent="0.3">
      <c r="A2024" t="str">
        <f>_xlfn.XLOOKUP(ColombiaClientes[[#This Row],[Client]],VpsClientes[Client],VpsClientes[VP],"",0)</f>
        <v>Carlos Beltran Hernandez</v>
      </c>
      <c r="B2024" t="s">
        <v>158</v>
      </c>
      <c r="C2024" t="s">
        <v>205</v>
      </c>
      <c r="D2024" t="s">
        <v>219</v>
      </c>
      <c r="E2024" t="s">
        <v>91</v>
      </c>
      <c r="F2024" s="1">
        <v>118</v>
      </c>
    </row>
    <row r="2025" spans="1:6" x14ac:dyDescent="0.3">
      <c r="A2025" t="str">
        <f>_xlfn.XLOOKUP(ColombiaClientes[[#This Row],[Client]],VpsClientes[Client],VpsClientes[VP],"",0)</f>
        <v>Hector Muraira Garza</v>
      </c>
      <c r="B2025" t="s">
        <v>132</v>
      </c>
      <c r="C2025" t="s">
        <v>205</v>
      </c>
      <c r="D2025" t="s">
        <v>219</v>
      </c>
      <c r="E2025" t="s">
        <v>91</v>
      </c>
      <c r="F2025" s="1">
        <v>116</v>
      </c>
    </row>
    <row r="2026" spans="1:6" x14ac:dyDescent="0.3">
      <c r="A2026" t="str">
        <f>_xlfn.XLOOKUP(ColombiaClientes[[#This Row],[Client]],VpsClientes[Client],VpsClientes[VP],"",0)</f>
        <v>Jhonatan Izquierdo Rico</v>
      </c>
      <c r="B2026" t="s">
        <v>197</v>
      </c>
      <c r="C2026" t="s">
        <v>205</v>
      </c>
      <c r="D2026" t="s">
        <v>219</v>
      </c>
      <c r="E2026" t="s">
        <v>91</v>
      </c>
      <c r="F2026" s="1">
        <v>111</v>
      </c>
    </row>
    <row r="2027" spans="1:6" x14ac:dyDescent="0.3">
      <c r="A2027" t="str">
        <f>_xlfn.XLOOKUP(ColombiaClientes[[#This Row],[Client]],VpsClientes[Client],VpsClientes[VP],"",0)</f>
        <v>Juan Granados Castillo</v>
      </c>
      <c r="B2027" t="s">
        <v>149</v>
      </c>
      <c r="C2027" t="s">
        <v>205</v>
      </c>
      <c r="D2027" t="s">
        <v>219</v>
      </c>
      <c r="E2027" t="s">
        <v>91</v>
      </c>
      <c r="F2027" s="1">
        <v>110</v>
      </c>
    </row>
    <row r="2028" spans="1:6" x14ac:dyDescent="0.3">
      <c r="A2028" t="str">
        <f>_xlfn.XLOOKUP(ColombiaClientes[[#This Row],[Client]],VpsClientes[Client],VpsClientes[VP],"",0)</f>
        <v>Martha Guzman Arango</v>
      </c>
      <c r="B2028" t="s">
        <v>183</v>
      </c>
      <c r="C2028" t="s">
        <v>205</v>
      </c>
      <c r="D2028" t="s">
        <v>219</v>
      </c>
      <c r="E2028" t="s">
        <v>91</v>
      </c>
      <c r="F2028" s="1">
        <v>88</v>
      </c>
    </row>
    <row r="2029" spans="1:6" x14ac:dyDescent="0.3">
      <c r="A2029" t="str">
        <f>_xlfn.XLOOKUP(ColombiaClientes[[#This Row],[Client]],VpsClientes[Client],VpsClientes[VP],"",0)</f>
        <v>Martha Guzman Arango</v>
      </c>
      <c r="B2029" t="s">
        <v>176</v>
      </c>
      <c r="C2029" t="s">
        <v>205</v>
      </c>
      <c r="D2029" t="s">
        <v>219</v>
      </c>
      <c r="E2029" t="s">
        <v>91</v>
      </c>
      <c r="F2029" s="1">
        <v>84</v>
      </c>
    </row>
    <row r="2030" spans="1:6" x14ac:dyDescent="0.3">
      <c r="A2030" t="str">
        <f>_xlfn.XLOOKUP(ColombiaClientes[[#This Row],[Client]],VpsClientes[Client],VpsClientes[VP],"",0)</f>
        <v>Carlos Beltran Hernandez</v>
      </c>
      <c r="B2030" t="s">
        <v>173</v>
      </c>
      <c r="C2030" t="s">
        <v>205</v>
      </c>
      <c r="D2030" t="s">
        <v>219</v>
      </c>
      <c r="E2030" t="s">
        <v>91</v>
      </c>
      <c r="F2030" s="1">
        <v>74</v>
      </c>
    </row>
    <row r="2031" spans="1:6" x14ac:dyDescent="0.3">
      <c r="A2031" t="str">
        <f>_xlfn.XLOOKUP(ColombiaClientes[[#This Row],[Client]],VpsClientes[Client],VpsClientes[VP],"",0)</f>
        <v>Carlos Beltran Hernandez</v>
      </c>
      <c r="B2031" t="s">
        <v>151</v>
      </c>
      <c r="C2031" t="s">
        <v>205</v>
      </c>
      <c r="D2031" t="s">
        <v>219</v>
      </c>
      <c r="E2031" t="s">
        <v>91</v>
      </c>
      <c r="F2031" s="1">
        <v>71</v>
      </c>
    </row>
    <row r="2032" spans="1:6" x14ac:dyDescent="0.3">
      <c r="A2032" t="str">
        <f>_xlfn.XLOOKUP(ColombiaClientes[[#This Row],[Client]],VpsClientes[Client],VpsClientes[VP],"",0)</f>
        <v>Martha Guzman Arango</v>
      </c>
      <c r="B2032" t="s">
        <v>171</v>
      </c>
      <c r="C2032" t="s">
        <v>205</v>
      </c>
      <c r="D2032" t="s">
        <v>219</v>
      </c>
      <c r="E2032" t="s">
        <v>91</v>
      </c>
      <c r="F2032" s="1">
        <v>70</v>
      </c>
    </row>
    <row r="2033" spans="1:6" x14ac:dyDescent="0.3">
      <c r="A2033" t="str">
        <f>_xlfn.XLOOKUP(ColombiaClientes[[#This Row],[Client]],VpsClientes[Client],VpsClientes[VP],"",0)</f>
        <v>Martha Guzman Arango</v>
      </c>
      <c r="B2033" t="s">
        <v>131</v>
      </c>
      <c r="C2033" t="s">
        <v>205</v>
      </c>
      <c r="D2033" t="s">
        <v>219</v>
      </c>
      <c r="E2033" t="s">
        <v>91</v>
      </c>
      <c r="F2033" s="1">
        <v>68</v>
      </c>
    </row>
    <row r="2034" spans="1:6" x14ac:dyDescent="0.3">
      <c r="A2034" t="str">
        <f>_xlfn.XLOOKUP(ColombiaClientes[[#This Row],[Client]],VpsClientes[Client],VpsClientes[VP],"",0)</f>
        <v>Hector Muraira Garza</v>
      </c>
      <c r="B2034" t="s">
        <v>178</v>
      </c>
      <c r="C2034" t="s">
        <v>205</v>
      </c>
      <c r="D2034" t="s">
        <v>90</v>
      </c>
      <c r="E2034" t="s">
        <v>206</v>
      </c>
      <c r="F2034" s="1">
        <v>54</v>
      </c>
    </row>
    <row r="2035" spans="1:6" x14ac:dyDescent="0.3">
      <c r="A2035" t="str">
        <f>_xlfn.XLOOKUP(ColombiaClientes[[#This Row],[Client]],VpsClientes[Client],VpsClientes[VP],"",0)</f>
        <v>Martha Guzman Arango</v>
      </c>
      <c r="B2035" t="s">
        <v>155</v>
      </c>
      <c r="C2035" t="s">
        <v>205</v>
      </c>
      <c r="D2035" t="s">
        <v>219</v>
      </c>
      <c r="E2035" t="s">
        <v>91</v>
      </c>
      <c r="F2035" s="1">
        <v>56</v>
      </c>
    </row>
    <row r="2036" spans="1:6" x14ac:dyDescent="0.3">
      <c r="A2036" t="str">
        <f>_xlfn.XLOOKUP(ColombiaClientes[[#This Row],[Client]],VpsClientes[Client],VpsClientes[VP],"",0)</f>
        <v>Moises Saavedra Garcia</v>
      </c>
      <c r="B2036" t="s">
        <v>190</v>
      </c>
      <c r="C2036" t="s">
        <v>205</v>
      </c>
      <c r="D2036" t="s">
        <v>219</v>
      </c>
      <c r="E2036" t="s">
        <v>91</v>
      </c>
      <c r="F2036" s="1">
        <v>56</v>
      </c>
    </row>
    <row r="2037" spans="1:6" x14ac:dyDescent="0.3">
      <c r="A2037" t="str">
        <f>_xlfn.XLOOKUP(ColombiaClientes[[#This Row],[Client]],VpsClientes[Client],VpsClientes[VP],"",0)</f>
        <v>Martha Guzman Arango</v>
      </c>
      <c r="B2037" t="s">
        <v>165</v>
      </c>
      <c r="C2037" t="s">
        <v>205</v>
      </c>
      <c r="D2037" t="s">
        <v>219</v>
      </c>
      <c r="E2037" t="s">
        <v>91</v>
      </c>
      <c r="F2037" s="1">
        <v>51</v>
      </c>
    </row>
    <row r="2038" spans="1:6" x14ac:dyDescent="0.3">
      <c r="A2038" t="str">
        <f>_xlfn.XLOOKUP(ColombiaClientes[[#This Row],[Client]],VpsClientes[Client],VpsClientes[VP],"",0)</f>
        <v>Maria Forero Jara</v>
      </c>
      <c r="B2038" t="s">
        <v>182</v>
      </c>
      <c r="C2038" t="s">
        <v>205</v>
      </c>
      <c r="D2038" t="s">
        <v>219</v>
      </c>
      <c r="E2038" t="s">
        <v>91</v>
      </c>
      <c r="F2038" s="1">
        <v>34</v>
      </c>
    </row>
    <row r="2039" spans="1:6" x14ac:dyDescent="0.3">
      <c r="A2039" t="str">
        <f>_xlfn.XLOOKUP(ColombiaClientes[[#This Row],[Client]],VpsClientes[Client],VpsClientes[VP],"",0)</f>
        <v>Martha Guzman Arango</v>
      </c>
      <c r="B2039" t="s">
        <v>169</v>
      </c>
      <c r="C2039" t="s">
        <v>205</v>
      </c>
      <c r="D2039" t="s">
        <v>219</v>
      </c>
      <c r="E2039" t="s">
        <v>91</v>
      </c>
      <c r="F2039" s="1">
        <v>28</v>
      </c>
    </row>
    <row r="2040" spans="1:6" x14ac:dyDescent="0.3">
      <c r="A2040" t="str">
        <f>_xlfn.XLOOKUP(ColombiaClientes[[#This Row],[Client]],VpsClientes[Client],VpsClientes[VP],"",0)</f>
        <v>Moises Saavedra Garcia</v>
      </c>
      <c r="B2040" t="s">
        <v>207</v>
      </c>
      <c r="C2040" t="s">
        <v>205</v>
      </c>
      <c r="D2040" t="s">
        <v>219</v>
      </c>
      <c r="E2040" t="s">
        <v>91</v>
      </c>
      <c r="F2040" s="1">
        <v>26</v>
      </c>
    </row>
    <row r="2041" spans="1:6" x14ac:dyDescent="0.3">
      <c r="A2041" t="str">
        <f>_xlfn.XLOOKUP(ColombiaClientes[[#This Row],[Client]],VpsClientes[Client],VpsClientes[VP],"",0)</f>
        <v>Moises Saavedra Garcia</v>
      </c>
      <c r="B2041" t="s">
        <v>187</v>
      </c>
      <c r="C2041" t="s">
        <v>205</v>
      </c>
      <c r="D2041" t="s">
        <v>219</v>
      </c>
      <c r="E2041" t="s">
        <v>91</v>
      </c>
      <c r="F2041" s="1">
        <v>26</v>
      </c>
    </row>
    <row r="2042" spans="1:6" x14ac:dyDescent="0.3">
      <c r="A2042" t="str">
        <f>_xlfn.XLOOKUP(ColombiaClientes[[#This Row],[Client]],VpsClientes[Client],VpsClientes[VP],"",0)</f>
        <v>Moises Saavedra Garcia</v>
      </c>
      <c r="B2042" t="s">
        <v>175</v>
      </c>
      <c r="C2042" t="s">
        <v>205</v>
      </c>
      <c r="D2042" t="s">
        <v>219</v>
      </c>
      <c r="E2042" t="s">
        <v>91</v>
      </c>
      <c r="F2042" s="1">
        <v>24</v>
      </c>
    </row>
    <row r="2043" spans="1:6" x14ac:dyDescent="0.3">
      <c r="A2043" t="str">
        <f>_xlfn.XLOOKUP(ColombiaClientes[[#This Row],[Client]],VpsClientes[Client],VpsClientes[VP],"",0)</f>
        <v>Hector Muraira Garza</v>
      </c>
      <c r="B2043" t="s">
        <v>178</v>
      </c>
      <c r="C2043" t="s">
        <v>92</v>
      </c>
      <c r="D2043" t="s">
        <v>219</v>
      </c>
      <c r="E2043" t="s">
        <v>91</v>
      </c>
      <c r="F2043" s="1">
        <v>62</v>
      </c>
    </row>
    <row r="2044" spans="1:6" x14ac:dyDescent="0.3">
      <c r="A2044" t="str">
        <f>_xlfn.XLOOKUP(ColombiaClientes[[#This Row],[Client]],VpsClientes[Client],VpsClientes[VP],"",0)</f>
        <v>Hector Muraira Garza</v>
      </c>
      <c r="B2044" t="s">
        <v>164</v>
      </c>
      <c r="C2044" t="s">
        <v>205</v>
      </c>
      <c r="D2044" t="s">
        <v>219</v>
      </c>
      <c r="E2044" t="s">
        <v>91</v>
      </c>
      <c r="F2044" s="1">
        <v>16</v>
      </c>
    </row>
    <row r="2045" spans="1:6" x14ac:dyDescent="0.3">
      <c r="A2045" t="str">
        <f>_xlfn.XLOOKUP(ColombiaClientes[[#This Row],[Client]],VpsClientes[Client],VpsClientes[VP],"",0)</f>
        <v>Martha Guzman Arango</v>
      </c>
      <c r="B2045" t="s">
        <v>186</v>
      </c>
      <c r="C2045" t="s">
        <v>205</v>
      </c>
      <c r="D2045" t="s">
        <v>219</v>
      </c>
      <c r="E2045" t="s">
        <v>91</v>
      </c>
      <c r="F2045" s="1">
        <v>10</v>
      </c>
    </row>
    <row r="2046" spans="1:6" x14ac:dyDescent="0.3">
      <c r="A2046" t="str">
        <f>_xlfn.XLOOKUP(ColombiaClientes[[#This Row],[Client]],VpsClientes[Client],VpsClientes[VP],"",0)</f>
        <v>Jhonatan Izquierdo Rico</v>
      </c>
      <c r="B2046" t="s">
        <v>200</v>
      </c>
      <c r="C2046" t="s">
        <v>205</v>
      </c>
      <c r="D2046" t="s">
        <v>219</v>
      </c>
      <c r="E2046" t="s">
        <v>91</v>
      </c>
      <c r="F2046" s="1">
        <v>6</v>
      </c>
    </row>
    <row r="2047" spans="1:6" x14ac:dyDescent="0.3">
      <c r="A2047" t="str">
        <f>_xlfn.XLOOKUP(ColombiaClientes[[#This Row],[Client]],VpsClientes[Client],VpsClientes[VP],"",0)</f>
        <v>Martha Guzman Arango</v>
      </c>
      <c r="B2047" t="s">
        <v>180</v>
      </c>
      <c r="C2047" t="s">
        <v>205</v>
      </c>
      <c r="D2047" t="s">
        <v>219</v>
      </c>
      <c r="E2047" t="s">
        <v>91</v>
      </c>
      <c r="F2047" s="1">
        <v>5</v>
      </c>
    </row>
    <row r="2048" spans="1:6" x14ac:dyDescent="0.3">
      <c r="A2048" t="str">
        <f>_xlfn.XLOOKUP(ColombiaClientes[[#This Row],[Client]],VpsClientes[Client],VpsClientes[VP],"",0)</f>
        <v>Hector Muraira Garza</v>
      </c>
      <c r="B2048" t="s">
        <v>167</v>
      </c>
      <c r="C2048" t="s">
        <v>205</v>
      </c>
      <c r="D2048" t="s">
        <v>219</v>
      </c>
      <c r="E2048" t="s">
        <v>91</v>
      </c>
      <c r="F2048" s="1">
        <v>4</v>
      </c>
    </row>
    <row r="2049" spans="1:6" x14ac:dyDescent="0.3">
      <c r="A2049" t="str">
        <f>_xlfn.XLOOKUP(ColombiaClientes[[#This Row],[Client]],VpsClientes[Client],VpsClientes[VP],"",0)</f>
        <v>Martha Guzman Arango</v>
      </c>
      <c r="B2049" t="s">
        <v>189</v>
      </c>
      <c r="C2049" t="s">
        <v>205</v>
      </c>
      <c r="D2049" t="s">
        <v>219</v>
      </c>
      <c r="E2049" t="s">
        <v>91</v>
      </c>
      <c r="F2049" s="1">
        <v>3</v>
      </c>
    </row>
    <row r="2050" spans="1:6" x14ac:dyDescent="0.3">
      <c r="A2050" t="str">
        <f>_xlfn.XLOOKUP(ColombiaClientes[[#This Row],[Client]],VpsClientes[Client],VpsClientes[VP],"",0)</f>
        <v>Martha Guzman Arango</v>
      </c>
      <c r="B2050" t="s">
        <v>188</v>
      </c>
      <c r="C2050" t="s">
        <v>205</v>
      </c>
      <c r="D2050" t="s">
        <v>219</v>
      </c>
      <c r="E2050" t="s">
        <v>91</v>
      </c>
      <c r="F2050" s="1">
        <v>2</v>
      </c>
    </row>
    <row r="2051" spans="1:6" x14ac:dyDescent="0.3">
      <c r="A2051" t="str">
        <f>_xlfn.XLOOKUP(ColombiaClientes[[#This Row],[Client]],VpsClientes[Client],VpsClientes[VP],"",0)</f>
        <v>Jhonatan Izquierdo Rico</v>
      </c>
      <c r="B2051" t="s">
        <v>159</v>
      </c>
      <c r="C2051" t="s">
        <v>205</v>
      </c>
      <c r="D2051" t="s">
        <v>219</v>
      </c>
      <c r="E2051" t="s">
        <v>91</v>
      </c>
      <c r="F2051" s="1">
        <v>0</v>
      </c>
    </row>
    <row r="2052" spans="1:6" x14ac:dyDescent="0.3">
      <c r="A2052" t="str">
        <f>_xlfn.XLOOKUP(ColombiaClientes[[#This Row],[Client]],VpsClientes[Client],VpsClientes[VP],"",0)</f>
        <v>Carlos Beltran Hernandez</v>
      </c>
      <c r="B2052" t="s">
        <v>93</v>
      </c>
      <c r="C2052" t="s">
        <v>92</v>
      </c>
      <c r="D2052" t="s">
        <v>219</v>
      </c>
      <c r="E2052" t="s">
        <v>206</v>
      </c>
      <c r="F2052" s="1">
        <v>24606</v>
      </c>
    </row>
    <row r="2053" spans="1:6" x14ac:dyDescent="0.3">
      <c r="A2053" t="str">
        <f>_xlfn.XLOOKUP(ColombiaClientes[[#This Row],[Client]],VpsClientes[Client],VpsClientes[VP],"",0)</f>
        <v>Carlos Beltran Hernandez</v>
      </c>
      <c r="B2053" t="s">
        <v>94</v>
      </c>
      <c r="C2053" t="s">
        <v>92</v>
      </c>
      <c r="D2053" t="s">
        <v>219</v>
      </c>
      <c r="E2053" t="s">
        <v>206</v>
      </c>
      <c r="F2053" s="1">
        <v>23023</v>
      </c>
    </row>
    <row r="2054" spans="1:6" x14ac:dyDescent="0.3">
      <c r="A2054" t="str">
        <f>_xlfn.XLOOKUP(ColombiaClientes[[#This Row],[Client]],VpsClientes[Client],VpsClientes[VP],"",0)</f>
        <v>Martha Guzman Arango</v>
      </c>
      <c r="B2054" t="s">
        <v>96</v>
      </c>
      <c r="C2054" t="s">
        <v>92</v>
      </c>
      <c r="D2054" t="s">
        <v>219</v>
      </c>
      <c r="E2054" t="s">
        <v>206</v>
      </c>
      <c r="F2054" s="1">
        <v>17622</v>
      </c>
    </row>
    <row r="2055" spans="1:6" x14ac:dyDescent="0.3">
      <c r="A2055" t="str">
        <f>_xlfn.XLOOKUP(ColombiaClientes[[#This Row],[Client]],VpsClientes[Client],VpsClientes[VP],"",0)</f>
        <v>Jhonatan Izquierdo Rico</v>
      </c>
      <c r="B2055" t="s">
        <v>104</v>
      </c>
      <c r="C2055" t="s">
        <v>92</v>
      </c>
      <c r="D2055" t="s">
        <v>219</v>
      </c>
      <c r="E2055" t="s">
        <v>206</v>
      </c>
      <c r="F2055" s="1">
        <v>17234</v>
      </c>
    </row>
    <row r="2056" spans="1:6" x14ac:dyDescent="0.3">
      <c r="A2056" t="str">
        <f>_xlfn.XLOOKUP(ColombiaClientes[[#This Row],[Client]],VpsClientes[Client],VpsClientes[VP],"",0)</f>
        <v>Carlos Castillo Figueroa</v>
      </c>
      <c r="B2056" t="s">
        <v>105</v>
      </c>
      <c r="C2056" t="s">
        <v>92</v>
      </c>
      <c r="D2056" t="s">
        <v>219</v>
      </c>
      <c r="E2056" t="s">
        <v>206</v>
      </c>
      <c r="F2056" s="1">
        <v>11095</v>
      </c>
    </row>
    <row r="2057" spans="1:6" x14ac:dyDescent="0.3">
      <c r="A2057" t="str">
        <f>_xlfn.XLOOKUP(ColombiaClientes[[#This Row],[Client]],VpsClientes[Client],VpsClientes[VP],"",0)</f>
        <v>Moises Saavedra Garcia</v>
      </c>
      <c r="B2057" t="s">
        <v>99</v>
      </c>
      <c r="C2057" t="s">
        <v>92</v>
      </c>
      <c r="D2057" t="s">
        <v>219</v>
      </c>
      <c r="E2057" t="s">
        <v>206</v>
      </c>
      <c r="F2057" s="1">
        <v>7890</v>
      </c>
    </row>
    <row r="2058" spans="1:6" x14ac:dyDescent="0.3">
      <c r="A2058" t="str">
        <f>_xlfn.XLOOKUP(ColombiaClientes[[#This Row],[Client]],VpsClientes[Client],VpsClientes[VP],"",0)</f>
        <v>Carlos Beltran Hernandez</v>
      </c>
      <c r="B2058" t="s">
        <v>102</v>
      </c>
      <c r="C2058" t="s">
        <v>92</v>
      </c>
      <c r="D2058" t="s">
        <v>219</v>
      </c>
      <c r="E2058" t="s">
        <v>206</v>
      </c>
      <c r="F2058" s="1">
        <v>6703</v>
      </c>
    </row>
    <row r="2059" spans="1:6" x14ac:dyDescent="0.3">
      <c r="A2059" t="str">
        <f>_xlfn.XLOOKUP(ColombiaClientes[[#This Row],[Client]],VpsClientes[Client],VpsClientes[VP],"",0)</f>
        <v>Martha Guzman Arango</v>
      </c>
      <c r="B2059" t="s">
        <v>98</v>
      </c>
      <c r="C2059" t="s">
        <v>92</v>
      </c>
      <c r="D2059" t="s">
        <v>219</v>
      </c>
      <c r="E2059" t="s">
        <v>206</v>
      </c>
      <c r="F2059" s="1">
        <v>6626</v>
      </c>
    </row>
    <row r="2060" spans="1:6" x14ac:dyDescent="0.3">
      <c r="A2060" t="str">
        <f>_xlfn.XLOOKUP(ColombiaClientes[[#This Row],[Client]],VpsClientes[Client],VpsClientes[VP],"",0)</f>
        <v>Jhonatan Izquierdo Rico</v>
      </c>
      <c r="B2060" t="s">
        <v>107</v>
      </c>
      <c r="C2060" t="s">
        <v>92</v>
      </c>
      <c r="D2060" t="s">
        <v>219</v>
      </c>
      <c r="E2060" t="s">
        <v>206</v>
      </c>
      <c r="F2060" s="1">
        <v>6275</v>
      </c>
    </row>
    <row r="2061" spans="1:6" x14ac:dyDescent="0.3">
      <c r="A2061" t="str">
        <f>_xlfn.XLOOKUP(ColombiaClientes[[#This Row],[Client]],VpsClientes[Client],VpsClientes[VP],"",0)</f>
        <v>Maria Forero Jara</v>
      </c>
      <c r="B2061" t="s">
        <v>101</v>
      </c>
      <c r="C2061" t="s">
        <v>92</v>
      </c>
      <c r="D2061" t="s">
        <v>219</v>
      </c>
      <c r="E2061" t="s">
        <v>206</v>
      </c>
      <c r="F2061" s="1">
        <v>5613</v>
      </c>
    </row>
    <row r="2062" spans="1:6" x14ac:dyDescent="0.3">
      <c r="A2062" t="str">
        <f>_xlfn.XLOOKUP(ColombiaClientes[[#This Row],[Client]],VpsClientes[Client],VpsClientes[VP],"",0)</f>
        <v>Ludy Torres Benitez</v>
      </c>
      <c r="B2062" t="s">
        <v>95</v>
      </c>
      <c r="C2062" t="s">
        <v>92</v>
      </c>
      <c r="D2062" t="s">
        <v>219</v>
      </c>
      <c r="E2062" t="s">
        <v>206</v>
      </c>
      <c r="F2062" s="1">
        <v>5596</v>
      </c>
    </row>
    <row r="2063" spans="1:6" x14ac:dyDescent="0.3">
      <c r="A2063" t="str">
        <f>_xlfn.XLOOKUP(ColombiaClientes[[#This Row],[Client]],VpsClientes[Client],VpsClientes[VP],"",0)</f>
        <v>Jhonatan Izquierdo Rico</v>
      </c>
      <c r="B2063" t="s">
        <v>112</v>
      </c>
      <c r="C2063" t="s">
        <v>92</v>
      </c>
      <c r="D2063" t="s">
        <v>219</v>
      </c>
      <c r="E2063" t="s">
        <v>206</v>
      </c>
      <c r="F2063" s="1">
        <v>5022</v>
      </c>
    </row>
    <row r="2064" spans="1:6" x14ac:dyDescent="0.3">
      <c r="A2064" t="str">
        <f>_xlfn.XLOOKUP(ColombiaClientes[[#This Row],[Client]],VpsClientes[Client],VpsClientes[VP],"",0)</f>
        <v>Maria Forero Jara</v>
      </c>
      <c r="B2064" t="s">
        <v>125</v>
      </c>
      <c r="C2064" t="s">
        <v>92</v>
      </c>
      <c r="D2064" t="s">
        <v>219</v>
      </c>
      <c r="E2064" t="s">
        <v>206</v>
      </c>
      <c r="F2064" s="1">
        <v>4613</v>
      </c>
    </row>
    <row r="2065" spans="1:6" x14ac:dyDescent="0.3">
      <c r="A2065" t="str">
        <f>_xlfn.XLOOKUP(ColombiaClientes[[#This Row],[Client]],VpsClientes[Client],VpsClientes[VP],"",0)</f>
        <v>Jhonatan Izquierdo Rico</v>
      </c>
      <c r="B2065" t="s">
        <v>128</v>
      </c>
      <c r="C2065" t="s">
        <v>92</v>
      </c>
      <c r="D2065" t="s">
        <v>219</v>
      </c>
      <c r="E2065" t="s">
        <v>206</v>
      </c>
      <c r="F2065" s="1">
        <v>4379</v>
      </c>
    </row>
    <row r="2066" spans="1:6" x14ac:dyDescent="0.3">
      <c r="A2066" t="str">
        <f>_xlfn.XLOOKUP(ColombiaClientes[[#This Row],[Client]],VpsClientes[Client],VpsClientes[VP],"",0)</f>
        <v>Martha Guzman Arango</v>
      </c>
      <c r="B2066" t="s">
        <v>103</v>
      </c>
      <c r="C2066" t="s">
        <v>92</v>
      </c>
      <c r="D2066" t="s">
        <v>219</v>
      </c>
      <c r="E2066" t="s">
        <v>206</v>
      </c>
      <c r="F2066" s="1">
        <v>3944</v>
      </c>
    </row>
    <row r="2067" spans="1:6" x14ac:dyDescent="0.3">
      <c r="A2067" t="str">
        <f>_xlfn.XLOOKUP(ColombiaClientes[[#This Row],[Client]],VpsClientes[Client],VpsClientes[VP],"",0)</f>
        <v>Maria Forero Jara</v>
      </c>
      <c r="B2067" t="s">
        <v>123</v>
      </c>
      <c r="C2067" t="s">
        <v>92</v>
      </c>
      <c r="D2067" t="s">
        <v>219</v>
      </c>
      <c r="E2067" t="s">
        <v>206</v>
      </c>
      <c r="F2067" s="1">
        <v>3815</v>
      </c>
    </row>
    <row r="2068" spans="1:6" x14ac:dyDescent="0.3">
      <c r="A2068" t="str">
        <f>_xlfn.XLOOKUP(ColombiaClientes[[#This Row],[Client]],VpsClientes[Client],VpsClientes[VP],"",0)</f>
        <v>Ernesto Rico Zuluaga</v>
      </c>
      <c r="B2068" t="s">
        <v>121</v>
      </c>
      <c r="C2068" t="s">
        <v>92</v>
      </c>
      <c r="D2068" t="s">
        <v>219</v>
      </c>
      <c r="E2068" t="s">
        <v>206</v>
      </c>
      <c r="F2068" s="1">
        <v>3535</v>
      </c>
    </row>
    <row r="2069" spans="1:6" x14ac:dyDescent="0.3">
      <c r="A2069" t="str">
        <f>_xlfn.XLOOKUP(ColombiaClientes[[#This Row],[Client]],VpsClientes[Client],VpsClientes[VP],"",0)</f>
        <v>Ernesto Rico Zuluaga</v>
      </c>
      <c r="B2069" t="s">
        <v>116</v>
      </c>
      <c r="C2069" t="s">
        <v>92</v>
      </c>
      <c r="D2069" t="s">
        <v>219</v>
      </c>
      <c r="E2069" t="s">
        <v>206</v>
      </c>
      <c r="F2069" s="1">
        <v>3503</v>
      </c>
    </row>
    <row r="2070" spans="1:6" x14ac:dyDescent="0.3">
      <c r="A2070" t="str">
        <f>_xlfn.XLOOKUP(ColombiaClientes[[#This Row],[Client]],VpsClientes[Client],VpsClientes[VP],"",0)</f>
        <v>Martha Guzman Arango</v>
      </c>
      <c r="B2070" t="s">
        <v>100</v>
      </c>
      <c r="C2070" t="s">
        <v>92</v>
      </c>
      <c r="D2070" t="s">
        <v>219</v>
      </c>
      <c r="E2070" t="s">
        <v>206</v>
      </c>
      <c r="F2070" s="1">
        <v>3318</v>
      </c>
    </row>
    <row r="2071" spans="1:6" x14ac:dyDescent="0.3">
      <c r="A2071" t="str">
        <f>_xlfn.XLOOKUP(ColombiaClientes[[#This Row],[Client]],VpsClientes[Client],VpsClientes[VP],"",0)</f>
        <v>System System</v>
      </c>
      <c r="B2071" t="s">
        <v>208</v>
      </c>
      <c r="C2071" t="s">
        <v>92</v>
      </c>
      <c r="D2071" t="s">
        <v>219</v>
      </c>
      <c r="E2071" t="s">
        <v>206</v>
      </c>
      <c r="F2071" s="1">
        <v>3228</v>
      </c>
    </row>
    <row r="2072" spans="1:6" x14ac:dyDescent="0.3">
      <c r="A2072" t="str">
        <f>_xlfn.XLOOKUP(ColombiaClientes[[#This Row],[Client]],VpsClientes[Client],VpsClientes[VP],"",0)</f>
        <v>Hector Muraira Garza</v>
      </c>
      <c r="B2072" t="s">
        <v>137</v>
      </c>
      <c r="C2072" t="s">
        <v>92</v>
      </c>
      <c r="D2072" t="s">
        <v>219</v>
      </c>
      <c r="E2072" t="s">
        <v>206</v>
      </c>
      <c r="F2072" s="1">
        <v>3218</v>
      </c>
    </row>
    <row r="2073" spans="1:6" x14ac:dyDescent="0.3">
      <c r="A2073" t="str">
        <f>_xlfn.XLOOKUP(ColombiaClientes[[#This Row],[Client]],VpsClientes[Client],VpsClientes[VP],"",0)</f>
        <v>Maria Forero Jara</v>
      </c>
      <c r="B2073" t="s">
        <v>108</v>
      </c>
      <c r="C2073" t="s">
        <v>92</v>
      </c>
      <c r="D2073" t="s">
        <v>219</v>
      </c>
      <c r="E2073" t="s">
        <v>206</v>
      </c>
      <c r="F2073" s="1">
        <v>2929</v>
      </c>
    </row>
    <row r="2074" spans="1:6" x14ac:dyDescent="0.3">
      <c r="A2074" t="str">
        <f>_xlfn.XLOOKUP(ColombiaClientes[[#This Row],[Client]],VpsClientes[Client],VpsClientes[VP],"",0)</f>
        <v>Martha Guzman Arango</v>
      </c>
      <c r="B2074" t="s">
        <v>109</v>
      </c>
      <c r="C2074" t="s">
        <v>92</v>
      </c>
      <c r="D2074" t="s">
        <v>219</v>
      </c>
      <c r="E2074" t="s">
        <v>206</v>
      </c>
      <c r="F2074" s="1">
        <v>2704</v>
      </c>
    </row>
    <row r="2075" spans="1:6" x14ac:dyDescent="0.3">
      <c r="A2075" t="str">
        <f>_xlfn.XLOOKUP(ColombiaClientes[[#This Row],[Client]],VpsClientes[Client],VpsClientes[VP],"",0)</f>
        <v>Moises Saavedra Garcia</v>
      </c>
      <c r="B2075" t="s">
        <v>120</v>
      </c>
      <c r="C2075" t="s">
        <v>92</v>
      </c>
      <c r="D2075" t="s">
        <v>219</v>
      </c>
      <c r="E2075" t="s">
        <v>206</v>
      </c>
      <c r="F2075" s="1">
        <v>2551</v>
      </c>
    </row>
    <row r="2076" spans="1:6" x14ac:dyDescent="0.3">
      <c r="A2076" t="str">
        <f>_xlfn.XLOOKUP(ColombiaClientes[[#This Row],[Client]],VpsClientes[Client],VpsClientes[VP],"",0)</f>
        <v>Martha Guzman Arango</v>
      </c>
      <c r="B2076" t="s">
        <v>122</v>
      </c>
      <c r="C2076" t="s">
        <v>92</v>
      </c>
      <c r="D2076" t="s">
        <v>219</v>
      </c>
      <c r="E2076" t="s">
        <v>206</v>
      </c>
      <c r="F2076" s="1">
        <v>2375</v>
      </c>
    </row>
    <row r="2077" spans="1:6" x14ac:dyDescent="0.3">
      <c r="A2077" t="str">
        <f>_xlfn.XLOOKUP(ColombiaClientes[[#This Row],[Client]],VpsClientes[Client],VpsClientes[VP],"",0)</f>
        <v>Sandra Romero Zuluaga</v>
      </c>
      <c r="B2077" t="s">
        <v>113</v>
      </c>
      <c r="C2077" t="s">
        <v>92</v>
      </c>
      <c r="D2077" t="s">
        <v>219</v>
      </c>
      <c r="E2077" t="s">
        <v>206</v>
      </c>
      <c r="F2077" s="1">
        <v>2167</v>
      </c>
    </row>
    <row r="2078" spans="1:6" x14ac:dyDescent="0.3">
      <c r="A2078" t="str">
        <f>_xlfn.XLOOKUP(ColombiaClientes[[#This Row],[Client]],VpsClientes[Client],VpsClientes[VP],"",0)</f>
        <v>Maria Forero Jara</v>
      </c>
      <c r="B2078" t="s">
        <v>106</v>
      </c>
      <c r="C2078" t="s">
        <v>92</v>
      </c>
      <c r="D2078" t="s">
        <v>219</v>
      </c>
      <c r="E2078" t="s">
        <v>206</v>
      </c>
      <c r="F2078" s="1">
        <v>2031</v>
      </c>
    </row>
    <row r="2079" spans="1:6" x14ac:dyDescent="0.3">
      <c r="A2079" t="str">
        <f>_xlfn.XLOOKUP(ColombiaClientes[[#This Row],[Client]],VpsClientes[Client],VpsClientes[VP],"",0)</f>
        <v>Carlos Beltran Hernandez</v>
      </c>
      <c r="B2079" t="s">
        <v>119</v>
      </c>
      <c r="C2079" t="s">
        <v>92</v>
      </c>
      <c r="D2079" t="s">
        <v>219</v>
      </c>
      <c r="E2079" t="s">
        <v>206</v>
      </c>
      <c r="F2079" s="1">
        <v>1966</v>
      </c>
    </row>
    <row r="2080" spans="1:6" x14ac:dyDescent="0.3">
      <c r="A2080" t="str">
        <f>_xlfn.XLOOKUP(ColombiaClientes[[#This Row],[Client]],VpsClientes[Client],VpsClientes[VP],"",0)</f>
        <v>Juan Granados Castillo</v>
      </c>
      <c r="B2080" t="s">
        <v>136</v>
      </c>
      <c r="C2080" t="s">
        <v>92</v>
      </c>
      <c r="D2080" t="s">
        <v>219</v>
      </c>
      <c r="E2080" t="s">
        <v>206</v>
      </c>
      <c r="F2080" s="1">
        <v>1859</v>
      </c>
    </row>
    <row r="2081" spans="1:6" x14ac:dyDescent="0.3">
      <c r="A2081" t="str">
        <f>_xlfn.XLOOKUP(ColombiaClientes[[#This Row],[Client]],VpsClientes[Client],VpsClientes[VP],"",0)</f>
        <v>Martha Guzman Arango</v>
      </c>
      <c r="B2081" t="s">
        <v>97</v>
      </c>
      <c r="C2081" t="s">
        <v>92</v>
      </c>
      <c r="D2081" t="s">
        <v>219</v>
      </c>
      <c r="E2081" t="s">
        <v>206</v>
      </c>
      <c r="F2081" s="1">
        <v>1663</v>
      </c>
    </row>
    <row r="2082" spans="1:6" x14ac:dyDescent="0.3">
      <c r="A2082" t="str">
        <f>_xlfn.XLOOKUP(ColombiaClientes[[#This Row],[Client]],VpsClientes[Client],VpsClientes[VP],"",0)</f>
        <v>Juan Granados Castillo</v>
      </c>
      <c r="B2082" t="s">
        <v>134</v>
      </c>
      <c r="C2082" t="s">
        <v>92</v>
      </c>
      <c r="D2082" t="s">
        <v>219</v>
      </c>
      <c r="E2082" t="s">
        <v>206</v>
      </c>
      <c r="F2082" s="1">
        <v>1632</v>
      </c>
    </row>
    <row r="2083" spans="1:6" x14ac:dyDescent="0.3">
      <c r="A2083" t="str">
        <f>_xlfn.XLOOKUP(ColombiaClientes[[#This Row],[Client]],VpsClientes[Client],VpsClientes[VP],"",0)</f>
        <v>Martha Guzman Arango</v>
      </c>
      <c r="B2083" t="s">
        <v>114</v>
      </c>
      <c r="C2083" t="s">
        <v>92</v>
      </c>
      <c r="D2083" t="s">
        <v>219</v>
      </c>
      <c r="E2083" t="s">
        <v>206</v>
      </c>
      <c r="F2083" s="1">
        <v>1384</v>
      </c>
    </row>
    <row r="2084" spans="1:6" x14ac:dyDescent="0.3">
      <c r="A2084" t="str">
        <f>_xlfn.XLOOKUP(ColombiaClientes[[#This Row],[Client]],VpsClientes[Client],VpsClientes[VP],"",0)</f>
        <v>Moises Saavedra Garcia</v>
      </c>
      <c r="B2084" t="s">
        <v>115</v>
      </c>
      <c r="C2084" t="s">
        <v>92</v>
      </c>
      <c r="D2084" t="s">
        <v>219</v>
      </c>
      <c r="E2084" t="s">
        <v>206</v>
      </c>
      <c r="F2084" s="1">
        <v>1350</v>
      </c>
    </row>
    <row r="2085" spans="1:6" x14ac:dyDescent="0.3">
      <c r="A2085" t="str">
        <f>_xlfn.XLOOKUP(ColombiaClientes[[#This Row],[Client]],VpsClientes[Client],VpsClientes[VP],"",0)</f>
        <v>Jhonatan Izquierdo Rico</v>
      </c>
      <c r="B2085" t="s">
        <v>126</v>
      </c>
      <c r="C2085" t="s">
        <v>92</v>
      </c>
      <c r="D2085" t="s">
        <v>219</v>
      </c>
      <c r="E2085" t="s">
        <v>206</v>
      </c>
      <c r="F2085" s="1">
        <v>1341</v>
      </c>
    </row>
    <row r="2086" spans="1:6" x14ac:dyDescent="0.3">
      <c r="A2086" t="str">
        <f>_xlfn.XLOOKUP(ColombiaClientes[[#This Row],[Client]],VpsClientes[Client],VpsClientes[VP],"",0)</f>
        <v>Moises Saavedra Garcia</v>
      </c>
      <c r="B2086" t="s">
        <v>110</v>
      </c>
      <c r="C2086" t="s">
        <v>92</v>
      </c>
      <c r="D2086" t="s">
        <v>219</v>
      </c>
      <c r="E2086" t="s">
        <v>206</v>
      </c>
      <c r="F2086" s="1">
        <v>1317</v>
      </c>
    </row>
    <row r="2087" spans="1:6" x14ac:dyDescent="0.3">
      <c r="A2087" t="str">
        <f>_xlfn.XLOOKUP(ColombiaClientes[[#This Row],[Client]],VpsClientes[Client],VpsClientes[VP],"",0)</f>
        <v>Hector Muraira Garza</v>
      </c>
      <c r="B2087" t="s">
        <v>130</v>
      </c>
      <c r="C2087" t="s">
        <v>92</v>
      </c>
      <c r="D2087" t="s">
        <v>219</v>
      </c>
      <c r="E2087" t="s">
        <v>206</v>
      </c>
      <c r="F2087" s="1">
        <v>1233</v>
      </c>
    </row>
    <row r="2088" spans="1:6" x14ac:dyDescent="0.3">
      <c r="A2088" t="str">
        <f>_xlfn.XLOOKUP(ColombiaClientes[[#This Row],[Client]],VpsClientes[Client],VpsClientes[VP],"",0)</f>
        <v>Jhonatan Izquierdo Rico</v>
      </c>
      <c r="B2088" t="s">
        <v>117</v>
      </c>
      <c r="C2088" t="s">
        <v>92</v>
      </c>
      <c r="D2088" t="s">
        <v>219</v>
      </c>
      <c r="E2088" t="s">
        <v>206</v>
      </c>
      <c r="F2088" s="1">
        <v>1215</v>
      </c>
    </row>
    <row r="2089" spans="1:6" x14ac:dyDescent="0.3">
      <c r="A2089" t="str">
        <f>_xlfn.XLOOKUP(ColombiaClientes[[#This Row],[Client]],VpsClientes[Client],VpsClientes[VP],"",0)</f>
        <v>Jhonatan Izquierdo Rico</v>
      </c>
      <c r="B2089" t="s">
        <v>138</v>
      </c>
      <c r="C2089" t="s">
        <v>92</v>
      </c>
      <c r="D2089" t="s">
        <v>219</v>
      </c>
      <c r="E2089" t="s">
        <v>206</v>
      </c>
      <c r="F2089" s="1">
        <v>1034</v>
      </c>
    </row>
    <row r="2090" spans="1:6" x14ac:dyDescent="0.3">
      <c r="A2090" t="str">
        <f>_xlfn.XLOOKUP(ColombiaClientes[[#This Row],[Client]],VpsClientes[Client],VpsClientes[VP],"",0)</f>
        <v>Martha Guzman Arango</v>
      </c>
      <c r="B2090" t="s">
        <v>118</v>
      </c>
      <c r="C2090" t="s">
        <v>92</v>
      </c>
      <c r="D2090" t="s">
        <v>219</v>
      </c>
      <c r="E2090" t="s">
        <v>206</v>
      </c>
      <c r="F2090" s="1">
        <v>999</v>
      </c>
    </row>
    <row r="2091" spans="1:6" x14ac:dyDescent="0.3">
      <c r="A2091" t="str">
        <f>_xlfn.XLOOKUP(ColombiaClientes[[#This Row],[Client]],VpsClientes[Client],VpsClientes[VP],"",0)</f>
        <v>Moises Saavedra Garcia</v>
      </c>
      <c r="B2091" t="s">
        <v>150</v>
      </c>
      <c r="C2091" t="s">
        <v>92</v>
      </c>
      <c r="D2091" t="s">
        <v>219</v>
      </c>
      <c r="E2091" t="s">
        <v>206</v>
      </c>
      <c r="F2091" s="1">
        <v>975</v>
      </c>
    </row>
    <row r="2092" spans="1:6" x14ac:dyDescent="0.3">
      <c r="A2092" t="str">
        <f>_xlfn.XLOOKUP(ColombiaClientes[[#This Row],[Client]],VpsClientes[Client],VpsClientes[VP],"",0)</f>
        <v>Maria Forero Jara</v>
      </c>
      <c r="B2092" t="s">
        <v>139</v>
      </c>
      <c r="C2092" t="s">
        <v>92</v>
      </c>
      <c r="D2092" t="s">
        <v>219</v>
      </c>
      <c r="E2092" t="s">
        <v>206</v>
      </c>
      <c r="F2092" s="1">
        <v>921</v>
      </c>
    </row>
    <row r="2093" spans="1:6" x14ac:dyDescent="0.3">
      <c r="A2093" t="str">
        <f>_xlfn.XLOOKUP(ColombiaClientes[[#This Row],[Client]],VpsClientes[Client],VpsClientes[VP],"",0)</f>
        <v>Martha Guzman Arango</v>
      </c>
      <c r="B2093" t="s">
        <v>135</v>
      </c>
      <c r="C2093" t="s">
        <v>92</v>
      </c>
      <c r="D2093" t="s">
        <v>219</v>
      </c>
      <c r="E2093" t="s">
        <v>206</v>
      </c>
      <c r="F2093" s="1">
        <v>901</v>
      </c>
    </row>
    <row r="2094" spans="1:6" x14ac:dyDescent="0.3">
      <c r="A2094" t="str">
        <f>_xlfn.XLOOKUP(ColombiaClientes[[#This Row],[Client]],VpsClientes[Client],VpsClientes[VP],"",0)</f>
        <v>Martha Guzman Arango</v>
      </c>
      <c r="B2094" t="s">
        <v>152</v>
      </c>
      <c r="C2094" t="s">
        <v>92</v>
      </c>
      <c r="D2094" t="s">
        <v>219</v>
      </c>
      <c r="E2094" t="s">
        <v>206</v>
      </c>
      <c r="F2094" s="1">
        <v>749</v>
      </c>
    </row>
    <row r="2095" spans="1:6" x14ac:dyDescent="0.3">
      <c r="A2095" t="str">
        <f>_xlfn.XLOOKUP(ColombiaClientes[[#This Row],[Client]],VpsClientes[Client],VpsClientes[VP],"",0)</f>
        <v>Maria Forero Jara</v>
      </c>
      <c r="B2095" t="s">
        <v>111</v>
      </c>
      <c r="C2095" t="s">
        <v>92</v>
      </c>
      <c r="D2095" t="s">
        <v>219</v>
      </c>
      <c r="E2095" t="s">
        <v>206</v>
      </c>
      <c r="F2095" s="1">
        <v>602</v>
      </c>
    </row>
    <row r="2096" spans="1:6" x14ac:dyDescent="0.3">
      <c r="A2096" t="str">
        <f>_xlfn.XLOOKUP(ColombiaClientes[[#This Row],[Client]],VpsClientes[Client],VpsClientes[VP],"",0)</f>
        <v>Hector Muraira Garza</v>
      </c>
      <c r="B2096" t="s">
        <v>154</v>
      </c>
      <c r="C2096" t="s">
        <v>92</v>
      </c>
      <c r="D2096" t="s">
        <v>219</v>
      </c>
      <c r="E2096" t="s">
        <v>206</v>
      </c>
      <c r="F2096" s="1">
        <v>577</v>
      </c>
    </row>
    <row r="2097" spans="1:6" x14ac:dyDescent="0.3">
      <c r="A2097" t="str">
        <f>_xlfn.XLOOKUP(ColombiaClientes[[#This Row],[Client]],VpsClientes[Client],VpsClientes[VP],"",0)</f>
        <v>Martha Guzman Arango</v>
      </c>
      <c r="B2097" t="s">
        <v>153</v>
      </c>
      <c r="C2097" t="s">
        <v>92</v>
      </c>
      <c r="D2097" t="s">
        <v>219</v>
      </c>
      <c r="E2097" t="s">
        <v>206</v>
      </c>
      <c r="F2097" s="1">
        <v>523</v>
      </c>
    </row>
    <row r="2098" spans="1:6" x14ac:dyDescent="0.3">
      <c r="A2098" t="str">
        <f>_xlfn.XLOOKUP(ColombiaClientes[[#This Row],[Client]],VpsClientes[Client],VpsClientes[VP],"",0)</f>
        <v>Martha Guzman Arango</v>
      </c>
      <c r="B2098" t="s">
        <v>156</v>
      </c>
      <c r="C2098" t="s">
        <v>92</v>
      </c>
      <c r="D2098" t="s">
        <v>219</v>
      </c>
      <c r="E2098" t="s">
        <v>206</v>
      </c>
      <c r="F2098" s="1">
        <v>513</v>
      </c>
    </row>
    <row r="2099" spans="1:6" x14ac:dyDescent="0.3">
      <c r="A2099" t="str">
        <f>_xlfn.XLOOKUP(ColombiaClientes[[#This Row],[Client]],VpsClientes[Client],VpsClientes[VP],"",0)</f>
        <v>Hector Muraira Garza</v>
      </c>
      <c r="B2099" t="s">
        <v>140</v>
      </c>
      <c r="C2099" t="s">
        <v>92</v>
      </c>
      <c r="D2099" t="s">
        <v>219</v>
      </c>
      <c r="E2099" t="s">
        <v>206</v>
      </c>
      <c r="F2099" s="1">
        <v>450</v>
      </c>
    </row>
    <row r="2100" spans="1:6" x14ac:dyDescent="0.3">
      <c r="A2100" t="str">
        <f>_xlfn.XLOOKUP(ColombiaClientes[[#This Row],[Client]],VpsClientes[Client],VpsClientes[VP],"",0)</f>
        <v>Martha Guzman Arango</v>
      </c>
      <c r="B2100" t="s">
        <v>124</v>
      </c>
      <c r="C2100" t="s">
        <v>92</v>
      </c>
      <c r="D2100" t="s">
        <v>219</v>
      </c>
      <c r="E2100" t="s">
        <v>206</v>
      </c>
      <c r="F2100" s="1">
        <v>419</v>
      </c>
    </row>
    <row r="2101" spans="1:6" x14ac:dyDescent="0.3">
      <c r="A2101" t="str">
        <f>_xlfn.XLOOKUP(ColombiaClientes[[#This Row],[Client]],VpsClientes[Client],VpsClientes[VP],"",0)</f>
        <v>Martha Guzman Arango</v>
      </c>
      <c r="B2101" t="s">
        <v>146</v>
      </c>
      <c r="C2101" t="s">
        <v>92</v>
      </c>
      <c r="D2101" t="s">
        <v>219</v>
      </c>
      <c r="E2101" t="s">
        <v>206</v>
      </c>
      <c r="F2101" s="1">
        <v>369</v>
      </c>
    </row>
    <row r="2102" spans="1:6" x14ac:dyDescent="0.3">
      <c r="A2102" t="str">
        <f>_xlfn.XLOOKUP(ColombiaClientes[[#This Row],[Client]],VpsClientes[Client],VpsClientes[VP],"",0)</f>
        <v>Jhonatan Izquierdo Rico</v>
      </c>
      <c r="B2102" t="s">
        <v>157</v>
      </c>
      <c r="C2102" t="s">
        <v>92</v>
      </c>
      <c r="D2102" t="s">
        <v>219</v>
      </c>
      <c r="E2102" t="s">
        <v>206</v>
      </c>
      <c r="F2102" s="1">
        <v>336</v>
      </c>
    </row>
    <row r="2103" spans="1:6" x14ac:dyDescent="0.3">
      <c r="A2103" t="str">
        <f>_xlfn.XLOOKUP(ColombiaClientes[[#This Row],[Client]],VpsClientes[Client],VpsClientes[VP],"",0)</f>
        <v>Martha Guzman Arango</v>
      </c>
      <c r="B2103" t="s">
        <v>199</v>
      </c>
      <c r="C2103" t="s">
        <v>92</v>
      </c>
      <c r="D2103" t="s">
        <v>219</v>
      </c>
      <c r="E2103" t="s">
        <v>206</v>
      </c>
      <c r="F2103" s="1">
        <v>329</v>
      </c>
    </row>
    <row r="2104" spans="1:6" x14ac:dyDescent="0.3">
      <c r="A2104" t="str">
        <f>_xlfn.XLOOKUP(ColombiaClientes[[#This Row],[Client]],VpsClientes[Client],VpsClientes[VP],"",0)</f>
        <v>Martha Guzman Arango</v>
      </c>
      <c r="B2104" t="s">
        <v>145</v>
      </c>
      <c r="C2104" t="s">
        <v>92</v>
      </c>
      <c r="D2104" t="s">
        <v>219</v>
      </c>
      <c r="E2104" t="s">
        <v>206</v>
      </c>
      <c r="F2104" s="1">
        <v>326</v>
      </c>
    </row>
    <row r="2105" spans="1:6" x14ac:dyDescent="0.3">
      <c r="A2105" t="str">
        <f>_xlfn.XLOOKUP(ColombiaClientes[[#This Row],[Client]],VpsClientes[Client],VpsClientes[VP],"",0)</f>
        <v>Martha Guzman Arango</v>
      </c>
      <c r="B2105" t="s">
        <v>166</v>
      </c>
      <c r="C2105" t="s">
        <v>92</v>
      </c>
      <c r="D2105" t="s">
        <v>219</v>
      </c>
      <c r="E2105" t="s">
        <v>206</v>
      </c>
      <c r="F2105" s="1">
        <v>325</v>
      </c>
    </row>
    <row r="2106" spans="1:6" x14ac:dyDescent="0.3">
      <c r="A2106" t="str">
        <f>_xlfn.XLOOKUP(ColombiaClientes[[#This Row],[Client]],VpsClientes[Client],VpsClientes[VP],"",0)</f>
        <v>Jhonatan Izquierdo Rico</v>
      </c>
      <c r="B2106" t="s">
        <v>129</v>
      </c>
      <c r="C2106" t="s">
        <v>92</v>
      </c>
      <c r="D2106" t="s">
        <v>219</v>
      </c>
      <c r="E2106" t="s">
        <v>206</v>
      </c>
      <c r="F2106" s="1">
        <v>325</v>
      </c>
    </row>
    <row r="2107" spans="1:6" x14ac:dyDescent="0.3">
      <c r="A2107" t="str">
        <f>_xlfn.XLOOKUP(ColombiaClientes[[#This Row],[Client]],VpsClientes[Client],VpsClientes[VP],"",0)</f>
        <v>Martha Guzman Arango</v>
      </c>
      <c r="B2107" t="s">
        <v>162</v>
      </c>
      <c r="C2107" t="s">
        <v>92</v>
      </c>
      <c r="D2107" t="s">
        <v>219</v>
      </c>
      <c r="E2107" t="s">
        <v>206</v>
      </c>
      <c r="F2107" s="1">
        <v>313</v>
      </c>
    </row>
    <row r="2108" spans="1:6" x14ac:dyDescent="0.3">
      <c r="A2108" t="str">
        <f>_xlfn.XLOOKUP(ColombiaClientes[[#This Row],[Client]],VpsClientes[Client],VpsClientes[VP],"",0)</f>
        <v>Martha Guzman Arango</v>
      </c>
      <c r="B2108" t="s">
        <v>143</v>
      </c>
      <c r="C2108" t="s">
        <v>92</v>
      </c>
      <c r="D2108" t="s">
        <v>219</v>
      </c>
      <c r="E2108" t="s">
        <v>206</v>
      </c>
      <c r="F2108" s="1">
        <v>238</v>
      </c>
    </row>
    <row r="2109" spans="1:6" x14ac:dyDescent="0.3">
      <c r="A2109" t="str">
        <f>_xlfn.XLOOKUP(ColombiaClientes[[#This Row],[Client]],VpsClientes[Client],VpsClientes[VP],"",0)</f>
        <v>Maria Forero Jara</v>
      </c>
      <c r="B2109" t="s">
        <v>163</v>
      </c>
      <c r="C2109" t="s">
        <v>92</v>
      </c>
      <c r="D2109" t="s">
        <v>219</v>
      </c>
      <c r="E2109" t="s">
        <v>206</v>
      </c>
      <c r="F2109" s="1">
        <v>234</v>
      </c>
    </row>
    <row r="2110" spans="1:6" x14ac:dyDescent="0.3">
      <c r="A2110" t="str">
        <f>_xlfn.XLOOKUP(ColombiaClientes[[#This Row],[Client]],VpsClientes[Client],VpsClientes[VP],"",0)</f>
        <v>Maria Forero Jara</v>
      </c>
      <c r="B2110" t="s">
        <v>198</v>
      </c>
      <c r="C2110" t="s">
        <v>92</v>
      </c>
      <c r="D2110" t="s">
        <v>219</v>
      </c>
      <c r="E2110" t="s">
        <v>206</v>
      </c>
      <c r="F2110" s="1">
        <v>207</v>
      </c>
    </row>
    <row r="2111" spans="1:6" x14ac:dyDescent="0.3">
      <c r="A2111" t="str">
        <f>_xlfn.XLOOKUP(ColombiaClientes[[#This Row],[Client]],VpsClientes[Client],VpsClientes[VP],"",0)</f>
        <v>Martha Guzman Arango</v>
      </c>
      <c r="B2111" t="s">
        <v>185</v>
      </c>
      <c r="C2111" t="s">
        <v>92</v>
      </c>
      <c r="D2111" t="s">
        <v>219</v>
      </c>
      <c r="E2111" t="s">
        <v>206</v>
      </c>
      <c r="F2111" s="1">
        <v>204</v>
      </c>
    </row>
    <row r="2112" spans="1:6" x14ac:dyDescent="0.3">
      <c r="A2112" t="str">
        <f>_xlfn.XLOOKUP(ColombiaClientes[[#This Row],[Client]],VpsClientes[Client],VpsClientes[VP],"",0)</f>
        <v>Martha Guzman Arango</v>
      </c>
      <c r="B2112" t="s">
        <v>148</v>
      </c>
      <c r="C2112" t="s">
        <v>92</v>
      </c>
      <c r="D2112" t="s">
        <v>219</v>
      </c>
      <c r="E2112" t="s">
        <v>206</v>
      </c>
      <c r="F2112" s="1">
        <v>202</v>
      </c>
    </row>
    <row r="2113" spans="1:6" x14ac:dyDescent="0.3">
      <c r="A2113" t="str">
        <f>_xlfn.XLOOKUP(ColombiaClientes[[#This Row],[Client]],VpsClientes[Client],VpsClientes[VP],"",0)</f>
        <v>Maria Forero Jara</v>
      </c>
      <c r="B2113" t="s">
        <v>179</v>
      </c>
      <c r="C2113" t="s">
        <v>92</v>
      </c>
      <c r="D2113" t="s">
        <v>219</v>
      </c>
      <c r="E2113" t="s">
        <v>206</v>
      </c>
      <c r="F2113" s="1">
        <v>190</v>
      </c>
    </row>
    <row r="2114" spans="1:6" x14ac:dyDescent="0.3">
      <c r="A2114" t="str">
        <f>_xlfn.XLOOKUP(ColombiaClientes[[#This Row],[Client]],VpsClientes[Client],VpsClientes[VP],"",0)</f>
        <v>Martha Guzman Arango</v>
      </c>
      <c r="B2114" t="s">
        <v>168</v>
      </c>
      <c r="C2114" t="s">
        <v>92</v>
      </c>
      <c r="D2114" t="s">
        <v>219</v>
      </c>
      <c r="E2114" t="s">
        <v>206</v>
      </c>
      <c r="F2114" s="1">
        <v>182</v>
      </c>
    </row>
    <row r="2115" spans="1:6" x14ac:dyDescent="0.3">
      <c r="A2115" t="str">
        <f>_xlfn.XLOOKUP(ColombiaClientes[[#This Row],[Client]],VpsClientes[Client],VpsClientes[VP],"",0)</f>
        <v>Juan Granados Castillo</v>
      </c>
      <c r="B2115" t="s">
        <v>142</v>
      </c>
      <c r="C2115" t="s">
        <v>92</v>
      </c>
      <c r="D2115" t="s">
        <v>219</v>
      </c>
      <c r="E2115" t="s">
        <v>206</v>
      </c>
      <c r="F2115" s="1">
        <v>176</v>
      </c>
    </row>
    <row r="2116" spans="1:6" x14ac:dyDescent="0.3">
      <c r="A2116" t="str">
        <f>_xlfn.XLOOKUP(ColombiaClientes[[#This Row],[Client]],VpsClientes[Client],VpsClientes[VP],"",0)</f>
        <v>Moises Saavedra Garcia</v>
      </c>
      <c r="B2116" t="s">
        <v>172</v>
      </c>
      <c r="C2116" t="s">
        <v>92</v>
      </c>
      <c r="D2116" t="s">
        <v>219</v>
      </c>
      <c r="E2116" t="s">
        <v>206</v>
      </c>
      <c r="F2116" s="1">
        <v>144</v>
      </c>
    </row>
    <row r="2117" spans="1:6" x14ac:dyDescent="0.3">
      <c r="A2117" t="str">
        <f>_xlfn.XLOOKUP(ColombiaClientes[[#This Row],[Client]],VpsClientes[Client],VpsClientes[VP],"",0)</f>
        <v>Jhonatan Izquierdo Rico</v>
      </c>
      <c r="B2117" t="s">
        <v>196</v>
      </c>
      <c r="C2117" t="s">
        <v>92</v>
      </c>
      <c r="D2117" t="s">
        <v>219</v>
      </c>
      <c r="E2117" t="s">
        <v>206</v>
      </c>
      <c r="F2117" s="1">
        <v>141</v>
      </c>
    </row>
    <row r="2118" spans="1:6" x14ac:dyDescent="0.3">
      <c r="A2118" t="str">
        <f>_xlfn.XLOOKUP(ColombiaClientes[[#This Row],[Client]],VpsClientes[Client],VpsClientes[VP],"",0)</f>
        <v>Hector Muraira Garza</v>
      </c>
      <c r="B2118" t="s">
        <v>178</v>
      </c>
      <c r="C2118" t="s">
        <v>191</v>
      </c>
      <c r="D2118" t="s">
        <v>219</v>
      </c>
      <c r="E2118" t="s">
        <v>91</v>
      </c>
      <c r="F2118" s="1">
        <v>80</v>
      </c>
    </row>
    <row r="2119" spans="1:6" x14ac:dyDescent="0.3">
      <c r="A2119" t="str">
        <f>_xlfn.XLOOKUP(ColombiaClientes[[#This Row],[Client]],VpsClientes[Client],VpsClientes[VP],"",0)</f>
        <v>Maria Forero Jara</v>
      </c>
      <c r="B2119" t="s">
        <v>161</v>
      </c>
      <c r="C2119" t="s">
        <v>92</v>
      </c>
      <c r="D2119" t="s">
        <v>219</v>
      </c>
      <c r="E2119" t="s">
        <v>206</v>
      </c>
      <c r="F2119" s="1">
        <v>131</v>
      </c>
    </row>
    <row r="2120" spans="1:6" x14ac:dyDescent="0.3">
      <c r="A2120" t="str">
        <f>_xlfn.XLOOKUP(ColombiaClientes[[#This Row],[Client]],VpsClientes[Client],VpsClientes[VP],"",0)</f>
        <v>Martha Guzman Arango</v>
      </c>
      <c r="B2120" t="s">
        <v>174</v>
      </c>
      <c r="C2120" t="s">
        <v>92</v>
      </c>
      <c r="D2120" t="s">
        <v>219</v>
      </c>
      <c r="E2120" t="s">
        <v>206</v>
      </c>
      <c r="F2120" s="1">
        <v>122</v>
      </c>
    </row>
    <row r="2121" spans="1:6" x14ac:dyDescent="0.3">
      <c r="A2121" t="str">
        <f>_xlfn.XLOOKUP(ColombiaClientes[[#This Row],[Client]],VpsClientes[Client],VpsClientes[VP],"",0)</f>
        <v>Maria Forero Jara</v>
      </c>
      <c r="B2121" t="s">
        <v>144</v>
      </c>
      <c r="C2121" t="s">
        <v>92</v>
      </c>
      <c r="D2121" t="s">
        <v>219</v>
      </c>
      <c r="E2121" t="s">
        <v>206</v>
      </c>
      <c r="F2121" s="1">
        <v>118</v>
      </c>
    </row>
    <row r="2122" spans="1:6" x14ac:dyDescent="0.3">
      <c r="A2122" t="str">
        <f>_xlfn.XLOOKUP(ColombiaClientes[[#This Row],[Client]],VpsClientes[Client],VpsClientes[VP],"",0)</f>
        <v>Martha Guzman Arango</v>
      </c>
      <c r="B2122" t="s">
        <v>170</v>
      </c>
      <c r="C2122" t="s">
        <v>92</v>
      </c>
      <c r="D2122" t="s">
        <v>219</v>
      </c>
      <c r="E2122" t="s">
        <v>206</v>
      </c>
      <c r="F2122" s="1">
        <v>118</v>
      </c>
    </row>
    <row r="2123" spans="1:6" x14ac:dyDescent="0.3">
      <c r="A2123" t="str">
        <f>_xlfn.XLOOKUP(ColombiaClientes[[#This Row],[Client]],VpsClientes[Client],VpsClientes[VP],"",0)</f>
        <v>Carlos Beltran Hernandez</v>
      </c>
      <c r="B2123" t="s">
        <v>158</v>
      </c>
      <c r="C2123" t="s">
        <v>92</v>
      </c>
      <c r="D2123" t="s">
        <v>219</v>
      </c>
      <c r="E2123" t="s">
        <v>206</v>
      </c>
      <c r="F2123" s="1">
        <v>118</v>
      </c>
    </row>
    <row r="2124" spans="1:6" x14ac:dyDescent="0.3">
      <c r="A2124" t="str">
        <f>_xlfn.XLOOKUP(ColombiaClientes[[#This Row],[Client]],VpsClientes[Client],VpsClientes[VP],"",0)</f>
        <v>Hector Muraira Garza</v>
      </c>
      <c r="B2124" t="s">
        <v>132</v>
      </c>
      <c r="C2124" t="s">
        <v>92</v>
      </c>
      <c r="D2124" t="s">
        <v>219</v>
      </c>
      <c r="E2124" t="s">
        <v>206</v>
      </c>
      <c r="F2124" s="1">
        <v>116</v>
      </c>
    </row>
    <row r="2125" spans="1:6" x14ac:dyDescent="0.3">
      <c r="A2125" t="str">
        <f>_xlfn.XLOOKUP(ColombiaClientes[[#This Row],[Client]],VpsClientes[Client],VpsClientes[VP],"",0)</f>
        <v>Jhonatan Izquierdo Rico</v>
      </c>
      <c r="B2125" t="s">
        <v>197</v>
      </c>
      <c r="C2125" t="s">
        <v>92</v>
      </c>
      <c r="D2125" t="s">
        <v>219</v>
      </c>
      <c r="E2125" t="s">
        <v>206</v>
      </c>
      <c r="F2125" s="1">
        <v>111</v>
      </c>
    </row>
    <row r="2126" spans="1:6" x14ac:dyDescent="0.3">
      <c r="A2126" t="str">
        <f>_xlfn.XLOOKUP(ColombiaClientes[[#This Row],[Client]],VpsClientes[Client],VpsClientes[VP],"",0)</f>
        <v>Juan Granados Castillo</v>
      </c>
      <c r="B2126" t="s">
        <v>149</v>
      </c>
      <c r="C2126" t="s">
        <v>92</v>
      </c>
      <c r="D2126" t="s">
        <v>219</v>
      </c>
      <c r="E2126" t="s">
        <v>206</v>
      </c>
      <c r="F2126" s="1">
        <v>110</v>
      </c>
    </row>
    <row r="2127" spans="1:6" x14ac:dyDescent="0.3">
      <c r="A2127" t="str">
        <f>_xlfn.XLOOKUP(ColombiaClientes[[#This Row],[Client]],VpsClientes[Client],VpsClientes[VP],"",0)</f>
        <v>Martha Guzman Arango</v>
      </c>
      <c r="B2127" t="s">
        <v>183</v>
      </c>
      <c r="C2127" t="s">
        <v>92</v>
      </c>
      <c r="D2127" t="s">
        <v>219</v>
      </c>
      <c r="E2127" t="s">
        <v>206</v>
      </c>
      <c r="F2127" s="1">
        <v>88</v>
      </c>
    </row>
    <row r="2128" spans="1:6" x14ac:dyDescent="0.3">
      <c r="A2128" t="str">
        <f>_xlfn.XLOOKUP(ColombiaClientes[[#This Row],[Client]],VpsClientes[Client],VpsClientes[VP],"",0)</f>
        <v>Martha Guzman Arango</v>
      </c>
      <c r="B2128" t="s">
        <v>176</v>
      </c>
      <c r="C2128" t="s">
        <v>92</v>
      </c>
      <c r="D2128" t="s">
        <v>219</v>
      </c>
      <c r="E2128" t="s">
        <v>206</v>
      </c>
      <c r="F2128" s="1">
        <v>84</v>
      </c>
    </row>
    <row r="2129" spans="1:6" x14ac:dyDescent="0.3">
      <c r="A2129" t="str">
        <f>_xlfn.XLOOKUP(ColombiaClientes[[#This Row],[Client]],VpsClientes[Client],VpsClientes[VP],"",0)</f>
        <v>Carlos Beltran Hernandez</v>
      </c>
      <c r="B2129" t="s">
        <v>173</v>
      </c>
      <c r="C2129" t="s">
        <v>92</v>
      </c>
      <c r="D2129" t="s">
        <v>219</v>
      </c>
      <c r="E2129" t="s">
        <v>206</v>
      </c>
      <c r="F2129" s="1">
        <v>74</v>
      </c>
    </row>
    <row r="2130" spans="1:6" x14ac:dyDescent="0.3">
      <c r="A2130" t="str">
        <f>_xlfn.XLOOKUP(ColombiaClientes[[#This Row],[Client]],VpsClientes[Client],VpsClientes[VP],"",0)</f>
        <v>Carlos Beltran Hernandez</v>
      </c>
      <c r="B2130" t="s">
        <v>151</v>
      </c>
      <c r="C2130" t="s">
        <v>92</v>
      </c>
      <c r="D2130" t="s">
        <v>219</v>
      </c>
      <c r="E2130" t="s">
        <v>206</v>
      </c>
      <c r="F2130" s="1">
        <v>71</v>
      </c>
    </row>
    <row r="2131" spans="1:6" x14ac:dyDescent="0.3">
      <c r="A2131" t="str">
        <f>_xlfn.XLOOKUP(ColombiaClientes[[#This Row],[Client]],VpsClientes[Client],VpsClientes[VP],"",0)</f>
        <v>Martha Guzman Arango</v>
      </c>
      <c r="B2131" t="s">
        <v>171</v>
      </c>
      <c r="C2131" t="s">
        <v>92</v>
      </c>
      <c r="D2131" t="s">
        <v>219</v>
      </c>
      <c r="E2131" t="s">
        <v>206</v>
      </c>
      <c r="F2131" s="1">
        <v>70</v>
      </c>
    </row>
    <row r="2132" spans="1:6" x14ac:dyDescent="0.3">
      <c r="A2132" t="str">
        <f>_xlfn.XLOOKUP(ColombiaClientes[[#This Row],[Client]],VpsClientes[Client],VpsClientes[VP],"",0)</f>
        <v>Martha Guzman Arango</v>
      </c>
      <c r="B2132" t="s">
        <v>131</v>
      </c>
      <c r="C2132" t="s">
        <v>92</v>
      </c>
      <c r="D2132" t="s">
        <v>219</v>
      </c>
      <c r="E2132" t="s">
        <v>206</v>
      </c>
      <c r="F2132" s="1">
        <v>68</v>
      </c>
    </row>
    <row r="2133" spans="1:6" x14ac:dyDescent="0.3">
      <c r="A2133" t="str">
        <f>_xlfn.XLOOKUP(ColombiaClientes[[#This Row],[Client]],VpsClientes[Client],VpsClientes[VP],"",0)</f>
        <v>Hector Muraira Garza</v>
      </c>
      <c r="B2133" t="s">
        <v>178</v>
      </c>
      <c r="C2133" t="s">
        <v>192</v>
      </c>
      <c r="D2133" t="s">
        <v>219</v>
      </c>
      <c r="E2133" t="s">
        <v>91</v>
      </c>
      <c r="F2133" s="1">
        <v>77</v>
      </c>
    </row>
    <row r="2134" spans="1:6" x14ac:dyDescent="0.3">
      <c r="A2134" t="str">
        <f>_xlfn.XLOOKUP(ColombiaClientes[[#This Row],[Client]],VpsClientes[Client],VpsClientes[VP],"",0)</f>
        <v>Martha Guzman Arango</v>
      </c>
      <c r="B2134" t="s">
        <v>155</v>
      </c>
      <c r="C2134" t="s">
        <v>92</v>
      </c>
      <c r="D2134" t="s">
        <v>219</v>
      </c>
      <c r="E2134" t="s">
        <v>206</v>
      </c>
      <c r="F2134" s="1">
        <v>56</v>
      </c>
    </row>
    <row r="2135" spans="1:6" x14ac:dyDescent="0.3">
      <c r="A2135" t="str">
        <f>_xlfn.XLOOKUP(ColombiaClientes[[#This Row],[Client]],VpsClientes[Client],VpsClientes[VP],"",0)</f>
        <v>Moises Saavedra Garcia</v>
      </c>
      <c r="B2135" t="s">
        <v>190</v>
      </c>
      <c r="C2135" t="s">
        <v>92</v>
      </c>
      <c r="D2135" t="s">
        <v>219</v>
      </c>
      <c r="E2135" t="s">
        <v>206</v>
      </c>
      <c r="F2135" s="1">
        <v>56</v>
      </c>
    </row>
    <row r="2136" spans="1:6" x14ac:dyDescent="0.3">
      <c r="A2136" t="str">
        <f>_xlfn.XLOOKUP(ColombiaClientes[[#This Row],[Client]],VpsClientes[Client],VpsClientes[VP],"",0)</f>
        <v>Martha Guzman Arango</v>
      </c>
      <c r="B2136" t="s">
        <v>165</v>
      </c>
      <c r="C2136" t="s">
        <v>92</v>
      </c>
      <c r="D2136" t="s">
        <v>219</v>
      </c>
      <c r="E2136" t="s">
        <v>206</v>
      </c>
      <c r="F2136" s="1">
        <v>51</v>
      </c>
    </row>
    <row r="2137" spans="1:6" x14ac:dyDescent="0.3">
      <c r="A2137" t="str">
        <f>_xlfn.XLOOKUP(ColombiaClientes[[#This Row],[Client]],VpsClientes[Client],VpsClientes[VP],"",0)</f>
        <v>Maria Forero Jara</v>
      </c>
      <c r="B2137" t="s">
        <v>182</v>
      </c>
      <c r="C2137" t="s">
        <v>92</v>
      </c>
      <c r="D2137" t="s">
        <v>219</v>
      </c>
      <c r="E2137" t="s">
        <v>206</v>
      </c>
      <c r="F2137" s="1">
        <v>34</v>
      </c>
    </row>
    <row r="2138" spans="1:6" x14ac:dyDescent="0.3">
      <c r="A2138" t="str">
        <f>_xlfn.XLOOKUP(ColombiaClientes[[#This Row],[Client]],VpsClientes[Client],VpsClientes[VP],"",0)</f>
        <v>Martha Guzman Arango</v>
      </c>
      <c r="B2138" t="s">
        <v>169</v>
      </c>
      <c r="C2138" t="s">
        <v>92</v>
      </c>
      <c r="D2138" t="s">
        <v>219</v>
      </c>
      <c r="E2138" t="s">
        <v>206</v>
      </c>
      <c r="F2138" s="1">
        <v>28</v>
      </c>
    </row>
    <row r="2139" spans="1:6" x14ac:dyDescent="0.3">
      <c r="A2139" t="str">
        <f>_xlfn.XLOOKUP(ColombiaClientes[[#This Row],[Client]],VpsClientes[Client],VpsClientes[VP],"",0)</f>
        <v>Moises Saavedra Garcia</v>
      </c>
      <c r="B2139" t="s">
        <v>207</v>
      </c>
      <c r="C2139" t="s">
        <v>92</v>
      </c>
      <c r="D2139" t="s">
        <v>219</v>
      </c>
      <c r="E2139" t="s">
        <v>206</v>
      </c>
      <c r="F2139" s="1">
        <v>26</v>
      </c>
    </row>
    <row r="2140" spans="1:6" x14ac:dyDescent="0.3">
      <c r="A2140" t="str">
        <f>_xlfn.XLOOKUP(ColombiaClientes[[#This Row],[Client]],VpsClientes[Client],VpsClientes[VP],"",0)</f>
        <v>Moises Saavedra Garcia</v>
      </c>
      <c r="B2140" t="s">
        <v>187</v>
      </c>
      <c r="C2140" t="s">
        <v>92</v>
      </c>
      <c r="D2140" t="s">
        <v>219</v>
      </c>
      <c r="E2140" t="s">
        <v>206</v>
      </c>
      <c r="F2140" s="1">
        <v>26</v>
      </c>
    </row>
    <row r="2141" spans="1:6" x14ac:dyDescent="0.3">
      <c r="A2141" t="str">
        <f>_xlfn.XLOOKUP(ColombiaClientes[[#This Row],[Client]],VpsClientes[Client],VpsClientes[VP],"",0)</f>
        <v>Moises Saavedra Garcia</v>
      </c>
      <c r="B2141" t="s">
        <v>175</v>
      </c>
      <c r="C2141" t="s">
        <v>92</v>
      </c>
      <c r="D2141" t="s">
        <v>219</v>
      </c>
      <c r="E2141" t="s">
        <v>206</v>
      </c>
      <c r="F2141" s="1">
        <v>24</v>
      </c>
    </row>
    <row r="2142" spans="1:6" x14ac:dyDescent="0.3">
      <c r="A2142" t="str">
        <f>_xlfn.XLOOKUP(ColombiaClientes[[#This Row],[Client]],VpsClientes[Client],VpsClientes[VP],"",0)</f>
        <v>Hector Muraira Garza</v>
      </c>
      <c r="B2142" t="s">
        <v>178</v>
      </c>
      <c r="C2142" t="s">
        <v>194</v>
      </c>
      <c r="D2142" t="s">
        <v>219</v>
      </c>
      <c r="E2142" t="s">
        <v>91</v>
      </c>
      <c r="F2142" s="1">
        <v>142</v>
      </c>
    </row>
    <row r="2143" spans="1:6" x14ac:dyDescent="0.3">
      <c r="A2143" t="str">
        <f>_xlfn.XLOOKUP(ColombiaClientes[[#This Row],[Client]],VpsClientes[Client],VpsClientes[VP],"",0)</f>
        <v>Hector Muraira Garza</v>
      </c>
      <c r="B2143" t="s">
        <v>164</v>
      </c>
      <c r="C2143" t="s">
        <v>92</v>
      </c>
      <c r="D2143" t="s">
        <v>219</v>
      </c>
      <c r="E2143" t="s">
        <v>206</v>
      </c>
      <c r="F2143" s="1">
        <v>16</v>
      </c>
    </row>
    <row r="2144" spans="1:6" x14ac:dyDescent="0.3">
      <c r="A2144" t="str">
        <f>_xlfn.XLOOKUP(ColombiaClientes[[#This Row],[Client]],VpsClientes[Client],VpsClientes[VP],"",0)</f>
        <v>Martha Guzman Arango</v>
      </c>
      <c r="B2144" t="s">
        <v>186</v>
      </c>
      <c r="C2144" t="s">
        <v>92</v>
      </c>
      <c r="D2144" t="s">
        <v>219</v>
      </c>
      <c r="E2144" t="s">
        <v>206</v>
      </c>
      <c r="F2144" s="1">
        <v>10</v>
      </c>
    </row>
    <row r="2145" spans="1:6" x14ac:dyDescent="0.3">
      <c r="A2145" t="str">
        <f>_xlfn.XLOOKUP(ColombiaClientes[[#This Row],[Client]],VpsClientes[Client],VpsClientes[VP],"",0)</f>
        <v>Jhonatan Izquierdo Rico</v>
      </c>
      <c r="B2145" t="s">
        <v>200</v>
      </c>
      <c r="C2145" t="s">
        <v>92</v>
      </c>
      <c r="D2145" t="s">
        <v>219</v>
      </c>
      <c r="E2145" t="s">
        <v>206</v>
      </c>
      <c r="F2145" s="1">
        <v>6</v>
      </c>
    </row>
    <row r="2146" spans="1:6" x14ac:dyDescent="0.3">
      <c r="A2146" t="str">
        <f>_xlfn.XLOOKUP(ColombiaClientes[[#This Row],[Client]],VpsClientes[Client],VpsClientes[VP],"",0)</f>
        <v>Martha Guzman Arango</v>
      </c>
      <c r="B2146" t="s">
        <v>180</v>
      </c>
      <c r="C2146" t="s">
        <v>92</v>
      </c>
      <c r="D2146" t="s">
        <v>219</v>
      </c>
      <c r="E2146" t="s">
        <v>206</v>
      </c>
      <c r="F2146" s="1">
        <v>5</v>
      </c>
    </row>
    <row r="2147" spans="1:6" x14ac:dyDescent="0.3">
      <c r="A2147" t="str">
        <f>_xlfn.XLOOKUP(ColombiaClientes[[#This Row],[Client]],VpsClientes[Client],VpsClientes[VP],"",0)</f>
        <v>Hector Muraira Garza</v>
      </c>
      <c r="B2147" t="s">
        <v>167</v>
      </c>
      <c r="C2147" t="s">
        <v>92</v>
      </c>
      <c r="D2147" t="s">
        <v>219</v>
      </c>
      <c r="E2147" t="s">
        <v>206</v>
      </c>
      <c r="F2147" s="1">
        <v>4</v>
      </c>
    </row>
    <row r="2148" spans="1:6" x14ac:dyDescent="0.3">
      <c r="A2148" t="str">
        <f>_xlfn.XLOOKUP(ColombiaClientes[[#This Row],[Client]],VpsClientes[Client],VpsClientes[VP],"",0)</f>
        <v>Martha Guzman Arango</v>
      </c>
      <c r="B2148" t="s">
        <v>189</v>
      </c>
      <c r="C2148" t="s">
        <v>92</v>
      </c>
      <c r="D2148" t="s">
        <v>219</v>
      </c>
      <c r="E2148" t="s">
        <v>206</v>
      </c>
      <c r="F2148" s="1">
        <v>3</v>
      </c>
    </row>
    <row r="2149" spans="1:6" x14ac:dyDescent="0.3">
      <c r="A2149" t="str">
        <f>_xlfn.XLOOKUP(ColombiaClientes[[#This Row],[Client]],VpsClientes[Client],VpsClientes[VP],"",0)</f>
        <v>Martha Guzman Arango</v>
      </c>
      <c r="B2149" t="s">
        <v>188</v>
      </c>
      <c r="C2149" t="s">
        <v>92</v>
      </c>
      <c r="D2149" t="s">
        <v>219</v>
      </c>
      <c r="E2149" t="s">
        <v>206</v>
      </c>
      <c r="F2149" s="1">
        <v>2</v>
      </c>
    </row>
    <row r="2150" spans="1:6" x14ac:dyDescent="0.3">
      <c r="A2150" t="str">
        <f>_xlfn.XLOOKUP(ColombiaClientes[[#This Row],[Client]],VpsClientes[Client],VpsClientes[VP],"",0)</f>
        <v>Jhonatan Izquierdo Rico</v>
      </c>
      <c r="B2150" t="s">
        <v>159</v>
      </c>
      <c r="C2150" t="s">
        <v>92</v>
      </c>
      <c r="D2150" t="s">
        <v>219</v>
      </c>
      <c r="E2150" t="s">
        <v>206</v>
      </c>
      <c r="F2150" s="1">
        <v>0</v>
      </c>
    </row>
    <row r="2151" spans="1:6" x14ac:dyDescent="0.3">
      <c r="A2151" t="str">
        <f>_xlfn.XLOOKUP(ColombiaClientes[[#This Row],[Client]],VpsClientes[Client],VpsClientes[VP],"",0)</f>
        <v>Martha Guzman Arango</v>
      </c>
      <c r="B2151" t="s">
        <v>98</v>
      </c>
      <c r="C2151" t="s">
        <v>191</v>
      </c>
      <c r="D2151" t="s">
        <v>219</v>
      </c>
      <c r="E2151" t="s">
        <v>206</v>
      </c>
      <c r="F2151" s="1">
        <v>21719</v>
      </c>
    </row>
    <row r="2152" spans="1:6" x14ac:dyDescent="0.3">
      <c r="A2152" t="str">
        <f>_xlfn.XLOOKUP(ColombiaClientes[[#This Row],[Client]],VpsClientes[Client],VpsClientes[VP],"",0)</f>
        <v>Martha Guzman Arango</v>
      </c>
      <c r="B2152" t="s">
        <v>96</v>
      </c>
      <c r="C2152" t="s">
        <v>191</v>
      </c>
      <c r="D2152" t="s">
        <v>219</v>
      </c>
      <c r="E2152" t="s">
        <v>206</v>
      </c>
      <c r="F2152" s="1">
        <v>11903</v>
      </c>
    </row>
    <row r="2153" spans="1:6" x14ac:dyDescent="0.3">
      <c r="A2153" t="str">
        <f>_xlfn.XLOOKUP(ColombiaClientes[[#This Row],[Client]],VpsClientes[Client],VpsClientes[VP],"",0)</f>
        <v>Moises Saavedra Garcia</v>
      </c>
      <c r="B2153" t="s">
        <v>99</v>
      </c>
      <c r="C2153" t="s">
        <v>191</v>
      </c>
      <c r="D2153" t="s">
        <v>219</v>
      </c>
      <c r="E2153" t="s">
        <v>206</v>
      </c>
      <c r="F2153" s="1">
        <v>9160</v>
      </c>
    </row>
    <row r="2154" spans="1:6" x14ac:dyDescent="0.3">
      <c r="A2154" t="str">
        <f>_xlfn.XLOOKUP(ColombiaClientes[[#This Row],[Client]],VpsClientes[Client],VpsClientes[VP],"",0)</f>
        <v>Hector Muraira Garza</v>
      </c>
      <c r="B2154" t="s">
        <v>140</v>
      </c>
      <c r="C2154" t="s">
        <v>191</v>
      </c>
      <c r="D2154" t="s">
        <v>219</v>
      </c>
      <c r="E2154" t="s">
        <v>206</v>
      </c>
      <c r="F2154" s="1">
        <v>5950</v>
      </c>
    </row>
    <row r="2155" spans="1:6" x14ac:dyDescent="0.3">
      <c r="A2155" t="str">
        <f>_xlfn.XLOOKUP(ColombiaClientes[[#This Row],[Client]],VpsClientes[Client],VpsClientes[VP],"",0)</f>
        <v>Maria Forero Jara</v>
      </c>
      <c r="B2155" t="s">
        <v>139</v>
      </c>
      <c r="C2155" t="s">
        <v>191</v>
      </c>
      <c r="D2155" t="s">
        <v>219</v>
      </c>
      <c r="E2155" t="s">
        <v>206</v>
      </c>
      <c r="F2155" s="1">
        <v>5415</v>
      </c>
    </row>
    <row r="2156" spans="1:6" x14ac:dyDescent="0.3">
      <c r="A2156" t="str">
        <f>_xlfn.XLOOKUP(ColombiaClientes[[#This Row],[Client]],VpsClientes[Client],VpsClientes[VP],"",0)</f>
        <v>Martha Guzman Arango</v>
      </c>
      <c r="B2156" t="s">
        <v>100</v>
      </c>
      <c r="C2156" t="s">
        <v>191</v>
      </c>
      <c r="D2156" t="s">
        <v>219</v>
      </c>
      <c r="E2156" t="s">
        <v>206</v>
      </c>
      <c r="F2156" s="1">
        <v>4602</v>
      </c>
    </row>
    <row r="2157" spans="1:6" x14ac:dyDescent="0.3">
      <c r="A2157" t="str">
        <f>_xlfn.XLOOKUP(ColombiaClientes[[#This Row],[Client]],VpsClientes[Client],VpsClientes[VP],"",0)</f>
        <v>Jhonatan Izquierdo Rico</v>
      </c>
      <c r="B2157" t="s">
        <v>112</v>
      </c>
      <c r="C2157" t="s">
        <v>191</v>
      </c>
      <c r="D2157" t="s">
        <v>219</v>
      </c>
      <c r="E2157" t="s">
        <v>206</v>
      </c>
      <c r="F2157" s="1">
        <v>4428</v>
      </c>
    </row>
    <row r="2158" spans="1:6" x14ac:dyDescent="0.3">
      <c r="A2158" t="str">
        <f>_xlfn.XLOOKUP(ColombiaClientes[[#This Row],[Client]],VpsClientes[Client],VpsClientes[VP],"",0)</f>
        <v>Carlos Beltran Hernandez</v>
      </c>
      <c r="B2158" t="s">
        <v>94</v>
      </c>
      <c r="C2158" t="s">
        <v>191</v>
      </c>
      <c r="D2158" t="s">
        <v>219</v>
      </c>
      <c r="E2158" t="s">
        <v>206</v>
      </c>
      <c r="F2158" s="1">
        <v>4135</v>
      </c>
    </row>
    <row r="2159" spans="1:6" x14ac:dyDescent="0.3">
      <c r="A2159" t="str">
        <f>_xlfn.XLOOKUP(ColombiaClientes[[#This Row],[Client]],VpsClientes[Client],VpsClientes[VP],"",0)</f>
        <v>Martha Guzman Arango</v>
      </c>
      <c r="B2159" t="s">
        <v>168</v>
      </c>
      <c r="C2159" t="s">
        <v>191</v>
      </c>
      <c r="D2159" t="s">
        <v>219</v>
      </c>
      <c r="E2159" t="s">
        <v>206</v>
      </c>
      <c r="F2159" s="1">
        <v>3473</v>
      </c>
    </row>
    <row r="2160" spans="1:6" x14ac:dyDescent="0.3">
      <c r="A2160" t="str">
        <f>_xlfn.XLOOKUP(ColombiaClientes[[#This Row],[Client]],VpsClientes[Client],VpsClientes[VP],"",0)</f>
        <v>Martha Guzman Arango</v>
      </c>
      <c r="B2160" t="s">
        <v>97</v>
      </c>
      <c r="C2160" t="s">
        <v>191</v>
      </c>
      <c r="D2160" t="s">
        <v>219</v>
      </c>
      <c r="E2160" t="s">
        <v>206</v>
      </c>
      <c r="F2160" s="1">
        <v>3369</v>
      </c>
    </row>
    <row r="2161" spans="1:6" x14ac:dyDescent="0.3">
      <c r="A2161" t="str">
        <f>_xlfn.XLOOKUP(ColombiaClientes[[#This Row],[Client]],VpsClientes[Client],VpsClientes[VP],"",0)</f>
        <v>Moises Saavedra Garcia</v>
      </c>
      <c r="B2161" t="s">
        <v>115</v>
      </c>
      <c r="C2161" t="s">
        <v>191</v>
      </c>
      <c r="D2161" t="s">
        <v>219</v>
      </c>
      <c r="E2161" t="s">
        <v>206</v>
      </c>
      <c r="F2161" s="1">
        <v>3253</v>
      </c>
    </row>
    <row r="2162" spans="1:6" x14ac:dyDescent="0.3">
      <c r="A2162" t="str">
        <f>_xlfn.XLOOKUP(ColombiaClientes[[#This Row],[Client]],VpsClientes[Client],VpsClientes[VP],"",0)</f>
        <v>Martha Guzman Arango</v>
      </c>
      <c r="B2162" t="s">
        <v>148</v>
      </c>
      <c r="C2162" t="s">
        <v>191</v>
      </c>
      <c r="D2162" t="s">
        <v>219</v>
      </c>
      <c r="E2162" t="s">
        <v>206</v>
      </c>
      <c r="F2162" s="1">
        <v>3193</v>
      </c>
    </row>
    <row r="2163" spans="1:6" x14ac:dyDescent="0.3">
      <c r="A2163" t="str">
        <f>_xlfn.XLOOKUP(ColombiaClientes[[#This Row],[Client]],VpsClientes[Client],VpsClientes[VP],"",0)</f>
        <v>Maria Forero Jara</v>
      </c>
      <c r="B2163" t="s">
        <v>108</v>
      </c>
      <c r="C2163" t="s">
        <v>191</v>
      </c>
      <c r="D2163" t="s">
        <v>219</v>
      </c>
      <c r="E2163" t="s">
        <v>206</v>
      </c>
      <c r="F2163" s="1">
        <v>2925</v>
      </c>
    </row>
    <row r="2164" spans="1:6" x14ac:dyDescent="0.3">
      <c r="A2164" t="str">
        <f>_xlfn.XLOOKUP(ColombiaClientes[[#This Row],[Client]],VpsClientes[Client],VpsClientes[VP],"",0)</f>
        <v>Maria Forero Jara</v>
      </c>
      <c r="B2164" t="s">
        <v>125</v>
      </c>
      <c r="C2164" t="s">
        <v>191</v>
      </c>
      <c r="D2164" t="s">
        <v>219</v>
      </c>
      <c r="E2164" t="s">
        <v>206</v>
      </c>
      <c r="F2164" s="1">
        <v>2572</v>
      </c>
    </row>
    <row r="2165" spans="1:6" x14ac:dyDescent="0.3">
      <c r="A2165" t="str">
        <f>_xlfn.XLOOKUP(ColombiaClientes[[#This Row],[Client]],VpsClientes[Client],VpsClientes[VP],"",0)</f>
        <v>Jhonatan Izquierdo Rico</v>
      </c>
      <c r="B2165" t="s">
        <v>128</v>
      </c>
      <c r="C2165" t="s">
        <v>191</v>
      </c>
      <c r="D2165" t="s">
        <v>219</v>
      </c>
      <c r="E2165" t="s">
        <v>206</v>
      </c>
      <c r="F2165" s="1">
        <v>1822</v>
      </c>
    </row>
    <row r="2166" spans="1:6" x14ac:dyDescent="0.3">
      <c r="A2166" t="str">
        <f>_xlfn.XLOOKUP(ColombiaClientes[[#This Row],[Client]],VpsClientes[Client],VpsClientes[VP],"",0)</f>
        <v>Carlos Beltran Hernandez</v>
      </c>
      <c r="B2166" t="s">
        <v>93</v>
      </c>
      <c r="C2166" t="s">
        <v>191</v>
      </c>
      <c r="D2166" t="s">
        <v>219</v>
      </c>
      <c r="E2166" t="s">
        <v>206</v>
      </c>
      <c r="F2166" s="1">
        <v>1778</v>
      </c>
    </row>
    <row r="2167" spans="1:6" x14ac:dyDescent="0.3">
      <c r="A2167" t="str">
        <f>_xlfn.XLOOKUP(ColombiaClientes[[#This Row],[Client]],VpsClientes[Client],VpsClientes[VP],"",0)</f>
        <v>Martha Guzman Arango</v>
      </c>
      <c r="B2167" t="s">
        <v>114</v>
      </c>
      <c r="C2167" t="s">
        <v>191</v>
      </c>
      <c r="D2167" t="s">
        <v>219</v>
      </c>
      <c r="E2167" t="s">
        <v>206</v>
      </c>
      <c r="F2167" s="1">
        <v>1494</v>
      </c>
    </row>
    <row r="2168" spans="1:6" x14ac:dyDescent="0.3">
      <c r="A2168" t="str">
        <f>_xlfn.XLOOKUP(ColombiaClientes[[#This Row],[Client]],VpsClientes[Client],VpsClientes[VP],"",0)</f>
        <v>Carlos Beltran Hernandez</v>
      </c>
      <c r="B2168" t="s">
        <v>102</v>
      </c>
      <c r="C2168" t="s">
        <v>191</v>
      </c>
      <c r="D2168" t="s">
        <v>219</v>
      </c>
      <c r="E2168" t="s">
        <v>206</v>
      </c>
      <c r="F2168" s="1">
        <v>1486</v>
      </c>
    </row>
    <row r="2169" spans="1:6" x14ac:dyDescent="0.3">
      <c r="A2169" t="str">
        <f>_xlfn.XLOOKUP(ColombiaClientes[[#This Row],[Client]],VpsClientes[Client],VpsClientes[VP],"",0)</f>
        <v>Martha Guzman Arango</v>
      </c>
      <c r="B2169" t="s">
        <v>122</v>
      </c>
      <c r="C2169" t="s">
        <v>191</v>
      </c>
      <c r="D2169" t="s">
        <v>219</v>
      </c>
      <c r="E2169" t="s">
        <v>206</v>
      </c>
      <c r="F2169" s="1">
        <v>1477</v>
      </c>
    </row>
    <row r="2170" spans="1:6" x14ac:dyDescent="0.3">
      <c r="A2170" t="str">
        <f>_xlfn.XLOOKUP(ColombiaClientes[[#This Row],[Client]],VpsClientes[Client],VpsClientes[VP],"",0)</f>
        <v>Maria Forero Jara</v>
      </c>
      <c r="B2170" t="s">
        <v>101</v>
      </c>
      <c r="C2170" t="s">
        <v>191</v>
      </c>
      <c r="D2170" t="s">
        <v>219</v>
      </c>
      <c r="E2170" t="s">
        <v>206</v>
      </c>
      <c r="F2170" s="1">
        <v>1378</v>
      </c>
    </row>
    <row r="2171" spans="1:6" x14ac:dyDescent="0.3">
      <c r="A2171" t="str">
        <f>_xlfn.XLOOKUP(ColombiaClientes[[#This Row],[Client]],VpsClientes[Client],VpsClientes[VP],"",0)</f>
        <v>Martha Guzman Arango</v>
      </c>
      <c r="B2171" t="s">
        <v>103</v>
      </c>
      <c r="C2171" t="s">
        <v>191</v>
      </c>
      <c r="D2171" t="s">
        <v>219</v>
      </c>
      <c r="E2171" t="s">
        <v>206</v>
      </c>
      <c r="F2171" s="1">
        <v>1317</v>
      </c>
    </row>
    <row r="2172" spans="1:6" x14ac:dyDescent="0.3">
      <c r="A2172" t="str">
        <f>_xlfn.XLOOKUP(ColombiaClientes[[#This Row],[Client]],VpsClientes[Client],VpsClientes[VP],"",0)</f>
        <v>Sandra Romero Zuluaga</v>
      </c>
      <c r="B2172" t="s">
        <v>113</v>
      </c>
      <c r="C2172" t="s">
        <v>191</v>
      </c>
      <c r="D2172" t="s">
        <v>219</v>
      </c>
      <c r="E2172" t="s">
        <v>206</v>
      </c>
      <c r="F2172" s="1">
        <v>1122</v>
      </c>
    </row>
    <row r="2173" spans="1:6" x14ac:dyDescent="0.3">
      <c r="A2173" t="str">
        <f>_xlfn.XLOOKUP(ColombiaClientes[[#This Row],[Client]],VpsClientes[Client],VpsClientes[VP],"",0)</f>
        <v>Martha Guzman Arango</v>
      </c>
      <c r="B2173" t="s">
        <v>143</v>
      </c>
      <c r="C2173" t="s">
        <v>191</v>
      </c>
      <c r="D2173" t="s">
        <v>219</v>
      </c>
      <c r="E2173" t="s">
        <v>206</v>
      </c>
      <c r="F2173" s="1">
        <v>1096</v>
      </c>
    </row>
    <row r="2174" spans="1:6" x14ac:dyDescent="0.3">
      <c r="A2174" t="str">
        <f>_xlfn.XLOOKUP(ColombiaClientes[[#This Row],[Client]],VpsClientes[Client],VpsClientes[VP],"",0)</f>
        <v>Jhonatan Izquierdo Rico</v>
      </c>
      <c r="B2174" t="s">
        <v>126</v>
      </c>
      <c r="C2174" t="s">
        <v>191</v>
      </c>
      <c r="D2174" t="s">
        <v>219</v>
      </c>
      <c r="E2174" t="s">
        <v>206</v>
      </c>
      <c r="F2174" s="1">
        <v>1085</v>
      </c>
    </row>
    <row r="2175" spans="1:6" x14ac:dyDescent="0.3">
      <c r="A2175" t="str">
        <f>_xlfn.XLOOKUP(ColombiaClientes[[#This Row],[Client]],VpsClientes[Client],VpsClientes[VP],"",0)</f>
        <v>Jhonatan Izquierdo Rico</v>
      </c>
      <c r="B2175" t="s">
        <v>104</v>
      </c>
      <c r="C2175" t="s">
        <v>191</v>
      </c>
      <c r="D2175" t="s">
        <v>219</v>
      </c>
      <c r="E2175" t="s">
        <v>206</v>
      </c>
      <c r="F2175" s="1">
        <v>945</v>
      </c>
    </row>
    <row r="2176" spans="1:6" x14ac:dyDescent="0.3">
      <c r="A2176" t="str">
        <f>_xlfn.XLOOKUP(ColombiaClientes[[#This Row],[Client]],VpsClientes[Client],VpsClientes[VP],"",0)</f>
        <v>Carlos Castillo Figueroa</v>
      </c>
      <c r="B2176" t="s">
        <v>105</v>
      </c>
      <c r="C2176" t="s">
        <v>191</v>
      </c>
      <c r="D2176" t="s">
        <v>219</v>
      </c>
      <c r="E2176" t="s">
        <v>206</v>
      </c>
      <c r="F2176" s="1">
        <v>935</v>
      </c>
    </row>
    <row r="2177" spans="1:6" x14ac:dyDescent="0.3">
      <c r="A2177" t="str">
        <f>_xlfn.XLOOKUP(ColombiaClientes[[#This Row],[Client]],VpsClientes[Client],VpsClientes[VP],"",0)</f>
        <v>Maria Forero Jara</v>
      </c>
      <c r="B2177" t="s">
        <v>106</v>
      </c>
      <c r="C2177" t="s">
        <v>191</v>
      </c>
      <c r="D2177" t="s">
        <v>219</v>
      </c>
      <c r="E2177" t="s">
        <v>206</v>
      </c>
      <c r="F2177" s="1">
        <v>756</v>
      </c>
    </row>
    <row r="2178" spans="1:6" x14ac:dyDescent="0.3">
      <c r="A2178" t="str">
        <f>_xlfn.XLOOKUP(ColombiaClientes[[#This Row],[Client]],VpsClientes[Client],VpsClientes[VP],"",0)</f>
        <v>Martha Guzman Arango</v>
      </c>
      <c r="B2178" t="s">
        <v>180</v>
      </c>
      <c r="C2178" t="s">
        <v>191</v>
      </c>
      <c r="D2178" t="s">
        <v>219</v>
      </c>
      <c r="E2178" t="s">
        <v>206</v>
      </c>
      <c r="F2178" s="1">
        <v>742</v>
      </c>
    </row>
    <row r="2179" spans="1:6" x14ac:dyDescent="0.3">
      <c r="A2179" t="str">
        <f>_xlfn.XLOOKUP(ColombiaClientes[[#This Row],[Client]],VpsClientes[Client],VpsClientes[VP],"",0)</f>
        <v>Martha Guzman Arango</v>
      </c>
      <c r="B2179" t="s">
        <v>118</v>
      </c>
      <c r="C2179" t="s">
        <v>191</v>
      </c>
      <c r="D2179" t="s">
        <v>219</v>
      </c>
      <c r="E2179" t="s">
        <v>206</v>
      </c>
      <c r="F2179" s="1">
        <v>728</v>
      </c>
    </row>
    <row r="2180" spans="1:6" x14ac:dyDescent="0.3">
      <c r="A2180" t="str">
        <f>_xlfn.XLOOKUP(ColombiaClientes[[#This Row],[Client]],VpsClientes[Client],VpsClientes[VP],"",0)</f>
        <v>Martha Guzman Arango</v>
      </c>
      <c r="B2180" t="s">
        <v>146</v>
      </c>
      <c r="C2180" t="s">
        <v>191</v>
      </c>
      <c r="D2180" t="s">
        <v>219</v>
      </c>
      <c r="E2180" t="s">
        <v>206</v>
      </c>
      <c r="F2180" s="1">
        <v>675</v>
      </c>
    </row>
    <row r="2181" spans="1:6" x14ac:dyDescent="0.3">
      <c r="A2181" t="str">
        <f>_xlfn.XLOOKUP(ColombiaClientes[[#This Row],[Client]],VpsClientes[Client],VpsClientes[VP],"",0)</f>
        <v>Martha Guzman Arango</v>
      </c>
      <c r="B2181" t="s">
        <v>109</v>
      </c>
      <c r="C2181" t="s">
        <v>191</v>
      </c>
      <c r="D2181" t="s">
        <v>219</v>
      </c>
      <c r="E2181" t="s">
        <v>206</v>
      </c>
      <c r="F2181" s="1">
        <v>598</v>
      </c>
    </row>
    <row r="2182" spans="1:6" x14ac:dyDescent="0.3">
      <c r="A2182" t="str">
        <f>_xlfn.XLOOKUP(ColombiaClientes[[#This Row],[Client]],VpsClientes[Client],VpsClientes[VP],"",0)</f>
        <v>Moises Saavedra Garcia</v>
      </c>
      <c r="B2182" t="s">
        <v>150</v>
      </c>
      <c r="C2182" t="s">
        <v>191</v>
      </c>
      <c r="D2182" t="s">
        <v>219</v>
      </c>
      <c r="E2182" t="s">
        <v>206</v>
      </c>
      <c r="F2182" s="1">
        <v>480</v>
      </c>
    </row>
    <row r="2183" spans="1:6" x14ac:dyDescent="0.3">
      <c r="A2183" t="str">
        <f>_xlfn.XLOOKUP(ColombiaClientes[[#This Row],[Client]],VpsClientes[Client],VpsClientes[VP],"",0)</f>
        <v>Hector Muraira Garza</v>
      </c>
      <c r="B2183" t="s">
        <v>178</v>
      </c>
      <c r="C2183" t="s">
        <v>202</v>
      </c>
      <c r="D2183" t="s">
        <v>219</v>
      </c>
      <c r="E2183" t="s">
        <v>91</v>
      </c>
      <c r="F2183" s="1">
        <v>116</v>
      </c>
    </row>
    <row r="2184" spans="1:6" x14ac:dyDescent="0.3">
      <c r="A2184" t="str">
        <f>_xlfn.XLOOKUP(ColombiaClientes[[#This Row],[Client]],VpsClientes[Client],VpsClientes[VP],"",0)</f>
        <v>Carlos Beltran Hernandez</v>
      </c>
      <c r="B2184" t="s">
        <v>151</v>
      </c>
      <c r="C2184" t="s">
        <v>191</v>
      </c>
      <c r="D2184" t="s">
        <v>219</v>
      </c>
      <c r="E2184" t="s">
        <v>206</v>
      </c>
      <c r="F2184" s="1">
        <v>387</v>
      </c>
    </row>
    <row r="2185" spans="1:6" x14ac:dyDescent="0.3">
      <c r="A2185" t="str">
        <f>_xlfn.XLOOKUP(ColombiaClientes[[#This Row],[Client]],VpsClientes[Client],VpsClientes[VP],"",0)</f>
        <v>Martha Guzman Arango</v>
      </c>
      <c r="B2185" t="s">
        <v>135</v>
      </c>
      <c r="C2185" t="s">
        <v>191</v>
      </c>
      <c r="D2185" t="s">
        <v>219</v>
      </c>
      <c r="E2185" t="s">
        <v>206</v>
      </c>
      <c r="F2185" s="1">
        <v>375</v>
      </c>
    </row>
    <row r="2186" spans="1:6" x14ac:dyDescent="0.3">
      <c r="A2186" t="str">
        <f>_xlfn.XLOOKUP(ColombiaClientes[[#This Row],[Client]],VpsClientes[Client],VpsClientes[VP],"",0)</f>
        <v>Hector Muraira Garza</v>
      </c>
      <c r="B2186" t="s">
        <v>154</v>
      </c>
      <c r="C2186" t="s">
        <v>191</v>
      </c>
      <c r="D2186" t="s">
        <v>219</v>
      </c>
      <c r="E2186" t="s">
        <v>206</v>
      </c>
      <c r="F2186" s="1">
        <v>321</v>
      </c>
    </row>
    <row r="2187" spans="1:6" x14ac:dyDescent="0.3">
      <c r="A2187" t="str">
        <f>_xlfn.XLOOKUP(ColombiaClientes[[#This Row],[Client]],VpsClientes[Client],VpsClientes[VP],"",0)</f>
        <v>Jhonatan Izquierdo Rico</v>
      </c>
      <c r="B2187" t="s">
        <v>107</v>
      </c>
      <c r="C2187" t="s">
        <v>191</v>
      </c>
      <c r="D2187" t="s">
        <v>219</v>
      </c>
      <c r="E2187" t="s">
        <v>206</v>
      </c>
      <c r="F2187" s="1">
        <v>311</v>
      </c>
    </row>
    <row r="2188" spans="1:6" x14ac:dyDescent="0.3">
      <c r="A2188" t="str">
        <f>_xlfn.XLOOKUP(ColombiaClientes[[#This Row],[Client]],VpsClientes[Client],VpsClientes[VP],"",0)</f>
        <v>Ludy Torres Benitez</v>
      </c>
      <c r="B2188" t="s">
        <v>95</v>
      </c>
      <c r="C2188" t="s">
        <v>191</v>
      </c>
      <c r="D2188" t="s">
        <v>219</v>
      </c>
      <c r="E2188" t="s">
        <v>206</v>
      </c>
      <c r="F2188" s="1">
        <v>291</v>
      </c>
    </row>
    <row r="2189" spans="1:6" x14ac:dyDescent="0.3">
      <c r="A2189" t="str">
        <f>_xlfn.XLOOKUP(ColombiaClientes[[#This Row],[Client]],VpsClientes[Client],VpsClientes[VP],"",0)</f>
        <v>Martha Guzman Arango</v>
      </c>
      <c r="B2189" t="s">
        <v>153</v>
      </c>
      <c r="C2189" t="s">
        <v>191</v>
      </c>
      <c r="D2189" t="s">
        <v>219</v>
      </c>
      <c r="E2189" t="s">
        <v>206</v>
      </c>
      <c r="F2189" s="1">
        <v>279</v>
      </c>
    </row>
    <row r="2190" spans="1:6" x14ac:dyDescent="0.3">
      <c r="A2190" t="str">
        <f>_xlfn.XLOOKUP(ColombiaClientes[[#This Row],[Client]],VpsClientes[Client],VpsClientes[VP],"",0)</f>
        <v>Hector Muraira Garza</v>
      </c>
      <c r="B2190" t="s">
        <v>178</v>
      </c>
      <c r="C2190" t="s">
        <v>203</v>
      </c>
      <c r="D2190" t="s">
        <v>219</v>
      </c>
      <c r="E2190" t="s">
        <v>91</v>
      </c>
      <c r="F2190" s="1">
        <v>18</v>
      </c>
    </row>
    <row r="2191" spans="1:6" x14ac:dyDescent="0.3">
      <c r="A2191" t="str">
        <f>_xlfn.XLOOKUP(ColombiaClientes[[#This Row],[Client]],VpsClientes[Client],VpsClientes[VP],"",0)</f>
        <v>Maria Forero Jara</v>
      </c>
      <c r="B2191" t="s">
        <v>144</v>
      </c>
      <c r="C2191" t="s">
        <v>191</v>
      </c>
      <c r="D2191" t="s">
        <v>219</v>
      </c>
      <c r="E2191" t="s">
        <v>206</v>
      </c>
      <c r="F2191" s="1">
        <v>214</v>
      </c>
    </row>
    <row r="2192" spans="1:6" x14ac:dyDescent="0.3">
      <c r="A2192" t="str">
        <f>_xlfn.XLOOKUP(ColombiaClientes[[#This Row],[Client]],VpsClientes[Client],VpsClientes[VP],"",0)</f>
        <v>Ernesto Rico Zuluaga</v>
      </c>
      <c r="B2192" t="s">
        <v>116</v>
      </c>
      <c r="C2192" t="s">
        <v>191</v>
      </c>
      <c r="D2192" t="s">
        <v>219</v>
      </c>
      <c r="E2192" t="s">
        <v>206</v>
      </c>
      <c r="F2192" s="1">
        <v>204</v>
      </c>
    </row>
    <row r="2193" spans="1:6" x14ac:dyDescent="0.3">
      <c r="A2193" t="str">
        <f>_xlfn.XLOOKUP(ColombiaClientes[[#This Row],[Client]],VpsClientes[Client],VpsClientes[VP],"",0)</f>
        <v>Juan Granados Castillo</v>
      </c>
      <c r="B2193" t="s">
        <v>136</v>
      </c>
      <c r="C2193" t="s">
        <v>191</v>
      </c>
      <c r="D2193" t="s">
        <v>219</v>
      </c>
      <c r="E2193" t="s">
        <v>206</v>
      </c>
      <c r="F2193" s="1">
        <v>197</v>
      </c>
    </row>
    <row r="2194" spans="1:6" x14ac:dyDescent="0.3">
      <c r="A2194" t="str">
        <f>_xlfn.XLOOKUP(ColombiaClientes[[#This Row],[Client]],VpsClientes[Client],VpsClientes[VP],"",0)</f>
        <v>Martha Guzman Arango</v>
      </c>
      <c r="B2194" t="s">
        <v>124</v>
      </c>
      <c r="C2194" t="s">
        <v>191</v>
      </c>
      <c r="D2194" t="s">
        <v>219</v>
      </c>
      <c r="E2194" t="s">
        <v>206</v>
      </c>
      <c r="F2194" s="1">
        <v>188</v>
      </c>
    </row>
    <row r="2195" spans="1:6" x14ac:dyDescent="0.3">
      <c r="A2195" t="str">
        <f>_xlfn.XLOOKUP(ColombiaClientes[[#This Row],[Client]],VpsClientes[Client],VpsClientes[VP],"",0)</f>
        <v>Hector Muraira Garza</v>
      </c>
      <c r="B2195" t="s">
        <v>137</v>
      </c>
      <c r="C2195" t="s">
        <v>191</v>
      </c>
      <c r="D2195" t="s">
        <v>219</v>
      </c>
      <c r="E2195" t="s">
        <v>206</v>
      </c>
      <c r="F2195" s="1">
        <v>159</v>
      </c>
    </row>
    <row r="2196" spans="1:6" x14ac:dyDescent="0.3">
      <c r="A2196" t="str">
        <f>_xlfn.XLOOKUP(ColombiaClientes[[#This Row],[Client]],VpsClientes[Client],VpsClientes[VP],"",0)</f>
        <v>Hector Muraira Garza</v>
      </c>
      <c r="B2196" t="s">
        <v>132</v>
      </c>
      <c r="C2196" t="s">
        <v>191</v>
      </c>
      <c r="D2196" t="s">
        <v>219</v>
      </c>
      <c r="E2196" t="s">
        <v>206</v>
      </c>
      <c r="F2196" s="1">
        <v>152</v>
      </c>
    </row>
    <row r="2197" spans="1:6" x14ac:dyDescent="0.3">
      <c r="A2197" t="str">
        <f>_xlfn.XLOOKUP(ColombiaClientes[[#This Row],[Client]],VpsClientes[Client],VpsClientes[VP],"",0)</f>
        <v>Maria Forero Jara</v>
      </c>
      <c r="B2197" t="s">
        <v>123</v>
      </c>
      <c r="C2197" t="s">
        <v>191</v>
      </c>
      <c r="D2197" t="s">
        <v>219</v>
      </c>
      <c r="E2197" t="s">
        <v>206</v>
      </c>
      <c r="F2197" s="1">
        <v>139</v>
      </c>
    </row>
    <row r="2198" spans="1:6" x14ac:dyDescent="0.3">
      <c r="A2198" t="str">
        <f>_xlfn.XLOOKUP(ColombiaClientes[[#This Row],[Client]],VpsClientes[Client],VpsClientes[VP],"",0)</f>
        <v>Hector Muraira Garza</v>
      </c>
      <c r="B2198" t="s">
        <v>130</v>
      </c>
      <c r="C2198" t="s">
        <v>191</v>
      </c>
      <c r="D2198" t="s">
        <v>219</v>
      </c>
      <c r="E2198" t="s">
        <v>206</v>
      </c>
      <c r="F2198" s="1">
        <v>109</v>
      </c>
    </row>
    <row r="2199" spans="1:6" x14ac:dyDescent="0.3">
      <c r="A2199" t="str">
        <f>_xlfn.XLOOKUP(ColombiaClientes[[#This Row],[Client]],VpsClientes[Client],VpsClientes[VP],"",0)</f>
        <v>Maria Forero Jara</v>
      </c>
      <c r="B2199" t="s">
        <v>111</v>
      </c>
      <c r="C2199" t="s">
        <v>191</v>
      </c>
      <c r="D2199" t="s">
        <v>219</v>
      </c>
      <c r="E2199" t="s">
        <v>206</v>
      </c>
      <c r="F2199" s="1">
        <v>109</v>
      </c>
    </row>
    <row r="2200" spans="1:6" x14ac:dyDescent="0.3">
      <c r="A2200" t="str">
        <f>_xlfn.XLOOKUP(ColombiaClientes[[#This Row],[Client]],VpsClientes[Client],VpsClientes[VP],"",0)</f>
        <v>Martha Guzman Arango</v>
      </c>
      <c r="B2200" t="s">
        <v>156</v>
      </c>
      <c r="C2200" t="s">
        <v>191</v>
      </c>
      <c r="D2200" t="s">
        <v>219</v>
      </c>
      <c r="E2200" t="s">
        <v>206</v>
      </c>
      <c r="F2200" s="1">
        <v>107</v>
      </c>
    </row>
    <row r="2201" spans="1:6" x14ac:dyDescent="0.3">
      <c r="A2201" t="str">
        <f>_xlfn.XLOOKUP(ColombiaClientes[[#This Row],[Client]],VpsClientes[Client],VpsClientes[VP],"",0)</f>
        <v>Martha Guzman Arango</v>
      </c>
      <c r="B2201" t="s">
        <v>185</v>
      </c>
      <c r="C2201" t="s">
        <v>191</v>
      </c>
      <c r="D2201" t="s">
        <v>219</v>
      </c>
      <c r="E2201" t="s">
        <v>206</v>
      </c>
      <c r="F2201" s="1">
        <v>106</v>
      </c>
    </row>
    <row r="2202" spans="1:6" x14ac:dyDescent="0.3">
      <c r="A2202" t="str">
        <f>_xlfn.XLOOKUP(ColombiaClientes[[#This Row],[Client]],VpsClientes[Client],VpsClientes[VP],"",0)</f>
        <v>Martha Guzman Arango</v>
      </c>
      <c r="B2202" t="s">
        <v>162</v>
      </c>
      <c r="C2202" t="s">
        <v>191</v>
      </c>
      <c r="D2202" t="s">
        <v>219</v>
      </c>
      <c r="E2202" t="s">
        <v>206</v>
      </c>
      <c r="F2202" s="1">
        <v>96</v>
      </c>
    </row>
    <row r="2203" spans="1:6" x14ac:dyDescent="0.3">
      <c r="A2203" t="str">
        <f>_xlfn.XLOOKUP(ColombiaClientes[[#This Row],[Client]],VpsClientes[Client],VpsClientes[VP],"",0)</f>
        <v>Martha Guzman Arango</v>
      </c>
      <c r="B2203" t="s">
        <v>170</v>
      </c>
      <c r="C2203" t="s">
        <v>191</v>
      </c>
      <c r="D2203" t="s">
        <v>219</v>
      </c>
      <c r="E2203" t="s">
        <v>206</v>
      </c>
      <c r="F2203" s="1">
        <v>88</v>
      </c>
    </row>
    <row r="2204" spans="1:6" x14ac:dyDescent="0.3">
      <c r="A2204" t="str">
        <f>_xlfn.XLOOKUP(ColombiaClientes[[#This Row],[Client]],VpsClientes[Client],VpsClientes[VP],"",0)</f>
        <v>Martha Guzman Arango</v>
      </c>
      <c r="B2204" t="s">
        <v>131</v>
      </c>
      <c r="C2204" t="s">
        <v>191</v>
      </c>
      <c r="D2204" t="s">
        <v>219</v>
      </c>
      <c r="E2204" t="s">
        <v>206</v>
      </c>
      <c r="F2204" s="1">
        <v>86</v>
      </c>
    </row>
    <row r="2205" spans="1:6" x14ac:dyDescent="0.3">
      <c r="A2205" t="str">
        <f>_xlfn.XLOOKUP(ColombiaClientes[[#This Row],[Client]],VpsClientes[Client],VpsClientes[VP],"",0)</f>
        <v>Moises Saavedra Garcia</v>
      </c>
      <c r="B2205" t="s">
        <v>120</v>
      </c>
      <c r="C2205" t="s">
        <v>191</v>
      </c>
      <c r="D2205" t="s">
        <v>219</v>
      </c>
      <c r="E2205" t="s">
        <v>206</v>
      </c>
      <c r="F2205" s="1">
        <v>63</v>
      </c>
    </row>
    <row r="2206" spans="1:6" x14ac:dyDescent="0.3">
      <c r="A2206" t="str">
        <f>_xlfn.XLOOKUP(ColombiaClientes[[#This Row],[Client]],VpsClientes[Client],VpsClientes[VP],"",0)</f>
        <v>Ernesto Rico Zuluaga</v>
      </c>
      <c r="B2206" t="s">
        <v>121</v>
      </c>
      <c r="C2206" t="s">
        <v>191</v>
      </c>
      <c r="D2206" t="s">
        <v>219</v>
      </c>
      <c r="E2206" t="s">
        <v>206</v>
      </c>
      <c r="F2206" s="1">
        <v>50</v>
      </c>
    </row>
    <row r="2207" spans="1:6" x14ac:dyDescent="0.3">
      <c r="A2207" t="str">
        <f>_xlfn.XLOOKUP(ColombiaClientes[[#This Row],[Client]],VpsClientes[Client],VpsClientes[VP],"",0)</f>
        <v>Martha Guzman Arango</v>
      </c>
      <c r="B2207" t="s">
        <v>174</v>
      </c>
      <c r="C2207" t="s">
        <v>191</v>
      </c>
      <c r="D2207" t="s">
        <v>219</v>
      </c>
      <c r="E2207" t="s">
        <v>206</v>
      </c>
      <c r="F2207" s="1">
        <v>47</v>
      </c>
    </row>
    <row r="2208" spans="1:6" x14ac:dyDescent="0.3">
      <c r="A2208" t="str">
        <f>_xlfn.XLOOKUP(ColombiaClientes[[#This Row],[Client]],VpsClientes[Client],VpsClientes[VP],"",0)</f>
        <v>Martha Guzman Arango</v>
      </c>
      <c r="B2208" t="s">
        <v>145</v>
      </c>
      <c r="C2208" t="s">
        <v>191</v>
      </c>
      <c r="D2208" t="s">
        <v>219</v>
      </c>
      <c r="E2208" t="s">
        <v>206</v>
      </c>
      <c r="F2208" s="1">
        <v>41</v>
      </c>
    </row>
    <row r="2209" spans="1:6" x14ac:dyDescent="0.3">
      <c r="A2209" t="str">
        <f>_xlfn.XLOOKUP(ColombiaClientes[[#This Row],[Client]],VpsClientes[Client],VpsClientes[VP],"",0)</f>
        <v>Martha Guzman Arango</v>
      </c>
      <c r="B2209" t="s">
        <v>165</v>
      </c>
      <c r="C2209" t="s">
        <v>191</v>
      </c>
      <c r="D2209" t="s">
        <v>219</v>
      </c>
      <c r="E2209" t="s">
        <v>206</v>
      </c>
      <c r="F2209" s="1">
        <v>41</v>
      </c>
    </row>
    <row r="2210" spans="1:6" x14ac:dyDescent="0.3">
      <c r="A2210" t="str">
        <f>_xlfn.XLOOKUP(ColombiaClientes[[#This Row],[Client]],VpsClientes[Client],VpsClientes[VP],"",0)</f>
        <v>Juan Granados Castillo</v>
      </c>
      <c r="B2210" t="s">
        <v>134</v>
      </c>
      <c r="C2210" t="s">
        <v>191</v>
      </c>
      <c r="D2210" t="s">
        <v>219</v>
      </c>
      <c r="E2210" t="s">
        <v>206</v>
      </c>
      <c r="F2210" s="1">
        <v>31</v>
      </c>
    </row>
    <row r="2211" spans="1:6" x14ac:dyDescent="0.3">
      <c r="A2211" t="str">
        <f>_xlfn.XLOOKUP(ColombiaClientes[[#This Row],[Client]],VpsClientes[Client],VpsClientes[VP],"",0)</f>
        <v>Carlos Beltran Hernandez</v>
      </c>
      <c r="B2211" t="s">
        <v>173</v>
      </c>
      <c r="C2211" t="s">
        <v>191</v>
      </c>
      <c r="D2211" t="s">
        <v>219</v>
      </c>
      <c r="E2211" t="s">
        <v>206</v>
      </c>
      <c r="F2211" s="1">
        <v>31</v>
      </c>
    </row>
    <row r="2212" spans="1:6" x14ac:dyDescent="0.3">
      <c r="A2212" t="str">
        <f>_xlfn.XLOOKUP(ColombiaClientes[[#This Row],[Client]],VpsClientes[Client],VpsClientes[VP],"",0)</f>
        <v>Juan Granados Castillo</v>
      </c>
      <c r="B2212" t="s">
        <v>142</v>
      </c>
      <c r="C2212" t="s">
        <v>191</v>
      </c>
      <c r="D2212" t="s">
        <v>219</v>
      </c>
      <c r="E2212" t="s">
        <v>206</v>
      </c>
      <c r="F2212" s="1">
        <v>29</v>
      </c>
    </row>
    <row r="2213" spans="1:6" x14ac:dyDescent="0.3">
      <c r="A2213" t="str">
        <f>_xlfn.XLOOKUP(ColombiaClientes[[#This Row],[Client]],VpsClientes[Client],VpsClientes[VP],"",0)</f>
        <v>Jhonatan Izquierdo Rico</v>
      </c>
      <c r="B2213" t="s">
        <v>117</v>
      </c>
      <c r="C2213" t="s">
        <v>191</v>
      </c>
      <c r="D2213" t="s">
        <v>219</v>
      </c>
      <c r="E2213" t="s">
        <v>206</v>
      </c>
      <c r="F2213" s="1">
        <v>29</v>
      </c>
    </row>
    <row r="2214" spans="1:6" x14ac:dyDescent="0.3">
      <c r="A2214" t="str">
        <f>_xlfn.XLOOKUP(ColombiaClientes[[#This Row],[Client]],VpsClientes[Client],VpsClientes[VP],"",0)</f>
        <v>Martha Guzman Arango</v>
      </c>
      <c r="B2214" t="s">
        <v>171</v>
      </c>
      <c r="C2214" t="s">
        <v>191</v>
      </c>
      <c r="D2214" t="s">
        <v>219</v>
      </c>
      <c r="E2214" t="s">
        <v>206</v>
      </c>
      <c r="F2214" s="1">
        <v>24</v>
      </c>
    </row>
    <row r="2215" spans="1:6" x14ac:dyDescent="0.3">
      <c r="A2215" t="str">
        <f>_xlfn.XLOOKUP(ColombiaClientes[[#This Row],[Client]],VpsClientes[Client],VpsClientes[VP],"",0)</f>
        <v>Jhonatan Izquierdo Rico</v>
      </c>
      <c r="B2215" t="s">
        <v>129</v>
      </c>
      <c r="C2215" t="s">
        <v>191</v>
      </c>
      <c r="D2215" t="s">
        <v>219</v>
      </c>
      <c r="E2215" t="s">
        <v>206</v>
      </c>
      <c r="F2215" s="1">
        <v>24</v>
      </c>
    </row>
    <row r="2216" spans="1:6" x14ac:dyDescent="0.3">
      <c r="A2216" t="str">
        <f>_xlfn.XLOOKUP(ColombiaClientes[[#This Row],[Client]],VpsClientes[Client],VpsClientes[VP],"",0)</f>
        <v>Martha Guzman Arango</v>
      </c>
      <c r="B2216" t="s">
        <v>152</v>
      </c>
      <c r="C2216" t="s">
        <v>191</v>
      </c>
      <c r="D2216" t="s">
        <v>219</v>
      </c>
      <c r="E2216" t="s">
        <v>206</v>
      </c>
      <c r="F2216" s="1">
        <v>23</v>
      </c>
    </row>
    <row r="2217" spans="1:6" x14ac:dyDescent="0.3">
      <c r="A2217" t="str">
        <f>_xlfn.XLOOKUP(ColombiaClientes[[#This Row],[Client]],VpsClientes[Client],VpsClientes[VP],"",0)</f>
        <v>Carlos Beltran Hernandez</v>
      </c>
      <c r="B2217" t="s">
        <v>119</v>
      </c>
      <c r="C2217" t="s">
        <v>191</v>
      </c>
      <c r="D2217" t="s">
        <v>219</v>
      </c>
      <c r="E2217" t="s">
        <v>206</v>
      </c>
      <c r="F2217" s="1">
        <v>20</v>
      </c>
    </row>
    <row r="2218" spans="1:6" x14ac:dyDescent="0.3">
      <c r="A2218" t="str">
        <f>_xlfn.XLOOKUP(ColombiaClientes[[#This Row],[Client]],VpsClientes[Client],VpsClientes[VP],"",0)</f>
        <v>Jhonatan Izquierdo Rico</v>
      </c>
      <c r="B2218" t="s">
        <v>157</v>
      </c>
      <c r="C2218" t="s">
        <v>191</v>
      </c>
      <c r="D2218" t="s">
        <v>219</v>
      </c>
      <c r="E2218" t="s">
        <v>206</v>
      </c>
      <c r="F2218" s="1">
        <v>19</v>
      </c>
    </row>
    <row r="2219" spans="1:6" x14ac:dyDescent="0.3">
      <c r="A2219" t="str">
        <f>_xlfn.XLOOKUP(ColombiaClientes[[#This Row],[Client]],VpsClientes[Client],VpsClientes[VP],"",0)</f>
        <v>Martha Guzman Arango</v>
      </c>
      <c r="B2219" t="s">
        <v>166</v>
      </c>
      <c r="C2219" t="s">
        <v>191</v>
      </c>
      <c r="D2219" t="s">
        <v>219</v>
      </c>
      <c r="E2219" t="s">
        <v>206</v>
      </c>
      <c r="F2219" s="1">
        <v>18</v>
      </c>
    </row>
    <row r="2220" spans="1:6" x14ac:dyDescent="0.3">
      <c r="A2220" t="str">
        <f>_xlfn.XLOOKUP(ColombiaClientes[[#This Row],[Client]],VpsClientes[Client],VpsClientes[VP],"",0)</f>
        <v>Moises Saavedra Garcia</v>
      </c>
      <c r="B2220" t="s">
        <v>172</v>
      </c>
      <c r="C2220" t="s">
        <v>191</v>
      </c>
      <c r="D2220" t="s">
        <v>219</v>
      </c>
      <c r="E2220" t="s">
        <v>206</v>
      </c>
      <c r="F2220" s="1">
        <v>17</v>
      </c>
    </row>
    <row r="2221" spans="1:6" x14ac:dyDescent="0.3">
      <c r="A2221" t="str">
        <f>_xlfn.XLOOKUP(ColombiaClientes[[#This Row],[Client]],VpsClientes[Client],VpsClientes[VP],"",0)</f>
        <v>Martha Guzman Arango</v>
      </c>
      <c r="B2221" t="s">
        <v>176</v>
      </c>
      <c r="C2221" t="s">
        <v>191</v>
      </c>
      <c r="D2221" t="s">
        <v>219</v>
      </c>
      <c r="E2221" t="s">
        <v>206</v>
      </c>
      <c r="F2221" s="1">
        <v>16</v>
      </c>
    </row>
    <row r="2222" spans="1:6" x14ac:dyDescent="0.3">
      <c r="A2222" t="str">
        <f>_xlfn.XLOOKUP(ColombiaClientes[[#This Row],[Client]],VpsClientes[Client],VpsClientes[VP],"",0)</f>
        <v>Martha Guzman Arango</v>
      </c>
      <c r="B2222" t="s">
        <v>169</v>
      </c>
      <c r="C2222" t="s">
        <v>191</v>
      </c>
      <c r="D2222" t="s">
        <v>219</v>
      </c>
      <c r="E2222" t="s">
        <v>206</v>
      </c>
      <c r="F2222" s="1">
        <v>15</v>
      </c>
    </row>
    <row r="2223" spans="1:6" x14ac:dyDescent="0.3">
      <c r="A2223" t="str">
        <f>_xlfn.XLOOKUP(ColombiaClientes[[#This Row],[Client]],VpsClientes[Client],VpsClientes[VP],"",0)</f>
        <v>Moises Saavedra Garcia</v>
      </c>
      <c r="B2223" t="s">
        <v>190</v>
      </c>
      <c r="C2223" t="s">
        <v>191</v>
      </c>
      <c r="D2223" t="s">
        <v>219</v>
      </c>
      <c r="E2223" t="s">
        <v>206</v>
      </c>
      <c r="F2223" s="1">
        <v>15</v>
      </c>
    </row>
    <row r="2224" spans="1:6" x14ac:dyDescent="0.3">
      <c r="A2224" t="str">
        <f>_xlfn.XLOOKUP(ColombiaClientes[[#This Row],[Client]],VpsClientes[Client],VpsClientes[VP],"",0)</f>
        <v>Moises Saavedra Garcia</v>
      </c>
      <c r="B2224" t="s">
        <v>175</v>
      </c>
      <c r="C2224" t="s">
        <v>191</v>
      </c>
      <c r="D2224" t="s">
        <v>219</v>
      </c>
      <c r="E2224" t="s">
        <v>206</v>
      </c>
      <c r="F2224" s="1">
        <v>14</v>
      </c>
    </row>
    <row r="2225" spans="1:6" x14ac:dyDescent="0.3">
      <c r="A2225" t="str">
        <f>_xlfn.XLOOKUP(ColombiaClientes[[#This Row],[Client]],VpsClientes[Client],VpsClientes[VP],"",0)</f>
        <v>Maria Forero Jara</v>
      </c>
      <c r="B2225" t="s">
        <v>161</v>
      </c>
      <c r="C2225" t="s">
        <v>191</v>
      </c>
      <c r="D2225" t="s">
        <v>219</v>
      </c>
      <c r="E2225" t="s">
        <v>206</v>
      </c>
      <c r="F2225" s="1">
        <v>14</v>
      </c>
    </row>
    <row r="2226" spans="1:6" x14ac:dyDescent="0.3">
      <c r="A2226" t="str">
        <f>_xlfn.XLOOKUP(ColombiaClientes[[#This Row],[Client]],VpsClientes[Client],VpsClientes[VP],"",0)</f>
        <v>Martha Guzman Arango</v>
      </c>
      <c r="B2226" t="s">
        <v>186</v>
      </c>
      <c r="C2226" t="s">
        <v>191</v>
      </c>
      <c r="D2226" t="s">
        <v>219</v>
      </c>
      <c r="E2226" t="s">
        <v>206</v>
      </c>
      <c r="F2226" s="1">
        <v>13</v>
      </c>
    </row>
    <row r="2227" spans="1:6" x14ac:dyDescent="0.3">
      <c r="A2227" t="str">
        <f>_xlfn.XLOOKUP(ColombiaClientes[[#This Row],[Client]],VpsClientes[Client],VpsClientes[VP],"",0)</f>
        <v>Hector Muraira Garza</v>
      </c>
      <c r="B2227" t="s">
        <v>178</v>
      </c>
      <c r="C2227" t="s">
        <v>205</v>
      </c>
      <c r="D2227" t="s">
        <v>219</v>
      </c>
      <c r="E2227" t="s">
        <v>91</v>
      </c>
      <c r="F2227" s="1">
        <v>18</v>
      </c>
    </row>
    <row r="2228" spans="1:6" x14ac:dyDescent="0.3">
      <c r="A2228" t="str">
        <f>_xlfn.XLOOKUP(ColombiaClientes[[#This Row],[Client]],VpsClientes[Client],VpsClientes[VP],"",0)</f>
        <v>Martha Guzman Arango</v>
      </c>
      <c r="B2228" t="s">
        <v>155</v>
      </c>
      <c r="C2228" t="s">
        <v>191</v>
      </c>
      <c r="D2228" t="s">
        <v>219</v>
      </c>
      <c r="E2228" t="s">
        <v>206</v>
      </c>
      <c r="F2228" s="1">
        <v>10</v>
      </c>
    </row>
    <row r="2229" spans="1:6" x14ac:dyDescent="0.3">
      <c r="A2229" t="str">
        <f>_xlfn.XLOOKUP(ColombiaClientes[[#This Row],[Client]],VpsClientes[Client],VpsClientes[VP],"",0)</f>
        <v>Maria Forero Jara</v>
      </c>
      <c r="B2229" t="s">
        <v>182</v>
      </c>
      <c r="C2229" t="s">
        <v>191</v>
      </c>
      <c r="D2229" t="s">
        <v>219</v>
      </c>
      <c r="E2229" t="s">
        <v>206</v>
      </c>
      <c r="F2229" s="1">
        <v>9</v>
      </c>
    </row>
    <row r="2230" spans="1:6" x14ac:dyDescent="0.3">
      <c r="A2230" t="str">
        <f>_xlfn.XLOOKUP(ColombiaClientes[[#This Row],[Client]],VpsClientes[Client],VpsClientes[VP],"",0)</f>
        <v>Maria Forero Jara</v>
      </c>
      <c r="B2230" t="s">
        <v>163</v>
      </c>
      <c r="C2230" t="s">
        <v>191</v>
      </c>
      <c r="D2230" t="s">
        <v>219</v>
      </c>
      <c r="E2230" t="s">
        <v>206</v>
      </c>
      <c r="F2230" s="1">
        <v>9</v>
      </c>
    </row>
    <row r="2231" spans="1:6" x14ac:dyDescent="0.3">
      <c r="A2231" t="str">
        <f>_xlfn.XLOOKUP(ColombiaClientes[[#This Row],[Client]],VpsClientes[Client],VpsClientes[VP],"",0)</f>
        <v>Hector Muraira Garza</v>
      </c>
      <c r="B2231" t="s">
        <v>178</v>
      </c>
      <c r="C2231" t="s">
        <v>92</v>
      </c>
      <c r="D2231" t="s">
        <v>219</v>
      </c>
      <c r="E2231" t="s">
        <v>206</v>
      </c>
      <c r="F2231" s="1">
        <v>18</v>
      </c>
    </row>
    <row r="2232" spans="1:6" x14ac:dyDescent="0.3">
      <c r="A2232" t="str">
        <f>_xlfn.XLOOKUP(ColombiaClientes[[#This Row],[Client]],VpsClientes[Client],VpsClientes[VP],"",0)</f>
        <v>Moises Saavedra Garcia</v>
      </c>
      <c r="B2232" t="s">
        <v>110</v>
      </c>
      <c r="C2232" t="s">
        <v>191</v>
      </c>
      <c r="D2232" t="s">
        <v>219</v>
      </c>
      <c r="E2232" t="s">
        <v>206</v>
      </c>
      <c r="F2232" s="1">
        <v>5</v>
      </c>
    </row>
    <row r="2233" spans="1:6" x14ac:dyDescent="0.3">
      <c r="A2233" t="str">
        <f>_xlfn.XLOOKUP(ColombiaClientes[[#This Row],[Client]],VpsClientes[Client],VpsClientes[VP],"",0)</f>
        <v>Hector Muraira Garza</v>
      </c>
      <c r="B2233" t="s">
        <v>164</v>
      </c>
      <c r="C2233" t="s">
        <v>191</v>
      </c>
      <c r="D2233" t="s">
        <v>219</v>
      </c>
      <c r="E2233" t="s">
        <v>206</v>
      </c>
      <c r="F2233" s="1">
        <v>5</v>
      </c>
    </row>
    <row r="2234" spans="1:6" x14ac:dyDescent="0.3">
      <c r="A2234" t="str">
        <f>_xlfn.XLOOKUP(ColombiaClientes[[#This Row],[Client]],VpsClientes[Client],VpsClientes[VP],"",0)</f>
        <v>Carlos Beltran Hernandez</v>
      </c>
      <c r="B2234" t="s">
        <v>158</v>
      </c>
      <c r="C2234" t="s">
        <v>191</v>
      </c>
      <c r="D2234" t="s">
        <v>219</v>
      </c>
      <c r="E2234" t="s">
        <v>206</v>
      </c>
      <c r="F2234" s="1">
        <v>4</v>
      </c>
    </row>
    <row r="2235" spans="1:6" x14ac:dyDescent="0.3">
      <c r="A2235" t="str">
        <f>_xlfn.XLOOKUP(ColombiaClientes[[#This Row],[Client]],VpsClientes[Client],VpsClientes[VP],"",0)</f>
        <v>Martha Guzman Arango</v>
      </c>
      <c r="B2235" t="s">
        <v>183</v>
      </c>
      <c r="C2235" t="s">
        <v>191</v>
      </c>
      <c r="D2235" t="s">
        <v>219</v>
      </c>
      <c r="E2235" t="s">
        <v>206</v>
      </c>
      <c r="F2235" s="1">
        <v>3</v>
      </c>
    </row>
    <row r="2236" spans="1:6" x14ac:dyDescent="0.3">
      <c r="A2236" t="str">
        <f>_xlfn.XLOOKUP(ColombiaClientes[[#This Row],[Client]],VpsClientes[Client],VpsClientes[VP],"",0)</f>
        <v>Jhonatan Izquierdo Rico</v>
      </c>
      <c r="B2236" t="s">
        <v>138</v>
      </c>
      <c r="C2236" t="s">
        <v>191</v>
      </c>
      <c r="D2236" t="s">
        <v>219</v>
      </c>
      <c r="E2236" t="s">
        <v>206</v>
      </c>
      <c r="F2236" s="1">
        <v>3</v>
      </c>
    </row>
    <row r="2237" spans="1:6" x14ac:dyDescent="0.3">
      <c r="A2237" t="str">
        <f>_xlfn.XLOOKUP(ColombiaClientes[[#This Row],[Client]],VpsClientes[Client],VpsClientes[VP],"",0)</f>
        <v>Maria Forero Jara</v>
      </c>
      <c r="B2237" t="s">
        <v>179</v>
      </c>
      <c r="C2237" t="s">
        <v>191</v>
      </c>
      <c r="D2237" t="s">
        <v>219</v>
      </c>
      <c r="E2237" t="s">
        <v>206</v>
      </c>
      <c r="F2237" s="1">
        <v>3</v>
      </c>
    </row>
    <row r="2238" spans="1:6" x14ac:dyDescent="0.3">
      <c r="A2238" t="str">
        <f>_xlfn.XLOOKUP(ColombiaClientes[[#This Row],[Client]],VpsClientes[Client],VpsClientes[VP],"",0)</f>
        <v>Juan Granados Castillo</v>
      </c>
      <c r="B2238" t="s">
        <v>149</v>
      </c>
      <c r="C2238" t="s">
        <v>191</v>
      </c>
      <c r="D2238" t="s">
        <v>219</v>
      </c>
      <c r="E2238" t="s">
        <v>206</v>
      </c>
      <c r="F2238" s="1">
        <v>2</v>
      </c>
    </row>
    <row r="2239" spans="1:6" x14ac:dyDescent="0.3">
      <c r="A2239" t="str">
        <f>_xlfn.XLOOKUP(ColombiaClientes[[#This Row],[Client]],VpsClientes[Client],VpsClientes[VP],"",0)</f>
        <v>Hector Muraira Garza</v>
      </c>
      <c r="B2239" t="s">
        <v>167</v>
      </c>
      <c r="C2239" t="s">
        <v>191</v>
      </c>
      <c r="D2239" t="s">
        <v>219</v>
      </c>
      <c r="E2239" t="s">
        <v>206</v>
      </c>
      <c r="F2239" s="1">
        <v>1</v>
      </c>
    </row>
    <row r="2240" spans="1:6" x14ac:dyDescent="0.3">
      <c r="A2240" t="str">
        <f>_xlfn.XLOOKUP(ColombiaClientes[[#This Row],[Client]],VpsClientes[Client],VpsClientes[VP],"",0)</f>
        <v>Jhonatan Izquierdo Rico</v>
      </c>
      <c r="B2240" t="s">
        <v>159</v>
      </c>
      <c r="C2240" t="s">
        <v>191</v>
      </c>
      <c r="D2240" t="s">
        <v>219</v>
      </c>
      <c r="E2240" t="s">
        <v>206</v>
      </c>
      <c r="F2240" s="1">
        <v>0</v>
      </c>
    </row>
    <row r="2241" spans="1:6" x14ac:dyDescent="0.3">
      <c r="A2241" t="str">
        <f>_xlfn.XLOOKUP(ColombiaClientes[[#This Row],[Client]],VpsClientes[Client],VpsClientes[VP],"",0)</f>
        <v>Martha Guzman Arango</v>
      </c>
      <c r="B2241" t="s">
        <v>188</v>
      </c>
      <c r="C2241" t="s">
        <v>191</v>
      </c>
      <c r="D2241" t="s">
        <v>219</v>
      </c>
      <c r="E2241" t="s">
        <v>206</v>
      </c>
      <c r="F2241" s="1">
        <v>0</v>
      </c>
    </row>
    <row r="2242" spans="1:6" x14ac:dyDescent="0.3">
      <c r="A2242" t="str">
        <f>_xlfn.XLOOKUP(ColombiaClientes[[#This Row],[Client]],VpsClientes[Client],VpsClientes[VP],"",0)</f>
        <v>Moises Saavedra Garcia</v>
      </c>
      <c r="B2242" t="s">
        <v>187</v>
      </c>
      <c r="C2242" t="s">
        <v>191</v>
      </c>
      <c r="D2242" t="s">
        <v>219</v>
      </c>
      <c r="E2242" t="s">
        <v>206</v>
      </c>
      <c r="F2242" s="1">
        <v>0</v>
      </c>
    </row>
    <row r="2243" spans="1:6" x14ac:dyDescent="0.3">
      <c r="A2243" t="str">
        <f>_xlfn.XLOOKUP(ColombiaClientes[[#This Row],[Client]],VpsClientes[Client],VpsClientes[VP],"",0)</f>
        <v>Hector Muraira Garza</v>
      </c>
      <c r="B2243" t="s">
        <v>178</v>
      </c>
      <c r="C2243" t="s">
        <v>191</v>
      </c>
      <c r="D2243" t="s">
        <v>219</v>
      </c>
      <c r="E2243" t="s">
        <v>206</v>
      </c>
      <c r="F2243" s="1">
        <v>0</v>
      </c>
    </row>
    <row r="2244" spans="1:6" x14ac:dyDescent="0.3">
      <c r="A2244" t="str">
        <f>_xlfn.XLOOKUP(ColombiaClientes[[#This Row],[Client]],VpsClientes[Client],VpsClientes[VP],"",0)</f>
        <v>Martha Guzman Arango</v>
      </c>
      <c r="B2244" t="s">
        <v>98</v>
      </c>
      <c r="C2244" t="s">
        <v>192</v>
      </c>
      <c r="D2244" t="s">
        <v>219</v>
      </c>
      <c r="E2244" t="s">
        <v>206</v>
      </c>
      <c r="F2244" s="1">
        <v>19247</v>
      </c>
    </row>
    <row r="2245" spans="1:6" x14ac:dyDescent="0.3">
      <c r="A2245" t="str">
        <f>_xlfn.XLOOKUP(ColombiaClientes[[#This Row],[Client]],VpsClientes[Client],VpsClientes[VP],"",0)</f>
        <v>Martha Guzman Arango</v>
      </c>
      <c r="B2245" t="s">
        <v>96</v>
      </c>
      <c r="C2245" t="s">
        <v>192</v>
      </c>
      <c r="D2245" t="s">
        <v>219</v>
      </c>
      <c r="E2245" t="s">
        <v>206</v>
      </c>
      <c r="F2245" s="1">
        <v>11768</v>
      </c>
    </row>
    <row r="2246" spans="1:6" x14ac:dyDescent="0.3">
      <c r="A2246" t="str">
        <f>_xlfn.XLOOKUP(ColombiaClientes[[#This Row],[Client]],VpsClientes[Client],VpsClientes[VP],"",0)</f>
        <v>Hector Muraira Garza</v>
      </c>
      <c r="B2246" t="s">
        <v>140</v>
      </c>
      <c r="C2246" t="s">
        <v>192</v>
      </c>
      <c r="D2246" t="s">
        <v>219</v>
      </c>
      <c r="E2246" t="s">
        <v>206</v>
      </c>
      <c r="F2246" s="1">
        <v>6412</v>
      </c>
    </row>
    <row r="2247" spans="1:6" x14ac:dyDescent="0.3">
      <c r="A2247" t="str">
        <f>_xlfn.XLOOKUP(ColombiaClientes[[#This Row],[Client]],VpsClientes[Client],VpsClientes[VP],"",0)</f>
        <v>Moises Saavedra Garcia</v>
      </c>
      <c r="B2247" t="s">
        <v>99</v>
      </c>
      <c r="C2247" t="s">
        <v>192</v>
      </c>
      <c r="D2247" t="s">
        <v>219</v>
      </c>
      <c r="E2247" t="s">
        <v>206</v>
      </c>
      <c r="F2247" s="1">
        <v>5856</v>
      </c>
    </row>
    <row r="2248" spans="1:6" x14ac:dyDescent="0.3">
      <c r="A2248" t="str">
        <f>_xlfn.XLOOKUP(ColombiaClientes[[#This Row],[Client]],VpsClientes[Client],VpsClientes[VP],"",0)</f>
        <v>Jhonatan Izquierdo Rico</v>
      </c>
      <c r="B2248" t="s">
        <v>112</v>
      </c>
      <c r="C2248" t="s">
        <v>192</v>
      </c>
      <c r="D2248" t="s">
        <v>219</v>
      </c>
      <c r="E2248" t="s">
        <v>206</v>
      </c>
      <c r="F2248" s="1">
        <v>5849</v>
      </c>
    </row>
    <row r="2249" spans="1:6" x14ac:dyDescent="0.3">
      <c r="A2249" t="str">
        <f>_xlfn.XLOOKUP(ColombiaClientes[[#This Row],[Client]],VpsClientes[Client],VpsClientes[VP],"",0)</f>
        <v>Carlos Beltran Hernandez</v>
      </c>
      <c r="B2249" t="s">
        <v>94</v>
      </c>
      <c r="C2249" t="s">
        <v>192</v>
      </c>
      <c r="D2249" t="s">
        <v>219</v>
      </c>
      <c r="E2249" t="s">
        <v>206</v>
      </c>
      <c r="F2249" s="1">
        <v>4982</v>
      </c>
    </row>
    <row r="2250" spans="1:6" x14ac:dyDescent="0.3">
      <c r="A2250" t="str">
        <f>_xlfn.XLOOKUP(ColombiaClientes[[#This Row],[Client]],VpsClientes[Client],VpsClientes[VP],"",0)</f>
        <v>Martha Guzman Arango</v>
      </c>
      <c r="B2250" t="s">
        <v>100</v>
      </c>
      <c r="C2250" t="s">
        <v>192</v>
      </c>
      <c r="D2250" t="s">
        <v>219</v>
      </c>
      <c r="E2250" t="s">
        <v>206</v>
      </c>
      <c r="F2250" s="1">
        <v>4861</v>
      </c>
    </row>
    <row r="2251" spans="1:6" x14ac:dyDescent="0.3">
      <c r="A2251" t="str">
        <f>_xlfn.XLOOKUP(ColombiaClientes[[#This Row],[Client]],VpsClientes[Client],VpsClientes[VP],"",0)</f>
        <v>Martha Guzman Arango</v>
      </c>
      <c r="B2251" t="s">
        <v>143</v>
      </c>
      <c r="C2251" t="s">
        <v>192</v>
      </c>
      <c r="D2251" t="s">
        <v>219</v>
      </c>
      <c r="E2251" t="s">
        <v>206</v>
      </c>
      <c r="F2251" s="1">
        <v>4580</v>
      </c>
    </row>
    <row r="2252" spans="1:6" x14ac:dyDescent="0.3">
      <c r="A2252" t="str">
        <f>_xlfn.XLOOKUP(ColombiaClientes[[#This Row],[Client]],VpsClientes[Client],VpsClientes[VP],"",0)</f>
        <v>Moises Saavedra Garcia</v>
      </c>
      <c r="B2252" t="s">
        <v>115</v>
      </c>
      <c r="C2252" t="s">
        <v>192</v>
      </c>
      <c r="D2252" t="s">
        <v>219</v>
      </c>
      <c r="E2252" t="s">
        <v>206</v>
      </c>
      <c r="F2252" s="1">
        <v>3904</v>
      </c>
    </row>
    <row r="2253" spans="1:6" x14ac:dyDescent="0.3">
      <c r="A2253" t="str">
        <f>_xlfn.XLOOKUP(ColombiaClientes[[#This Row],[Client]],VpsClientes[Client],VpsClientes[VP],"",0)</f>
        <v>Maria Forero Jara</v>
      </c>
      <c r="B2253" t="s">
        <v>139</v>
      </c>
      <c r="C2253" t="s">
        <v>192</v>
      </c>
      <c r="D2253" t="s">
        <v>219</v>
      </c>
      <c r="E2253" t="s">
        <v>206</v>
      </c>
      <c r="F2253" s="1">
        <v>2831</v>
      </c>
    </row>
    <row r="2254" spans="1:6" x14ac:dyDescent="0.3">
      <c r="A2254" t="str">
        <f>_xlfn.XLOOKUP(ColombiaClientes[[#This Row],[Client]],VpsClientes[Client],VpsClientes[VP],"",0)</f>
        <v>Maria Forero Jara</v>
      </c>
      <c r="B2254" t="s">
        <v>108</v>
      </c>
      <c r="C2254" t="s">
        <v>192</v>
      </c>
      <c r="D2254" t="s">
        <v>219</v>
      </c>
      <c r="E2254" t="s">
        <v>206</v>
      </c>
      <c r="F2254" s="1">
        <v>2547</v>
      </c>
    </row>
    <row r="2255" spans="1:6" x14ac:dyDescent="0.3">
      <c r="A2255" t="str">
        <f>_xlfn.XLOOKUP(ColombiaClientes[[#This Row],[Client]],VpsClientes[Client],VpsClientes[VP],"",0)</f>
        <v>Martha Guzman Arango</v>
      </c>
      <c r="B2255" t="s">
        <v>103</v>
      </c>
      <c r="C2255" t="s">
        <v>192</v>
      </c>
      <c r="D2255" t="s">
        <v>219</v>
      </c>
      <c r="E2255" t="s">
        <v>206</v>
      </c>
      <c r="F2255" s="1">
        <v>2379</v>
      </c>
    </row>
    <row r="2256" spans="1:6" x14ac:dyDescent="0.3">
      <c r="A2256" t="str">
        <f>_xlfn.XLOOKUP(ColombiaClientes[[#This Row],[Client]],VpsClientes[Client],VpsClientes[VP],"",0)</f>
        <v>Jhonatan Izquierdo Rico</v>
      </c>
      <c r="B2256" t="s">
        <v>128</v>
      </c>
      <c r="C2256" t="s">
        <v>192</v>
      </c>
      <c r="D2256" t="s">
        <v>219</v>
      </c>
      <c r="E2256" t="s">
        <v>206</v>
      </c>
      <c r="F2256" s="1">
        <v>1997</v>
      </c>
    </row>
    <row r="2257" spans="1:6" x14ac:dyDescent="0.3">
      <c r="A2257" t="str">
        <f>_xlfn.XLOOKUP(ColombiaClientes[[#This Row],[Client]],VpsClientes[Client],VpsClientes[VP],"",0)</f>
        <v>Maria Forero Jara</v>
      </c>
      <c r="B2257" t="s">
        <v>125</v>
      </c>
      <c r="C2257" t="s">
        <v>192</v>
      </c>
      <c r="D2257" t="s">
        <v>219</v>
      </c>
      <c r="E2257" t="s">
        <v>206</v>
      </c>
      <c r="F2257" s="1">
        <v>1941</v>
      </c>
    </row>
    <row r="2258" spans="1:6" x14ac:dyDescent="0.3">
      <c r="A2258" t="str">
        <f>_xlfn.XLOOKUP(ColombiaClientes[[#This Row],[Client]],VpsClientes[Client],VpsClientes[VP],"",0)</f>
        <v>Carlos Castillo Figueroa</v>
      </c>
      <c r="B2258" t="s">
        <v>105</v>
      </c>
      <c r="C2258" t="s">
        <v>192</v>
      </c>
      <c r="D2258" t="s">
        <v>219</v>
      </c>
      <c r="E2258" t="s">
        <v>206</v>
      </c>
      <c r="F2258" s="1">
        <v>1849</v>
      </c>
    </row>
    <row r="2259" spans="1:6" x14ac:dyDescent="0.3">
      <c r="A2259" t="str">
        <f>_xlfn.XLOOKUP(ColombiaClientes[[#This Row],[Client]],VpsClientes[Client],VpsClientes[VP],"",0)</f>
        <v>Sandra Romero Zuluaga</v>
      </c>
      <c r="B2259" t="s">
        <v>113</v>
      </c>
      <c r="C2259" t="s">
        <v>192</v>
      </c>
      <c r="D2259" t="s">
        <v>219</v>
      </c>
      <c r="E2259" t="s">
        <v>206</v>
      </c>
      <c r="F2259" s="1">
        <v>1681</v>
      </c>
    </row>
    <row r="2260" spans="1:6" x14ac:dyDescent="0.3">
      <c r="A2260" t="str">
        <f>_xlfn.XLOOKUP(ColombiaClientes[[#This Row],[Client]],VpsClientes[Client],VpsClientes[VP],"",0)</f>
        <v>Carlos Beltran Hernandez</v>
      </c>
      <c r="B2260" t="s">
        <v>93</v>
      </c>
      <c r="C2260" t="s">
        <v>192</v>
      </c>
      <c r="D2260" t="s">
        <v>219</v>
      </c>
      <c r="E2260" t="s">
        <v>206</v>
      </c>
      <c r="F2260" s="1">
        <v>1658</v>
      </c>
    </row>
    <row r="2261" spans="1:6" x14ac:dyDescent="0.3">
      <c r="A2261" t="str">
        <f>_xlfn.XLOOKUP(ColombiaClientes[[#This Row],[Client]],VpsClientes[Client],VpsClientes[VP],"",0)</f>
        <v>Martha Guzman Arango</v>
      </c>
      <c r="B2261" t="s">
        <v>114</v>
      </c>
      <c r="C2261" t="s">
        <v>192</v>
      </c>
      <c r="D2261" t="s">
        <v>219</v>
      </c>
      <c r="E2261" t="s">
        <v>206</v>
      </c>
      <c r="F2261" s="1">
        <v>1617</v>
      </c>
    </row>
    <row r="2262" spans="1:6" x14ac:dyDescent="0.3">
      <c r="A2262" t="str">
        <f>_xlfn.XLOOKUP(ColombiaClientes[[#This Row],[Client]],VpsClientes[Client],VpsClientes[VP],"",0)</f>
        <v>Jhonatan Izquierdo Rico</v>
      </c>
      <c r="B2262" t="s">
        <v>126</v>
      </c>
      <c r="C2262" t="s">
        <v>192</v>
      </c>
      <c r="D2262" t="s">
        <v>219</v>
      </c>
      <c r="E2262" t="s">
        <v>206</v>
      </c>
      <c r="F2262" s="1">
        <v>1475</v>
      </c>
    </row>
    <row r="2263" spans="1:6" x14ac:dyDescent="0.3">
      <c r="A2263" t="str">
        <f>_xlfn.XLOOKUP(ColombiaClientes[[#This Row],[Client]],VpsClientes[Client],VpsClientes[VP],"",0)</f>
        <v>Martha Guzman Arango</v>
      </c>
      <c r="B2263" t="s">
        <v>168</v>
      </c>
      <c r="C2263" t="s">
        <v>192</v>
      </c>
      <c r="D2263" t="s">
        <v>219</v>
      </c>
      <c r="E2263" t="s">
        <v>206</v>
      </c>
      <c r="F2263" s="1">
        <v>1446</v>
      </c>
    </row>
    <row r="2264" spans="1:6" x14ac:dyDescent="0.3">
      <c r="A2264" t="str">
        <f>_xlfn.XLOOKUP(ColombiaClientes[[#This Row],[Client]],VpsClientes[Client],VpsClientes[VP],"",0)</f>
        <v>Maria Forero Jara</v>
      </c>
      <c r="B2264" t="s">
        <v>101</v>
      </c>
      <c r="C2264" t="s">
        <v>192</v>
      </c>
      <c r="D2264" t="s">
        <v>219</v>
      </c>
      <c r="E2264" t="s">
        <v>206</v>
      </c>
      <c r="F2264" s="1">
        <v>1199</v>
      </c>
    </row>
    <row r="2265" spans="1:6" x14ac:dyDescent="0.3">
      <c r="A2265" t="str">
        <f>_xlfn.XLOOKUP(ColombiaClientes[[#This Row],[Client]],VpsClientes[Client],VpsClientes[VP],"",0)</f>
        <v>Martha Guzman Arango</v>
      </c>
      <c r="B2265" t="s">
        <v>97</v>
      </c>
      <c r="C2265" t="s">
        <v>192</v>
      </c>
      <c r="D2265" t="s">
        <v>219</v>
      </c>
      <c r="E2265" t="s">
        <v>206</v>
      </c>
      <c r="F2265" s="1">
        <v>1105</v>
      </c>
    </row>
    <row r="2266" spans="1:6" x14ac:dyDescent="0.3">
      <c r="A2266" t="str">
        <f>_xlfn.XLOOKUP(ColombiaClientes[[#This Row],[Client]],VpsClientes[Client],VpsClientes[VP],"",0)</f>
        <v>Carlos Beltran Hernandez</v>
      </c>
      <c r="B2266" t="s">
        <v>102</v>
      </c>
      <c r="C2266" t="s">
        <v>192</v>
      </c>
      <c r="D2266" t="s">
        <v>219</v>
      </c>
      <c r="E2266" t="s">
        <v>206</v>
      </c>
      <c r="F2266" s="1">
        <v>1046</v>
      </c>
    </row>
    <row r="2267" spans="1:6" x14ac:dyDescent="0.3">
      <c r="A2267" t="str">
        <f>_xlfn.XLOOKUP(ColombiaClientes[[#This Row],[Client]],VpsClientes[Client],VpsClientes[VP],"",0)</f>
        <v>Jhonatan Izquierdo Rico</v>
      </c>
      <c r="B2267" t="s">
        <v>104</v>
      </c>
      <c r="C2267" t="s">
        <v>192</v>
      </c>
      <c r="D2267" t="s">
        <v>219</v>
      </c>
      <c r="E2267" t="s">
        <v>206</v>
      </c>
      <c r="F2267" s="1">
        <v>865</v>
      </c>
    </row>
    <row r="2268" spans="1:6" x14ac:dyDescent="0.3">
      <c r="A2268" t="str">
        <f>_xlfn.XLOOKUP(ColombiaClientes[[#This Row],[Client]],VpsClientes[Client],VpsClientes[VP],"",0)</f>
        <v>Maria Forero Jara</v>
      </c>
      <c r="B2268" t="s">
        <v>106</v>
      </c>
      <c r="C2268" t="s">
        <v>192</v>
      </c>
      <c r="D2268" t="s">
        <v>219</v>
      </c>
      <c r="E2268" t="s">
        <v>206</v>
      </c>
      <c r="F2268" s="1">
        <v>858</v>
      </c>
    </row>
    <row r="2269" spans="1:6" x14ac:dyDescent="0.3">
      <c r="A2269" t="str">
        <f>_xlfn.XLOOKUP(ColombiaClientes[[#This Row],[Client]],VpsClientes[Client],VpsClientes[VP],"",0)</f>
        <v>Martha Guzman Arango</v>
      </c>
      <c r="B2269" t="s">
        <v>146</v>
      </c>
      <c r="C2269" t="s">
        <v>192</v>
      </c>
      <c r="D2269" t="s">
        <v>219</v>
      </c>
      <c r="E2269" t="s">
        <v>206</v>
      </c>
      <c r="F2269" s="1">
        <v>788</v>
      </c>
    </row>
    <row r="2270" spans="1:6" x14ac:dyDescent="0.3">
      <c r="A2270" t="str">
        <f>_xlfn.XLOOKUP(ColombiaClientes[[#This Row],[Client]],VpsClientes[Client],VpsClientes[VP],"",0)</f>
        <v>Moises Saavedra Garcia</v>
      </c>
      <c r="B2270" t="s">
        <v>150</v>
      </c>
      <c r="C2270" t="s">
        <v>192</v>
      </c>
      <c r="D2270" t="s">
        <v>219</v>
      </c>
      <c r="E2270" t="s">
        <v>206</v>
      </c>
      <c r="F2270" s="1">
        <v>721</v>
      </c>
    </row>
    <row r="2271" spans="1:6" x14ac:dyDescent="0.3">
      <c r="A2271" t="str">
        <f>_xlfn.XLOOKUP(ColombiaClientes[[#This Row],[Client]],VpsClientes[Client],VpsClientes[VP],"",0)</f>
        <v>Carlos Beltran Hernandez</v>
      </c>
      <c r="B2271" t="s">
        <v>151</v>
      </c>
      <c r="C2271" t="s">
        <v>192</v>
      </c>
      <c r="D2271" t="s">
        <v>219</v>
      </c>
      <c r="E2271" t="s">
        <v>206</v>
      </c>
      <c r="F2271" s="1">
        <v>711</v>
      </c>
    </row>
    <row r="2272" spans="1:6" x14ac:dyDescent="0.3">
      <c r="A2272" t="str">
        <f>_xlfn.XLOOKUP(ColombiaClientes[[#This Row],[Client]],VpsClientes[Client],VpsClientes[VP],"",0)</f>
        <v>Jhonatan Izquierdo Rico</v>
      </c>
      <c r="B2272" t="s">
        <v>107</v>
      </c>
      <c r="C2272" t="s">
        <v>192</v>
      </c>
      <c r="D2272" t="s">
        <v>219</v>
      </c>
      <c r="E2272" t="s">
        <v>206</v>
      </c>
      <c r="F2272" s="1">
        <v>555</v>
      </c>
    </row>
    <row r="2273" spans="1:6" x14ac:dyDescent="0.3">
      <c r="A2273" t="str">
        <f>_xlfn.XLOOKUP(ColombiaClientes[[#This Row],[Client]],VpsClientes[Client],VpsClientes[VP],"",0)</f>
        <v>Hector Muraira Garza</v>
      </c>
      <c r="B2273" t="s">
        <v>154</v>
      </c>
      <c r="C2273" t="s">
        <v>192</v>
      </c>
      <c r="D2273" t="s">
        <v>219</v>
      </c>
      <c r="E2273" t="s">
        <v>206</v>
      </c>
      <c r="F2273" s="1">
        <v>518</v>
      </c>
    </row>
    <row r="2274" spans="1:6" x14ac:dyDescent="0.3">
      <c r="A2274" t="str">
        <f>_xlfn.XLOOKUP(ColombiaClientes[[#This Row],[Client]],VpsClientes[Client],VpsClientes[VP],"",0)</f>
        <v>Martha Guzman Arango</v>
      </c>
      <c r="B2274" t="s">
        <v>118</v>
      </c>
      <c r="C2274" t="s">
        <v>192</v>
      </c>
      <c r="D2274" t="s">
        <v>219</v>
      </c>
      <c r="E2274" t="s">
        <v>206</v>
      </c>
      <c r="F2274" s="1">
        <v>517</v>
      </c>
    </row>
    <row r="2275" spans="1:6" x14ac:dyDescent="0.3">
      <c r="A2275" t="str">
        <f>_xlfn.XLOOKUP(ColombiaClientes[[#This Row],[Client]],VpsClientes[Client],VpsClientes[VP],"",0)</f>
        <v>Martha Guzman Arango</v>
      </c>
      <c r="B2275" t="s">
        <v>109</v>
      </c>
      <c r="C2275" t="s">
        <v>192</v>
      </c>
      <c r="D2275" t="s">
        <v>219</v>
      </c>
      <c r="E2275" t="s">
        <v>206</v>
      </c>
      <c r="F2275" s="1">
        <v>466</v>
      </c>
    </row>
    <row r="2276" spans="1:6" x14ac:dyDescent="0.3">
      <c r="A2276" t="str">
        <f>_xlfn.XLOOKUP(ColombiaClientes[[#This Row],[Client]],VpsClientes[Client],VpsClientes[VP],"",0)</f>
        <v>Juan Granados Castillo</v>
      </c>
      <c r="B2276" t="s">
        <v>136</v>
      </c>
      <c r="C2276" t="s">
        <v>192</v>
      </c>
      <c r="D2276" t="s">
        <v>219</v>
      </c>
      <c r="E2276" t="s">
        <v>206</v>
      </c>
      <c r="F2276" s="1">
        <v>429</v>
      </c>
    </row>
    <row r="2277" spans="1:6" x14ac:dyDescent="0.3">
      <c r="A2277" t="str">
        <f>_xlfn.XLOOKUP(ColombiaClientes[[#This Row],[Client]],VpsClientes[Client],VpsClientes[VP],"",0)</f>
        <v>Hector Muraira Garza</v>
      </c>
      <c r="B2277" t="s">
        <v>178</v>
      </c>
      <c r="C2277" t="s">
        <v>192</v>
      </c>
      <c r="D2277" t="s">
        <v>219</v>
      </c>
      <c r="E2277" t="s">
        <v>206</v>
      </c>
      <c r="F2277" s="1">
        <v>0</v>
      </c>
    </row>
    <row r="2278" spans="1:6" x14ac:dyDescent="0.3">
      <c r="A2278" t="str">
        <f>_xlfn.XLOOKUP(ColombiaClientes[[#This Row],[Client]],VpsClientes[Client],VpsClientes[VP],"",0)</f>
        <v>Martha Guzman Arango</v>
      </c>
      <c r="B2278" t="s">
        <v>153</v>
      </c>
      <c r="C2278" t="s">
        <v>192</v>
      </c>
      <c r="D2278" t="s">
        <v>219</v>
      </c>
      <c r="E2278" t="s">
        <v>206</v>
      </c>
      <c r="F2278" s="1">
        <v>354</v>
      </c>
    </row>
    <row r="2279" spans="1:6" x14ac:dyDescent="0.3">
      <c r="A2279" t="str">
        <f>_xlfn.XLOOKUP(ColombiaClientes[[#This Row],[Client]],VpsClientes[Client],VpsClientes[VP],"",0)</f>
        <v>Martha Guzman Arango</v>
      </c>
      <c r="B2279" t="s">
        <v>180</v>
      </c>
      <c r="C2279" t="s">
        <v>192</v>
      </c>
      <c r="D2279" t="s">
        <v>219</v>
      </c>
      <c r="E2279" t="s">
        <v>206</v>
      </c>
      <c r="F2279" s="1">
        <v>348</v>
      </c>
    </row>
    <row r="2280" spans="1:6" x14ac:dyDescent="0.3">
      <c r="A2280" t="str">
        <f>_xlfn.XLOOKUP(ColombiaClientes[[#This Row],[Client]],VpsClientes[Client],VpsClientes[VP],"",0)</f>
        <v>Martha Guzman Arango</v>
      </c>
      <c r="B2280" t="s">
        <v>122</v>
      </c>
      <c r="C2280" t="s">
        <v>192</v>
      </c>
      <c r="D2280" t="s">
        <v>219</v>
      </c>
      <c r="E2280" t="s">
        <v>206</v>
      </c>
      <c r="F2280" s="1">
        <v>344</v>
      </c>
    </row>
    <row r="2281" spans="1:6" x14ac:dyDescent="0.3">
      <c r="A2281" t="str">
        <f>_xlfn.XLOOKUP(ColombiaClientes[[#This Row],[Client]],VpsClientes[Client],VpsClientes[VP],"",0)</f>
        <v>Martha Guzman Arango</v>
      </c>
      <c r="B2281" t="s">
        <v>135</v>
      </c>
      <c r="C2281" t="s">
        <v>192</v>
      </c>
      <c r="D2281" t="s">
        <v>219</v>
      </c>
      <c r="E2281" t="s">
        <v>206</v>
      </c>
      <c r="F2281" s="1">
        <v>321</v>
      </c>
    </row>
    <row r="2282" spans="1:6" x14ac:dyDescent="0.3">
      <c r="A2282" t="str">
        <f>_xlfn.XLOOKUP(ColombiaClientes[[#This Row],[Client]],VpsClientes[Client],VpsClientes[VP],"",0)</f>
        <v>Ludy Torres Benitez</v>
      </c>
      <c r="B2282" t="s">
        <v>95</v>
      </c>
      <c r="C2282" t="s">
        <v>192</v>
      </c>
      <c r="D2282" t="s">
        <v>219</v>
      </c>
      <c r="E2282" t="s">
        <v>206</v>
      </c>
      <c r="F2282" s="1">
        <v>314</v>
      </c>
    </row>
    <row r="2283" spans="1:6" x14ac:dyDescent="0.3">
      <c r="A2283" t="str">
        <f>_xlfn.XLOOKUP(ColombiaClientes[[#This Row],[Client]],VpsClientes[Client],VpsClientes[VP],"",0)</f>
        <v>Juan Granados Castillo</v>
      </c>
      <c r="B2283" t="s">
        <v>134</v>
      </c>
      <c r="C2283" t="s">
        <v>192</v>
      </c>
      <c r="D2283" t="s">
        <v>219</v>
      </c>
      <c r="E2283" t="s">
        <v>206</v>
      </c>
      <c r="F2283" s="1">
        <v>277</v>
      </c>
    </row>
    <row r="2284" spans="1:6" x14ac:dyDescent="0.3">
      <c r="A2284" t="str">
        <f>_xlfn.XLOOKUP(ColombiaClientes[[#This Row],[Client]],VpsClientes[Client],VpsClientes[VP],"",0)</f>
        <v>Hector Muraira Garza</v>
      </c>
      <c r="B2284" t="s">
        <v>137</v>
      </c>
      <c r="C2284" t="s">
        <v>192</v>
      </c>
      <c r="D2284" t="s">
        <v>219</v>
      </c>
      <c r="E2284" t="s">
        <v>206</v>
      </c>
      <c r="F2284" s="1">
        <v>192</v>
      </c>
    </row>
    <row r="2285" spans="1:6" x14ac:dyDescent="0.3">
      <c r="A2285" t="str">
        <f>_xlfn.XLOOKUP(ColombiaClientes[[#This Row],[Client]],VpsClientes[Client],VpsClientes[VP],"",0)</f>
        <v>Ernesto Rico Zuluaga</v>
      </c>
      <c r="B2285" t="s">
        <v>116</v>
      </c>
      <c r="C2285" t="s">
        <v>192</v>
      </c>
      <c r="D2285" t="s">
        <v>219</v>
      </c>
      <c r="E2285" t="s">
        <v>206</v>
      </c>
      <c r="F2285" s="1">
        <v>188</v>
      </c>
    </row>
    <row r="2286" spans="1:6" x14ac:dyDescent="0.3">
      <c r="A2286" t="str">
        <f>_xlfn.XLOOKUP(ColombiaClientes[[#This Row],[Client]],VpsClientes[Client],VpsClientes[VP],"",0)</f>
        <v>Hector Muraira Garza</v>
      </c>
      <c r="B2286" t="s">
        <v>132</v>
      </c>
      <c r="C2286" t="s">
        <v>192</v>
      </c>
      <c r="D2286" t="s">
        <v>219</v>
      </c>
      <c r="E2286" t="s">
        <v>206</v>
      </c>
      <c r="F2286" s="1">
        <v>167</v>
      </c>
    </row>
    <row r="2287" spans="1:6" x14ac:dyDescent="0.3">
      <c r="A2287" t="str">
        <f>_xlfn.XLOOKUP(ColombiaClientes[[#This Row],[Client]],VpsClientes[Client],VpsClientes[VP],"",0)</f>
        <v>Martha Guzman Arango</v>
      </c>
      <c r="B2287" t="s">
        <v>165</v>
      </c>
      <c r="C2287" t="s">
        <v>192</v>
      </c>
      <c r="D2287" t="s">
        <v>219</v>
      </c>
      <c r="E2287" t="s">
        <v>206</v>
      </c>
      <c r="F2287" s="1">
        <v>136</v>
      </c>
    </row>
    <row r="2288" spans="1:6" x14ac:dyDescent="0.3">
      <c r="A2288" t="str">
        <f>_xlfn.XLOOKUP(ColombiaClientes[[#This Row],[Client]],VpsClientes[Client],VpsClientes[VP],"",0)</f>
        <v>Maria Forero Jara</v>
      </c>
      <c r="B2288" t="s">
        <v>123</v>
      </c>
      <c r="C2288" t="s">
        <v>192</v>
      </c>
      <c r="D2288" t="s">
        <v>219</v>
      </c>
      <c r="E2288" t="s">
        <v>206</v>
      </c>
      <c r="F2288" s="1">
        <v>131</v>
      </c>
    </row>
    <row r="2289" spans="1:6" x14ac:dyDescent="0.3">
      <c r="A2289" t="str">
        <f>_xlfn.XLOOKUP(ColombiaClientes[[#This Row],[Client]],VpsClientes[Client],VpsClientes[VP],"",0)</f>
        <v>Maria Forero Jara</v>
      </c>
      <c r="B2289" t="s">
        <v>144</v>
      </c>
      <c r="C2289" t="s">
        <v>192</v>
      </c>
      <c r="D2289" t="s">
        <v>219</v>
      </c>
      <c r="E2289" t="s">
        <v>206</v>
      </c>
      <c r="F2289" s="1">
        <v>127</v>
      </c>
    </row>
    <row r="2290" spans="1:6" x14ac:dyDescent="0.3">
      <c r="A2290" t="str">
        <f>_xlfn.XLOOKUP(ColombiaClientes[[#This Row],[Client]],VpsClientes[Client],VpsClientes[VP],"",0)</f>
        <v>Martha Guzman Arango</v>
      </c>
      <c r="B2290" t="s">
        <v>124</v>
      </c>
      <c r="C2290" t="s">
        <v>192</v>
      </c>
      <c r="D2290" t="s">
        <v>219</v>
      </c>
      <c r="E2290" t="s">
        <v>206</v>
      </c>
      <c r="F2290" s="1">
        <v>126</v>
      </c>
    </row>
    <row r="2291" spans="1:6" x14ac:dyDescent="0.3">
      <c r="A2291" t="str">
        <f>_xlfn.XLOOKUP(ColombiaClientes[[#This Row],[Client]],VpsClientes[Client],VpsClientes[VP],"",0)</f>
        <v>Martha Guzman Arango</v>
      </c>
      <c r="B2291" t="s">
        <v>156</v>
      </c>
      <c r="C2291" t="s">
        <v>192</v>
      </c>
      <c r="D2291" t="s">
        <v>219</v>
      </c>
      <c r="E2291" t="s">
        <v>206</v>
      </c>
      <c r="F2291" s="1">
        <v>118</v>
      </c>
    </row>
    <row r="2292" spans="1:6" x14ac:dyDescent="0.3">
      <c r="A2292" t="str">
        <f>_xlfn.XLOOKUP(ColombiaClientes[[#This Row],[Client]],VpsClientes[Client],VpsClientes[VP],"",0)</f>
        <v>Martha Guzman Arango</v>
      </c>
      <c r="B2292" t="s">
        <v>162</v>
      </c>
      <c r="C2292" t="s">
        <v>192</v>
      </c>
      <c r="D2292" t="s">
        <v>219</v>
      </c>
      <c r="E2292" t="s">
        <v>206</v>
      </c>
      <c r="F2292" s="1">
        <v>118</v>
      </c>
    </row>
    <row r="2293" spans="1:6" x14ac:dyDescent="0.3">
      <c r="A2293" t="str">
        <f>_xlfn.XLOOKUP(ColombiaClientes[[#This Row],[Client]],VpsClientes[Client],VpsClientes[VP],"",0)</f>
        <v>Hector Muraira Garza</v>
      </c>
      <c r="B2293" t="s">
        <v>130</v>
      </c>
      <c r="C2293" t="s">
        <v>192</v>
      </c>
      <c r="D2293" t="s">
        <v>219</v>
      </c>
      <c r="E2293" t="s">
        <v>206</v>
      </c>
      <c r="F2293" s="1">
        <v>111</v>
      </c>
    </row>
    <row r="2294" spans="1:6" x14ac:dyDescent="0.3">
      <c r="A2294" t="str">
        <f>_xlfn.XLOOKUP(ColombiaClientes[[#This Row],[Client]],VpsClientes[Client],VpsClientes[VP],"",0)</f>
        <v>Jhonatan Izquierdo Rico</v>
      </c>
      <c r="B2294" t="s">
        <v>138</v>
      </c>
      <c r="C2294" t="s">
        <v>192</v>
      </c>
      <c r="D2294" t="s">
        <v>219</v>
      </c>
      <c r="E2294" t="s">
        <v>206</v>
      </c>
      <c r="F2294" s="1">
        <v>109</v>
      </c>
    </row>
    <row r="2295" spans="1:6" x14ac:dyDescent="0.3">
      <c r="A2295" t="str">
        <f>_xlfn.XLOOKUP(ColombiaClientes[[#This Row],[Client]],VpsClientes[Client],VpsClientes[VP],"",0)</f>
        <v>Maria Forero Jara</v>
      </c>
      <c r="B2295" t="s">
        <v>111</v>
      </c>
      <c r="C2295" t="s">
        <v>192</v>
      </c>
      <c r="D2295" t="s">
        <v>219</v>
      </c>
      <c r="E2295" t="s">
        <v>206</v>
      </c>
      <c r="F2295" s="1">
        <v>100</v>
      </c>
    </row>
    <row r="2296" spans="1:6" x14ac:dyDescent="0.3">
      <c r="A2296" t="str">
        <f>_xlfn.XLOOKUP(ColombiaClientes[[#This Row],[Client]],VpsClientes[Client],VpsClientes[VP],"",0)</f>
        <v>Martha Guzman Arango</v>
      </c>
      <c r="B2296" t="s">
        <v>185</v>
      </c>
      <c r="C2296" t="s">
        <v>192</v>
      </c>
      <c r="D2296" t="s">
        <v>219</v>
      </c>
      <c r="E2296" t="s">
        <v>206</v>
      </c>
      <c r="F2296" s="1">
        <v>88</v>
      </c>
    </row>
    <row r="2297" spans="1:6" x14ac:dyDescent="0.3">
      <c r="A2297" t="str">
        <f>_xlfn.XLOOKUP(ColombiaClientes[[#This Row],[Client]],VpsClientes[Client],VpsClientes[VP],"",0)</f>
        <v>Moises Saavedra Garcia</v>
      </c>
      <c r="B2297" t="s">
        <v>120</v>
      </c>
      <c r="C2297" t="s">
        <v>192</v>
      </c>
      <c r="D2297" t="s">
        <v>219</v>
      </c>
      <c r="E2297" t="s">
        <v>206</v>
      </c>
      <c r="F2297" s="1">
        <v>86</v>
      </c>
    </row>
    <row r="2298" spans="1:6" x14ac:dyDescent="0.3">
      <c r="A2298" t="str">
        <f>_xlfn.XLOOKUP(ColombiaClientes[[#This Row],[Client]],VpsClientes[Client],VpsClientes[VP],"",0)</f>
        <v>Martha Guzman Arango</v>
      </c>
      <c r="B2298" t="s">
        <v>170</v>
      </c>
      <c r="C2298" t="s">
        <v>192</v>
      </c>
      <c r="D2298" t="s">
        <v>219</v>
      </c>
      <c r="E2298" t="s">
        <v>206</v>
      </c>
      <c r="F2298" s="1">
        <v>85</v>
      </c>
    </row>
    <row r="2299" spans="1:6" x14ac:dyDescent="0.3">
      <c r="A2299" t="str">
        <f>_xlfn.XLOOKUP(ColombiaClientes[[#This Row],[Client]],VpsClientes[Client],VpsClientes[VP],"",0)</f>
        <v>Martha Guzman Arango</v>
      </c>
      <c r="B2299" t="s">
        <v>171</v>
      </c>
      <c r="C2299" t="s">
        <v>192</v>
      </c>
      <c r="D2299" t="s">
        <v>219</v>
      </c>
      <c r="E2299" t="s">
        <v>206</v>
      </c>
      <c r="F2299" s="1">
        <v>66</v>
      </c>
    </row>
    <row r="2300" spans="1:6" x14ac:dyDescent="0.3">
      <c r="A2300" t="str">
        <f>_xlfn.XLOOKUP(ColombiaClientes[[#This Row],[Client]],VpsClientes[Client],VpsClientes[VP],"",0)</f>
        <v>Jhonatan Izquierdo Rico</v>
      </c>
      <c r="B2300" t="s">
        <v>196</v>
      </c>
      <c r="C2300" t="s">
        <v>192</v>
      </c>
      <c r="D2300" t="s">
        <v>219</v>
      </c>
      <c r="E2300" t="s">
        <v>206</v>
      </c>
      <c r="F2300" s="1">
        <v>56</v>
      </c>
    </row>
    <row r="2301" spans="1:6" x14ac:dyDescent="0.3">
      <c r="A2301" t="str">
        <f>_xlfn.XLOOKUP(ColombiaClientes[[#This Row],[Client]],VpsClientes[Client],VpsClientes[VP],"",0)</f>
        <v>Carlos Beltran Hernandez</v>
      </c>
      <c r="B2301" t="s">
        <v>158</v>
      </c>
      <c r="C2301" t="s">
        <v>192</v>
      </c>
      <c r="D2301" t="s">
        <v>219</v>
      </c>
      <c r="E2301" t="s">
        <v>206</v>
      </c>
      <c r="F2301" s="1">
        <v>53</v>
      </c>
    </row>
    <row r="2302" spans="1:6" x14ac:dyDescent="0.3">
      <c r="A2302" t="str">
        <f>_xlfn.XLOOKUP(ColombiaClientes[[#This Row],[Client]],VpsClientes[Client],VpsClientes[VP],"",0)</f>
        <v>Moises Saavedra Garcia</v>
      </c>
      <c r="B2302" t="s">
        <v>172</v>
      </c>
      <c r="C2302" t="s">
        <v>192</v>
      </c>
      <c r="D2302" t="s">
        <v>219</v>
      </c>
      <c r="E2302" t="s">
        <v>206</v>
      </c>
      <c r="F2302" s="1">
        <v>44</v>
      </c>
    </row>
    <row r="2303" spans="1:6" x14ac:dyDescent="0.3">
      <c r="A2303" t="str">
        <f>_xlfn.XLOOKUP(ColombiaClientes[[#This Row],[Client]],VpsClientes[Client],VpsClientes[VP],"",0)</f>
        <v>Martha Guzman Arango</v>
      </c>
      <c r="B2303" t="s">
        <v>186</v>
      </c>
      <c r="C2303" t="s">
        <v>192</v>
      </c>
      <c r="D2303" t="s">
        <v>219</v>
      </c>
      <c r="E2303" t="s">
        <v>206</v>
      </c>
      <c r="F2303" s="1">
        <v>44</v>
      </c>
    </row>
    <row r="2304" spans="1:6" x14ac:dyDescent="0.3">
      <c r="A2304" t="str">
        <f>_xlfn.XLOOKUP(ColombiaClientes[[#This Row],[Client]],VpsClientes[Client],VpsClientes[VP],"",0)</f>
        <v>Martha Guzman Arango</v>
      </c>
      <c r="B2304" t="s">
        <v>131</v>
      </c>
      <c r="C2304" t="s">
        <v>192</v>
      </c>
      <c r="D2304" t="s">
        <v>219</v>
      </c>
      <c r="E2304" t="s">
        <v>206</v>
      </c>
      <c r="F2304" s="1">
        <v>42</v>
      </c>
    </row>
    <row r="2305" spans="1:6" x14ac:dyDescent="0.3">
      <c r="A2305" t="str">
        <f>_xlfn.XLOOKUP(ColombiaClientes[[#This Row],[Client]],VpsClientes[Client],VpsClientes[VP],"",0)</f>
        <v>Martha Guzman Arango</v>
      </c>
      <c r="B2305" t="s">
        <v>166</v>
      </c>
      <c r="C2305" t="s">
        <v>192</v>
      </c>
      <c r="D2305" t="s">
        <v>219</v>
      </c>
      <c r="E2305" t="s">
        <v>206</v>
      </c>
      <c r="F2305" s="1">
        <v>41</v>
      </c>
    </row>
    <row r="2306" spans="1:6" x14ac:dyDescent="0.3">
      <c r="A2306" t="str">
        <f>_xlfn.XLOOKUP(ColombiaClientes[[#This Row],[Client]],VpsClientes[Client],VpsClientes[VP],"",0)</f>
        <v>Hector Muraira Garza</v>
      </c>
      <c r="B2306" t="s">
        <v>178</v>
      </c>
      <c r="C2306" t="s">
        <v>194</v>
      </c>
      <c r="D2306" t="s">
        <v>219</v>
      </c>
      <c r="E2306" t="s">
        <v>206</v>
      </c>
      <c r="F2306" s="1">
        <v>1</v>
      </c>
    </row>
    <row r="2307" spans="1:6" x14ac:dyDescent="0.3">
      <c r="A2307" t="str">
        <f>_xlfn.XLOOKUP(ColombiaClientes[[#This Row],[Client]],VpsClientes[Client],VpsClientes[VP],"",0)</f>
        <v>Carlos Beltran Hernandez</v>
      </c>
      <c r="B2307" t="s">
        <v>119</v>
      </c>
      <c r="C2307" t="s">
        <v>192</v>
      </c>
      <c r="D2307" t="s">
        <v>219</v>
      </c>
      <c r="E2307" t="s">
        <v>206</v>
      </c>
      <c r="F2307" s="1">
        <v>32</v>
      </c>
    </row>
    <row r="2308" spans="1:6" x14ac:dyDescent="0.3">
      <c r="A2308" t="str">
        <f>_xlfn.XLOOKUP(ColombiaClientes[[#This Row],[Client]],VpsClientes[Client],VpsClientes[VP],"",0)</f>
        <v>Martha Guzman Arango</v>
      </c>
      <c r="B2308" t="s">
        <v>145</v>
      </c>
      <c r="C2308" t="s">
        <v>192</v>
      </c>
      <c r="D2308" t="s">
        <v>219</v>
      </c>
      <c r="E2308" t="s">
        <v>206</v>
      </c>
      <c r="F2308" s="1">
        <v>32</v>
      </c>
    </row>
    <row r="2309" spans="1:6" x14ac:dyDescent="0.3">
      <c r="A2309" t="str">
        <f>_xlfn.XLOOKUP(ColombiaClientes[[#This Row],[Client]],VpsClientes[Client],VpsClientes[VP],"",0)</f>
        <v>Jhonatan Izquierdo Rico</v>
      </c>
      <c r="B2309" t="s">
        <v>157</v>
      </c>
      <c r="C2309" t="s">
        <v>192</v>
      </c>
      <c r="D2309" t="s">
        <v>219</v>
      </c>
      <c r="E2309" t="s">
        <v>206</v>
      </c>
      <c r="F2309" s="1">
        <v>32</v>
      </c>
    </row>
    <row r="2310" spans="1:6" x14ac:dyDescent="0.3">
      <c r="A2310" t="str">
        <f>_xlfn.XLOOKUP(ColombiaClientes[[#This Row],[Client]],VpsClientes[Client],VpsClientes[VP],"",0)</f>
        <v>Carlos Beltran Hernandez</v>
      </c>
      <c r="B2310" t="s">
        <v>173</v>
      </c>
      <c r="C2310" t="s">
        <v>192</v>
      </c>
      <c r="D2310" t="s">
        <v>219</v>
      </c>
      <c r="E2310" t="s">
        <v>206</v>
      </c>
      <c r="F2310" s="1">
        <v>31</v>
      </c>
    </row>
    <row r="2311" spans="1:6" x14ac:dyDescent="0.3">
      <c r="A2311" t="str">
        <f>_xlfn.XLOOKUP(ColombiaClientes[[#This Row],[Client]],VpsClientes[Client],VpsClientes[VP],"",0)</f>
        <v>Hector Muraira Garza</v>
      </c>
      <c r="B2311" t="s">
        <v>164</v>
      </c>
      <c r="C2311" t="s">
        <v>192</v>
      </c>
      <c r="D2311" t="s">
        <v>219</v>
      </c>
      <c r="E2311" t="s">
        <v>206</v>
      </c>
      <c r="F2311" s="1">
        <v>30</v>
      </c>
    </row>
    <row r="2312" spans="1:6" x14ac:dyDescent="0.3">
      <c r="A2312" t="str">
        <f>_xlfn.XLOOKUP(ColombiaClientes[[#This Row],[Client]],VpsClientes[Client],VpsClientes[VP],"",0)</f>
        <v>Maria Forero Jara</v>
      </c>
      <c r="B2312" t="s">
        <v>163</v>
      </c>
      <c r="C2312" t="s">
        <v>192</v>
      </c>
      <c r="D2312" t="s">
        <v>219</v>
      </c>
      <c r="E2312" t="s">
        <v>206</v>
      </c>
      <c r="F2312" s="1">
        <v>27</v>
      </c>
    </row>
    <row r="2313" spans="1:6" x14ac:dyDescent="0.3">
      <c r="A2313" t="str">
        <f>_xlfn.XLOOKUP(ColombiaClientes[[#This Row],[Client]],VpsClientes[Client],VpsClientes[VP],"",0)</f>
        <v>Martha Guzman Arango</v>
      </c>
      <c r="B2313" t="s">
        <v>152</v>
      </c>
      <c r="C2313" t="s">
        <v>192</v>
      </c>
      <c r="D2313" t="s">
        <v>219</v>
      </c>
      <c r="E2313" t="s">
        <v>206</v>
      </c>
      <c r="F2313" s="1">
        <v>26</v>
      </c>
    </row>
    <row r="2314" spans="1:6" x14ac:dyDescent="0.3">
      <c r="A2314" t="str">
        <f>_xlfn.XLOOKUP(ColombiaClientes[[#This Row],[Client]],VpsClientes[Client],VpsClientes[VP],"",0)</f>
        <v>Martha Guzman Arango</v>
      </c>
      <c r="B2314" t="s">
        <v>148</v>
      </c>
      <c r="C2314" t="s">
        <v>192</v>
      </c>
      <c r="D2314" t="s">
        <v>219</v>
      </c>
      <c r="E2314" t="s">
        <v>206</v>
      </c>
      <c r="F2314" s="1">
        <v>25</v>
      </c>
    </row>
    <row r="2315" spans="1:6" x14ac:dyDescent="0.3">
      <c r="A2315" t="str">
        <f>_xlfn.XLOOKUP(ColombiaClientes[[#This Row],[Client]],VpsClientes[Client],VpsClientes[VP],"",0)</f>
        <v>Maria Forero Jara</v>
      </c>
      <c r="B2315" t="s">
        <v>179</v>
      </c>
      <c r="C2315" t="s">
        <v>192</v>
      </c>
      <c r="D2315" t="s">
        <v>219</v>
      </c>
      <c r="E2315" t="s">
        <v>206</v>
      </c>
      <c r="F2315" s="1">
        <v>25</v>
      </c>
    </row>
    <row r="2316" spans="1:6" x14ac:dyDescent="0.3">
      <c r="A2316" t="str">
        <f>_xlfn.XLOOKUP(ColombiaClientes[[#This Row],[Client]],VpsClientes[Client],VpsClientes[VP],"",0)</f>
        <v>Juan Granados Castillo</v>
      </c>
      <c r="B2316" t="s">
        <v>142</v>
      </c>
      <c r="C2316" t="s">
        <v>192</v>
      </c>
      <c r="D2316" t="s">
        <v>219</v>
      </c>
      <c r="E2316" t="s">
        <v>206</v>
      </c>
      <c r="F2316" s="1">
        <v>24</v>
      </c>
    </row>
    <row r="2317" spans="1:6" x14ac:dyDescent="0.3">
      <c r="A2317" t="str">
        <f>_xlfn.XLOOKUP(ColombiaClientes[[#This Row],[Client]],VpsClientes[Client],VpsClientes[VP],"",0)</f>
        <v>Jhonatan Izquierdo Rico</v>
      </c>
      <c r="B2317" t="s">
        <v>117</v>
      </c>
      <c r="C2317" t="s">
        <v>192</v>
      </c>
      <c r="D2317" t="s">
        <v>219</v>
      </c>
      <c r="E2317" t="s">
        <v>206</v>
      </c>
      <c r="F2317" s="1">
        <v>23</v>
      </c>
    </row>
    <row r="2318" spans="1:6" x14ac:dyDescent="0.3">
      <c r="A2318" t="str">
        <f>_xlfn.XLOOKUP(ColombiaClientes[[#This Row],[Client]],VpsClientes[Client],VpsClientes[VP],"",0)</f>
        <v>Martha Guzman Arango</v>
      </c>
      <c r="B2318" t="s">
        <v>176</v>
      </c>
      <c r="C2318" t="s">
        <v>192</v>
      </c>
      <c r="D2318" t="s">
        <v>219</v>
      </c>
      <c r="E2318" t="s">
        <v>206</v>
      </c>
      <c r="F2318" s="1">
        <v>16</v>
      </c>
    </row>
    <row r="2319" spans="1:6" x14ac:dyDescent="0.3">
      <c r="A2319" t="str">
        <f>_xlfn.XLOOKUP(ColombiaClientes[[#This Row],[Client]],VpsClientes[Client],VpsClientes[VP],"",0)</f>
        <v>Moises Saavedra Garcia</v>
      </c>
      <c r="B2319" t="s">
        <v>175</v>
      </c>
      <c r="C2319" t="s">
        <v>192</v>
      </c>
      <c r="D2319" t="s">
        <v>219</v>
      </c>
      <c r="E2319" t="s">
        <v>206</v>
      </c>
      <c r="F2319" s="1">
        <v>15</v>
      </c>
    </row>
    <row r="2320" spans="1:6" x14ac:dyDescent="0.3">
      <c r="A2320" t="str">
        <f>_xlfn.XLOOKUP(ColombiaClientes[[#This Row],[Client]],VpsClientes[Client],VpsClientes[VP],"",0)</f>
        <v>Moises Saavedra Garcia</v>
      </c>
      <c r="B2320" t="s">
        <v>110</v>
      </c>
      <c r="C2320" t="s">
        <v>192</v>
      </c>
      <c r="D2320" t="s">
        <v>219</v>
      </c>
      <c r="E2320" t="s">
        <v>206</v>
      </c>
      <c r="F2320" s="1">
        <v>11</v>
      </c>
    </row>
    <row r="2321" spans="1:6" x14ac:dyDescent="0.3">
      <c r="A2321" t="str">
        <f>_xlfn.XLOOKUP(ColombiaClientes[[#This Row],[Client]],VpsClientes[Client],VpsClientes[VP],"",0)</f>
        <v>Martha Guzman Arango</v>
      </c>
      <c r="B2321" t="s">
        <v>169</v>
      </c>
      <c r="C2321" t="s">
        <v>192</v>
      </c>
      <c r="D2321" t="s">
        <v>219</v>
      </c>
      <c r="E2321" t="s">
        <v>206</v>
      </c>
      <c r="F2321" s="1">
        <v>10</v>
      </c>
    </row>
    <row r="2322" spans="1:6" x14ac:dyDescent="0.3">
      <c r="A2322" t="str">
        <f>_xlfn.XLOOKUP(ColombiaClientes[[#This Row],[Client]],VpsClientes[Client],VpsClientes[VP],"",0)</f>
        <v>Martha Guzman Arango</v>
      </c>
      <c r="B2322" t="s">
        <v>174</v>
      </c>
      <c r="C2322" t="s">
        <v>192</v>
      </c>
      <c r="D2322" t="s">
        <v>219</v>
      </c>
      <c r="E2322" t="s">
        <v>206</v>
      </c>
      <c r="F2322" s="1">
        <v>10</v>
      </c>
    </row>
    <row r="2323" spans="1:6" x14ac:dyDescent="0.3">
      <c r="A2323" t="str">
        <f>_xlfn.XLOOKUP(ColombiaClientes[[#This Row],[Client]],VpsClientes[Client],VpsClientes[VP],"",0)</f>
        <v>Maria Forero Jara</v>
      </c>
      <c r="B2323" t="s">
        <v>161</v>
      </c>
      <c r="C2323" t="s">
        <v>192</v>
      </c>
      <c r="D2323" t="s">
        <v>219</v>
      </c>
      <c r="E2323" t="s">
        <v>206</v>
      </c>
      <c r="F2323" s="1">
        <v>10</v>
      </c>
    </row>
    <row r="2324" spans="1:6" x14ac:dyDescent="0.3">
      <c r="A2324" t="str">
        <f>_xlfn.XLOOKUP(ColombiaClientes[[#This Row],[Client]],VpsClientes[Client],VpsClientes[VP],"",0)</f>
        <v>Moises Saavedra Garcia</v>
      </c>
      <c r="B2324" t="s">
        <v>187</v>
      </c>
      <c r="C2324" t="s">
        <v>192</v>
      </c>
      <c r="D2324" t="s">
        <v>219</v>
      </c>
      <c r="E2324" t="s">
        <v>206</v>
      </c>
      <c r="F2324" s="1">
        <v>8</v>
      </c>
    </row>
    <row r="2325" spans="1:6" x14ac:dyDescent="0.3">
      <c r="A2325" t="str">
        <f>_xlfn.XLOOKUP(ColombiaClientes[[#This Row],[Client]],VpsClientes[Client],VpsClientes[VP],"",0)</f>
        <v>Hector Muraira Garza</v>
      </c>
      <c r="B2325" t="s">
        <v>167</v>
      </c>
      <c r="C2325" t="s">
        <v>192</v>
      </c>
      <c r="D2325" t="s">
        <v>219</v>
      </c>
      <c r="E2325" t="s">
        <v>206</v>
      </c>
      <c r="F2325" s="1">
        <v>3</v>
      </c>
    </row>
    <row r="2326" spans="1:6" x14ac:dyDescent="0.3">
      <c r="A2326" t="str">
        <f>_xlfn.XLOOKUP(ColombiaClientes[[#This Row],[Client]],VpsClientes[Client],VpsClientes[VP],"",0)</f>
        <v>Moises Saavedra Garcia</v>
      </c>
      <c r="B2326" t="s">
        <v>190</v>
      </c>
      <c r="C2326" t="s">
        <v>192</v>
      </c>
      <c r="D2326" t="s">
        <v>219</v>
      </c>
      <c r="E2326" t="s">
        <v>206</v>
      </c>
      <c r="F2326" s="1">
        <v>3</v>
      </c>
    </row>
    <row r="2327" spans="1:6" x14ac:dyDescent="0.3">
      <c r="A2327" t="str">
        <f>_xlfn.XLOOKUP(ColombiaClientes[[#This Row],[Client]],VpsClientes[Client],VpsClientes[VP],"",0)</f>
        <v>Maria Forero Jara</v>
      </c>
      <c r="B2327" t="s">
        <v>182</v>
      </c>
      <c r="C2327" t="s">
        <v>192</v>
      </c>
      <c r="D2327" t="s">
        <v>219</v>
      </c>
      <c r="E2327" t="s">
        <v>206</v>
      </c>
      <c r="F2327" s="1">
        <v>2</v>
      </c>
    </row>
    <row r="2328" spans="1:6" x14ac:dyDescent="0.3">
      <c r="A2328" t="str">
        <f>_xlfn.XLOOKUP(ColombiaClientes[[#This Row],[Client]],VpsClientes[Client],VpsClientes[VP],"",0)</f>
        <v>Martha Guzman Arango</v>
      </c>
      <c r="B2328" t="s">
        <v>155</v>
      </c>
      <c r="C2328" t="s">
        <v>192</v>
      </c>
      <c r="D2328" t="s">
        <v>219</v>
      </c>
      <c r="E2328" t="s">
        <v>206</v>
      </c>
      <c r="F2328" s="1">
        <v>1</v>
      </c>
    </row>
    <row r="2329" spans="1:6" x14ac:dyDescent="0.3">
      <c r="A2329" t="str">
        <f>_xlfn.XLOOKUP(ColombiaClientes[[#This Row],[Client]],VpsClientes[Client],VpsClientes[VP],"",0)</f>
        <v>Juan Granados Castillo</v>
      </c>
      <c r="B2329" t="s">
        <v>149</v>
      </c>
      <c r="C2329" t="s">
        <v>192</v>
      </c>
      <c r="D2329" t="s">
        <v>219</v>
      </c>
      <c r="E2329" t="s">
        <v>206</v>
      </c>
      <c r="F2329" s="1">
        <v>1</v>
      </c>
    </row>
    <row r="2330" spans="1:6" x14ac:dyDescent="0.3">
      <c r="A2330" t="str">
        <f>_xlfn.XLOOKUP(ColombiaClientes[[#This Row],[Client]],VpsClientes[Client],VpsClientes[VP],"",0)</f>
        <v>Ernesto Rico Zuluaga</v>
      </c>
      <c r="B2330" t="s">
        <v>121</v>
      </c>
      <c r="C2330" t="s">
        <v>192</v>
      </c>
      <c r="D2330" t="s">
        <v>219</v>
      </c>
      <c r="E2330" t="s">
        <v>206</v>
      </c>
      <c r="F2330" s="1">
        <v>1</v>
      </c>
    </row>
    <row r="2331" spans="1:6" x14ac:dyDescent="0.3">
      <c r="A2331" t="str">
        <f>_xlfn.XLOOKUP(ColombiaClientes[[#This Row],[Client]],VpsClientes[Client],VpsClientes[VP],"",0)</f>
        <v>Martha Guzman Arango</v>
      </c>
      <c r="B2331" t="s">
        <v>183</v>
      </c>
      <c r="C2331" t="s">
        <v>192</v>
      </c>
      <c r="D2331" t="s">
        <v>219</v>
      </c>
      <c r="E2331" t="s">
        <v>206</v>
      </c>
      <c r="F2331" s="1">
        <v>0</v>
      </c>
    </row>
    <row r="2332" spans="1:6" x14ac:dyDescent="0.3">
      <c r="A2332" t="str">
        <f>_xlfn.XLOOKUP(ColombiaClientes[[#This Row],[Client]],VpsClientes[Client],VpsClientes[VP],"",0)</f>
        <v>Jhonatan Izquierdo Rico</v>
      </c>
      <c r="B2332" t="s">
        <v>159</v>
      </c>
      <c r="C2332" t="s">
        <v>192</v>
      </c>
      <c r="D2332" t="s">
        <v>219</v>
      </c>
      <c r="E2332" t="s">
        <v>206</v>
      </c>
      <c r="F2332" s="1">
        <v>0</v>
      </c>
    </row>
    <row r="2333" spans="1:6" x14ac:dyDescent="0.3">
      <c r="A2333" t="str">
        <f>_xlfn.XLOOKUP(ColombiaClientes[[#This Row],[Client]],VpsClientes[Client],VpsClientes[VP],"",0)</f>
        <v>Martha Guzman Arango</v>
      </c>
      <c r="B2333" t="s">
        <v>188</v>
      </c>
      <c r="C2333" t="s">
        <v>192</v>
      </c>
      <c r="D2333" t="s">
        <v>219</v>
      </c>
      <c r="E2333" t="s">
        <v>206</v>
      </c>
      <c r="F2333" s="1">
        <v>0</v>
      </c>
    </row>
    <row r="2334" spans="1:6" x14ac:dyDescent="0.3">
      <c r="A2334" t="str">
        <f>_xlfn.XLOOKUP(ColombiaClientes[[#This Row],[Client]],VpsClientes[Client],VpsClientes[VP],"",0)</f>
        <v>Hector Muraira Garza</v>
      </c>
      <c r="B2334" t="s">
        <v>178</v>
      </c>
      <c r="C2334" t="s">
        <v>202</v>
      </c>
      <c r="D2334" t="s">
        <v>219</v>
      </c>
      <c r="E2334" t="s">
        <v>206</v>
      </c>
      <c r="F2334" s="1">
        <v>4</v>
      </c>
    </row>
    <row r="2335" spans="1:6" x14ac:dyDescent="0.3">
      <c r="A2335" t="str">
        <f>_xlfn.XLOOKUP(ColombiaClientes[[#This Row],[Client]],VpsClientes[Client],VpsClientes[VP],"",0)</f>
        <v>Martha Guzman Arango</v>
      </c>
      <c r="B2335" t="s">
        <v>189</v>
      </c>
      <c r="C2335" t="s">
        <v>192</v>
      </c>
      <c r="D2335" t="s">
        <v>219</v>
      </c>
      <c r="E2335" t="s">
        <v>206</v>
      </c>
      <c r="F2335" s="1">
        <v>0</v>
      </c>
    </row>
    <row r="2336" spans="1:6" x14ac:dyDescent="0.3">
      <c r="A2336" t="str">
        <f>_xlfn.XLOOKUP(ColombiaClientes[[#This Row],[Client]],VpsClientes[Client],VpsClientes[VP],"",0)</f>
        <v>Hector Muraira Garza</v>
      </c>
      <c r="B2336" t="s">
        <v>178</v>
      </c>
      <c r="C2336" t="s">
        <v>203</v>
      </c>
      <c r="D2336" t="s">
        <v>219</v>
      </c>
      <c r="E2336" t="s">
        <v>206</v>
      </c>
      <c r="F2336" s="1">
        <v>1</v>
      </c>
    </row>
    <row r="2337" spans="1:6" x14ac:dyDescent="0.3">
      <c r="A2337" t="str">
        <f>_xlfn.XLOOKUP(ColombiaClientes[[#This Row],[Client]],VpsClientes[Client],VpsClientes[VP],"",0)</f>
        <v>Jhonatan Izquierdo Rico</v>
      </c>
      <c r="B2337" t="s">
        <v>129</v>
      </c>
      <c r="C2337" t="s">
        <v>192</v>
      </c>
      <c r="D2337" t="s">
        <v>219</v>
      </c>
      <c r="E2337" t="s">
        <v>206</v>
      </c>
      <c r="F2337" s="1">
        <v>0</v>
      </c>
    </row>
    <row r="2338" spans="1:6" x14ac:dyDescent="0.3">
      <c r="A2338" t="str">
        <f>_xlfn.XLOOKUP(ColombiaClientes[[#This Row],[Client]],VpsClientes[Client],VpsClientes[VP],"",0)</f>
        <v>Javier Orjuela Sarmiento</v>
      </c>
      <c r="B2338" t="s">
        <v>133</v>
      </c>
      <c r="C2338" t="s">
        <v>92</v>
      </c>
      <c r="D2338" t="s">
        <v>90</v>
      </c>
      <c r="E2338" t="s">
        <v>91</v>
      </c>
      <c r="F2338" s="1">
        <v>1085</v>
      </c>
    </row>
    <row r="2339" spans="1:6" x14ac:dyDescent="0.3">
      <c r="A2339" t="str">
        <f>_xlfn.XLOOKUP(ColombiaClientes[[#This Row],[Client]],VpsClientes[Client],VpsClientes[VP],"",0)</f>
        <v>Martha Guzman Arango</v>
      </c>
      <c r="B2339" t="s">
        <v>98</v>
      </c>
      <c r="C2339" t="s">
        <v>194</v>
      </c>
      <c r="D2339" t="s">
        <v>219</v>
      </c>
      <c r="E2339" t="s">
        <v>206</v>
      </c>
      <c r="F2339" s="1">
        <v>22664</v>
      </c>
    </row>
    <row r="2340" spans="1:6" x14ac:dyDescent="0.3">
      <c r="A2340" t="str">
        <f>_xlfn.XLOOKUP(ColombiaClientes[[#This Row],[Client]],VpsClientes[Client],VpsClientes[VP],"",0)</f>
        <v>Martha Guzman Arango</v>
      </c>
      <c r="B2340" t="s">
        <v>96</v>
      </c>
      <c r="C2340" t="s">
        <v>194</v>
      </c>
      <c r="D2340" t="s">
        <v>219</v>
      </c>
      <c r="E2340" t="s">
        <v>206</v>
      </c>
      <c r="F2340" s="1">
        <v>15111</v>
      </c>
    </row>
    <row r="2341" spans="1:6" x14ac:dyDescent="0.3">
      <c r="A2341" t="str">
        <f>_xlfn.XLOOKUP(ColombiaClientes[[#This Row],[Client]],VpsClientes[Client],VpsClientes[VP],"",0)</f>
        <v>Hector Muraira Garza</v>
      </c>
      <c r="B2341" t="s">
        <v>140</v>
      </c>
      <c r="C2341" t="s">
        <v>194</v>
      </c>
      <c r="D2341" t="s">
        <v>219</v>
      </c>
      <c r="E2341" t="s">
        <v>206</v>
      </c>
      <c r="F2341" s="1">
        <v>6418</v>
      </c>
    </row>
    <row r="2342" spans="1:6" x14ac:dyDescent="0.3">
      <c r="A2342" t="str">
        <f>_xlfn.XLOOKUP(ColombiaClientes[[#This Row],[Client]],VpsClientes[Client],VpsClientes[VP],"",0)</f>
        <v>Moises Saavedra Garcia</v>
      </c>
      <c r="B2342" t="s">
        <v>99</v>
      </c>
      <c r="C2342" t="s">
        <v>194</v>
      </c>
      <c r="D2342" t="s">
        <v>219</v>
      </c>
      <c r="E2342" t="s">
        <v>206</v>
      </c>
      <c r="F2342" s="1">
        <v>5034</v>
      </c>
    </row>
    <row r="2343" spans="1:6" x14ac:dyDescent="0.3">
      <c r="A2343" t="str">
        <f>_xlfn.XLOOKUP(ColombiaClientes[[#This Row],[Client]],VpsClientes[Client],VpsClientes[VP],"",0)</f>
        <v>Carlos Beltran Hernandez</v>
      </c>
      <c r="B2343" t="s">
        <v>94</v>
      </c>
      <c r="C2343" t="s">
        <v>194</v>
      </c>
      <c r="D2343" t="s">
        <v>219</v>
      </c>
      <c r="E2343" t="s">
        <v>206</v>
      </c>
      <c r="F2343" s="1">
        <v>4889</v>
      </c>
    </row>
    <row r="2344" spans="1:6" x14ac:dyDescent="0.3">
      <c r="A2344" t="str">
        <f>_xlfn.XLOOKUP(ColombiaClientes[[#This Row],[Client]],VpsClientes[Client],VpsClientes[VP],"",0)</f>
        <v>Martha Guzman Arango</v>
      </c>
      <c r="B2344" t="s">
        <v>100</v>
      </c>
      <c r="C2344" t="s">
        <v>194</v>
      </c>
      <c r="D2344" t="s">
        <v>219</v>
      </c>
      <c r="E2344" t="s">
        <v>206</v>
      </c>
      <c r="F2344" s="1">
        <v>4458</v>
      </c>
    </row>
    <row r="2345" spans="1:6" x14ac:dyDescent="0.3">
      <c r="A2345" t="str">
        <f>_xlfn.XLOOKUP(ColombiaClientes[[#This Row],[Client]],VpsClientes[Client],VpsClientes[VP],"",0)</f>
        <v>Martha Guzman Arango</v>
      </c>
      <c r="B2345" t="s">
        <v>143</v>
      </c>
      <c r="C2345" t="s">
        <v>194</v>
      </c>
      <c r="D2345" t="s">
        <v>219</v>
      </c>
      <c r="E2345" t="s">
        <v>206</v>
      </c>
      <c r="F2345" s="1">
        <v>4343</v>
      </c>
    </row>
    <row r="2346" spans="1:6" x14ac:dyDescent="0.3">
      <c r="A2346" t="str">
        <f>_xlfn.XLOOKUP(ColombiaClientes[[#This Row],[Client]],VpsClientes[Client],VpsClientes[VP],"",0)</f>
        <v>Jhonatan Izquierdo Rico</v>
      </c>
      <c r="B2346" t="s">
        <v>112</v>
      </c>
      <c r="C2346" t="s">
        <v>194</v>
      </c>
      <c r="D2346" t="s">
        <v>219</v>
      </c>
      <c r="E2346" t="s">
        <v>206</v>
      </c>
      <c r="F2346" s="1">
        <v>3301</v>
      </c>
    </row>
    <row r="2347" spans="1:6" x14ac:dyDescent="0.3">
      <c r="A2347" t="str">
        <f>_xlfn.XLOOKUP(ColombiaClientes[[#This Row],[Client]],VpsClientes[Client],VpsClientes[VP],"",0)</f>
        <v>Carlos Castillo Figueroa</v>
      </c>
      <c r="B2347" t="s">
        <v>105</v>
      </c>
      <c r="C2347" t="s">
        <v>194</v>
      </c>
      <c r="D2347" t="s">
        <v>219</v>
      </c>
      <c r="E2347" t="s">
        <v>206</v>
      </c>
      <c r="F2347" s="1">
        <v>2565</v>
      </c>
    </row>
    <row r="2348" spans="1:6" x14ac:dyDescent="0.3">
      <c r="A2348" t="str">
        <f>_xlfn.XLOOKUP(ColombiaClientes[[#This Row],[Client]],VpsClientes[Client],VpsClientes[VP],"",0)</f>
        <v>Martha Guzman Arango</v>
      </c>
      <c r="B2348" t="s">
        <v>97</v>
      </c>
      <c r="C2348" t="s">
        <v>194</v>
      </c>
      <c r="D2348" t="s">
        <v>219</v>
      </c>
      <c r="E2348" t="s">
        <v>206</v>
      </c>
      <c r="F2348" s="1">
        <v>2479</v>
      </c>
    </row>
    <row r="2349" spans="1:6" x14ac:dyDescent="0.3">
      <c r="A2349" t="str">
        <f>_xlfn.XLOOKUP(ColombiaClientes[[#This Row],[Client]],VpsClientes[Client],VpsClientes[VP],"",0)</f>
        <v>Maria Forero Jara</v>
      </c>
      <c r="B2349" t="s">
        <v>125</v>
      </c>
      <c r="C2349" t="s">
        <v>194</v>
      </c>
      <c r="D2349" t="s">
        <v>219</v>
      </c>
      <c r="E2349" t="s">
        <v>206</v>
      </c>
      <c r="F2349" s="1">
        <v>2231</v>
      </c>
    </row>
    <row r="2350" spans="1:6" x14ac:dyDescent="0.3">
      <c r="A2350" t="str">
        <f>_xlfn.XLOOKUP(ColombiaClientes[[#This Row],[Client]],VpsClientes[Client],VpsClientes[VP],"",0)</f>
        <v>Moises Saavedra Garcia</v>
      </c>
      <c r="B2350" t="s">
        <v>115</v>
      </c>
      <c r="C2350" t="s">
        <v>194</v>
      </c>
      <c r="D2350" t="s">
        <v>219</v>
      </c>
      <c r="E2350" t="s">
        <v>206</v>
      </c>
      <c r="F2350" s="1">
        <v>1978</v>
      </c>
    </row>
    <row r="2351" spans="1:6" x14ac:dyDescent="0.3">
      <c r="A2351" t="str">
        <f>_xlfn.XLOOKUP(ColombiaClientes[[#This Row],[Client]],VpsClientes[Client],VpsClientes[VP],"",0)</f>
        <v>Martha Guzman Arango</v>
      </c>
      <c r="B2351" t="s">
        <v>103</v>
      </c>
      <c r="C2351" t="s">
        <v>194</v>
      </c>
      <c r="D2351" t="s">
        <v>219</v>
      </c>
      <c r="E2351" t="s">
        <v>206</v>
      </c>
      <c r="F2351" s="1">
        <v>1958</v>
      </c>
    </row>
    <row r="2352" spans="1:6" x14ac:dyDescent="0.3">
      <c r="A2352" t="str">
        <f>_xlfn.XLOOKUP(ColombiaClientes[[#This Row],[Client]],VpsClientes[Client],VpsClientes[VP],"",0)</f>
        <v>Jhonatan Izquierdo Rico</v>
      </c>
      <c r="B2352" t="s">
        <v>128</v>
      </c>
      <c r="C2352" t="s">
        <v>194</v>
      </c>
      <c r="D2352" t="s">
        <v>219</v>
      </c>
      <c r="E2352" t="s">
        <v>206</v>
      </c>
      <c r="F2352" s="1">
        <v>1899</v>
      </c>
    </row>
    <row r="2353" spans="1:6" x14ac:dyDescent="0.3">
      <c r="A2353" t="str">
        <f>_xlfn.XLOOKUP(ColombiaClientes[[#This Row],[Client]],VpsClientes[Client],VpsClientes[VP],"",0)</f>
        <v>Jhonatan Izquierdo Rico</v>
      </c>
      <c r="B2353" t="s">
        <v>126</v>
      </c>
      <c r="C2353" t="s">
        <v>194</v>
      </c>
      <c r="D2353" t="s">
        <v>219</v>
      </c>
      <c r="E2353" t="s">
        <v>206</v>
      </c>
      <c r="F2353" s="1">
        <v>1734</v>
      </c>
    </row>
    <row r="2354" spans="1:6" x14ac:dyDescent="0.3">
      <c r="A2354" t="str">
        <f>_xlfn.XLOOKUP(ColombiaClientes[[#This Row],[Client]],VpsClientes[Client],VpsClientes[VP],"",0)</f>
        <v>Moises Saavedra Garcia</v>
      </c>
      <c r="B2354" t="s">
        <v>150</v>
      </c>
      <c r="C2354" t="s">
        <v>194</v>
      </c>
      <c r="D2354" t="s">
        <v>219</v>
      </c>
      <c r="E2354" t="s">
        <v>206</v>
      </c>
      <c r="F2354" s="1">
        <v>1515</v>
      </c>
    </row>
    <row r="2355" spans="1:6" x14ac:dyDescent="0.3">
      <c r="A2355" t="str">
        <f>_xlfn.XLOOKUP(ColombiaClientes[[#This Row],[Client]],VpsClientes[Client],VpsClientes[VP],"",0)</f>
        <v>Carlos Beltran Hernandez</v>
      </c>
      <c r="B2355" t="s">
        <v>102</v>
      </c>
      <c r="C2355" t="s">
        <v>194</v>
      </c>
      <c r="D2355" t="s">
        <v>219</v>
      </c>
      <c r="E2355" t="s">
        <v>206</v>
      </c>
      <c r="F2355" s="1">
        <v>1319</v>
      </c>
    </row>
    <row r="2356" spans="1:6" x14ac:dyDescent="0.3">
      <c r="A2356" t="str">
        <f>_xlfn.XLOOKUP(ColombiaClientes[[#This Row],[Client]],VpsClientes[Client],VpsClientes[VP],"",0)</f>
        <v>Sandra Romero Zuluaga</v>
      </c>
      <c r="B2356" t="s">
        <v>113</v>
      </c>
      <c r="C2356" t="s">
        <v>194</v>
      </c>
      <c r="D2356" t="s">
        <v>219</v>
      </c>
      <c r="E2356" t="s">
        <v>206</v>
      </c>
      <c r="F2356" s="1">
        <v>1302</v>
      </c>
    </row>
    <row r="2357" spans="1:6" x14ac:dyDescent="0.3">
      <c r="A2357" t="str">
        <f>_xlfn.XLOOKUP(ColombiaClientes[[#This Row],[Client]],VpsClientes[Client],VpsClientes[VP],"",0)</f>
        <v>Carlos Beltran Hernandez</v>
      </c>
      <c r="B2357" t="s">
        <v>93</v>
      </c>
      <c r="C2357" t="s">
        <v>194</v>
      </c>
      <c r="D2357" t="s">
        <v>219</v>
      </c>
      <c r="E2357" t="s">
        <v>206</v>
      </c>
      <c r="F2357" s="1">
        <v>1280</v>
      </c>
    </row>
    <row r="2358" spans="1:6" x14ac:dyDescent="0.3">
      <c r="A2358" t="str">
        <f>_xlfn.XLOOKUP(ColombiaClientes[[#This Row],[Client]],VpsClientes[Client],VpsClientes[VP],"",0)</f>
        <v>Maria Forero Jara</v>
      </c>
      <c r="B2358" t="s">
        <v>101</v>
      </c>
      <c r="C2358" t="s">
        <v>194</v>
      </c>
      <c r="D2358" t="s">
        <v>219</v>
      </c>
      <c r="E2358" t="s">
        <v>206</v>
      </c>
      <c r="F2358" s="1">
        <v>1258</v>
      </c>
    </row>
    <row r="2359" spans="1:6" x14ac:dyDescent="0.3">
      <c r="A2359" t="str">
        <f>_xlfn.XLOOKUP(ColombiaClientes[[#This Row],[Client]],VpsClientes[Client],VpsClientes[VP],"",0)</f>
        <v>Martha Guzman Arango</v>
      </c>
      <c r="B2359" t="s">
        <v>114</v>
      </c>
      <c r="C2359" t="s">
        <v>194</v>
      </c>
      <c r="D2359" t="s">
        <v>219</v>
      </c>
      <c r="E2359" t="s">
        <v>206</v>
      </c>
      <c r="F2359" s="1">
        <v>1143</v>
      </c>
    </row>
    <row r="2360" spans="1:6" x14ac:dyDescent="0.3">
      <c r="A2360" t="str">
        <f>_xlfn.XLOOKUP(ColombiaClientes[[#This Row],[Client]],VpsClientes[Client],VpsClientes[VP],"",0)</f>
        <v>Jhonatan Izquierdo Rico</v>
      </c>
      <c r="B2360" t="s">
        <v>104</v>
      </c>
      <c r="C2360" t="s">
        <v>194</v>
      </c>
      <c r="D2360" t="s">
        <v>219</v>
      </c>
      <c r="E2360" t="s">
        <v>206</v>
      </c>
      <c r="F2360" s="1">
        <v>1105</v>
      </c>
    </row>
    <row r="2361" spans="1:6" x14ac:dyDescent="0.3">
      <c r="A2361" t="str">
        <f>_xlfn.XLOOKUP(ColombiaClientes[[#This Row],[Client]],VpsClientes[Client],VpsClientes[VP],"",0)</f>
        <v>Maria Forero Jara</v>
      </c>
      <c r="B2361" t="s">
        <v>108</v>
      </c>
      <c r="C2361" t="s">
        <v>194</v>
      </c>
      <c r="D2361" t="s">
        <v>219</v>
      </c>
      <c r="E2361" t="s">
        <v>206</v>
      </c>
      <c r="F2361" s="1">
        <v>974</v>
      </c>
    </row>
    <row r="2362" spans="1:6" x14ac:dyDescent="0.3">
      <c r="A2362" t="str">
        <f>_xlfn.XLOOKUP(ColombiaClientes[[#This Row],[Client]],VpsClientes[Client],VpsClientes[VP],"",0)</f>
        <v>Martha Guzman Arango</v>
      </c>
      <c r="B2362" t="s">
        <v>146</v>
      </c>
      <c r="C2362" t="s">
        <v>194</v>
      </c>
      <c r="D2362" t="s">
        <v>219</v>
      </c>
      <c r="E2362" t="s">
        <v>206</v>
      </c>
      <c r="F2362" s="1">
        <v>815</v>
      </c>
    </row>
    <row r="2363" spans="1:6" x14ac:dyDescent="0.3">
      <c r="A2363" t="str">
        <f>_xlfn.XLOOKUP(ColombiaClientes[[#This Row],[Client]],VpsClientes[Client],VpsClientes[VP],"",0)</f>
        <v>Hector Muraira Garza</v>
      </c>
      <c r="B2363" t="s">
        <v>154</v>
      </c>
      <c r="C2363" t="s">
        <v>194</v>
      </c>
      <c r="D2363" t="s">
        <v>219</v>
      </c>
      <c r="E2363" t="s">
        <v>206</v>
      </c>
      <c r="F2363" s="1">
        <v>800</v>
      </c>
    </row>
    <row r="2364" spans="1:6" x14ac:dyDescent="0.3">
      <c r="A2364" t="str">
        <f>_xlfn.XLOOKUP(ColombiaClientes[[#This Row],[Client]],VpsClientes[Client],VpsClientes[VP],"",0)</f>
        <v>Martha Guzman Arango</v>
      </c>
      <c r="B2364" t="s">
        <v>118</v>
      </c>
      <c r="C2364" t="s">
        <v>194</v>
      </c>
      <c r="D2364" t="s">
        <v>219</v>
      </c>
      <c r="E2364" t="s">
        <v>206</v>
      </c>
      <c r="F2364" s="1">
        <v>786</v>
      </c>
    </row>
    <row r="2365" spans="1:6" x14ac:dyDescent="0.3">
      <c r="A2365" t="str">
        <f>_xlfn.XLOOKUP(ColombiaClientes[[#This Row],[Client]],VpsClientes[Client],VpsClientes[VP],"",0)</f>
        <v>Maria Forero Jara</v>
      </c>
      <c r="B2365" t="s">
        <v>139</v>
      </c>
      <c r="C2365" t="s">
        <v>194</v>
      </c>
      <c r="D2365" t="s">
        <v>219</v>
      </c>
      <c r="E2365" t="s">
        <v>206</v>
      </c>
      <c r="F2365" s="1">
        <v>692</v>
      </c>
    </row>
    <row r="2366" spans="1:6" x14ac:dyDescent="0.3">
      <c r="A2366" t="str">
        <f>_xlfn.XLOOKUP(ColombiaClientes[[#This Row],[Client]],VpsClientes[Client],VpsClientes[VP],"",0)</f>
        <v>Maria Forero Jara</v>
      </c>
      <c r="B2366" t="s">
        <v>106</v>
      </c>
      <c r="C2366" t="s">
        <v>194</v>
      </c>
      <c r="D2366" t="s">
        <v>219</v>
      </c>
      <c r="E2366" t="s">
        <v>206</v>
      </c>
      <c r="F2366" s="1">
        <v>669</v>
      </c>
    </row>
    <row r="2367" spans="1:6" x14ac:dyDescent="0.3">
      <c r="A2367" t="str">
        <f>_xlfn.XLOOKUP(ColombiaClientes[[#This Row],[Client]],VpsClientes[Client],VpsClientes[VP],"",0)</f>
        <v>Juan Granados Castillo</v>
      </c>
      <c r="B2367" t="s">
        <v>136</v>
      </c>
      <c r="C2367" t="s">
        <v>194</v>
      </c>
      <c r="D2367" t="s">
        <v>219</v>
      </c>
      <c r="E2367" t="s">
        <v>206</v>
      </c>
      <c r="F2367" s="1">
        <v>639</v>
      </c>
    </row>
    <row r="2368" spans="1:6" x14ac:dyDescent="0.3">
      <c r="A2368" t="str">
        <f>_xlfn.XLOOKUP(ColombiaClientes[[#This Row],[Client]],VpsClientes[Client],VpsClientes[VP],"",0)</f>
        <v>Carlos Beltran Hernandez</v>
      </c>
      <c r="B2368" t="s">
        <v>151</v>
      </c>
      <c r="C2368" t="s">
        <v>194</v>
      </c>
      <c r="D2368" t="s">
        <v>219</v>
      </c>
      <c r="E2368" t="s">
        <v>206</v>
      </c>
      <c r="F2368" s="1">
        <v>578</v>
      </c>
    </row>
    <row r="2369" spans="1:6" x14ac:dyDescent="0.3">
      <c r="A2369" t="str">
        <f>_xlfn.XLOOKUP(ColombiaClientes[[#This Row],[Client]],VpsClientes[Client],VpsClientes[VP],"",0)</f>
        <v>Jhonatan Izquierdo Rico</v>
      </c>
      <c r="B2369" t="s">
        <v>107</v>
      </c>
      <c r="C2369" t="s">
        <v>194</v>
      </c>
      <c r="D2369" t="s">
        <v>219</v>
      </c>
      <c r="E2369" t="s">
        <v>206</v>
      </c>
      <c r="F2369" s="1">
        <v>490</v>
      </c>
    </row>
    <row r="2370" spans="1:6" x14ac:dyDescent="0.3">
      <c r="A2370" t="str">
        <f>_xlfn.XLOOKUP(ColombiaClientes[[#This Row],[Client]],VpsClientes[Client],VpsClientes[VP],"",0)</f>
        <v>Martha Guzman Arango</v>
      </c>
      <c r="B2370" t="s">
        <v>153</v>
      </c>
      <c r="C2370" t="s">
        <v>194</v>
      </c>
      <c r="D2370" t="s">
        <v>219</v>
      </c>
      <c r="E2370" t="s">
        <v>206</v>
      </c>
      <c r="F2370" s="1">
        <v>386</v>
      </c>
    </row>
    <row r="2371" spans="1:6" x14ac:dyDescent="0.3">
      <c r="A2371" t="str">
        <f>_xlfn.XLOOKUP(ColombiaClientes[[#This Row],[Client]],VpsClientes[Client],VpsClientes[VP],"",0)</f>
        <v>Martha Guzman Arango</v>
      </c>
      <c r="B2371" t="s">
        <v>162</v>
      </c>
      <c r="C2371" t="s">
        <v>194</v>
      </c>
      <c r="D2371" t="s">
        <v>219</v>
      </c>
      <c r="E2371" t="s">
        <v>206</v>
      </c>
      <c r="F2371" s="1">
        <v>343</v>
      </c>
    </row>
    <row r="2372" spans="1:6" x14ac:dyDescent="0.3">
      <c r="A2372" t="str">
        <f>_xlfn.XLOOKUP(ColombiaClientes[[#This Row],[Client]],VpsClientes[Client],VpsClientes[VP],"",0)</f>
        <v>Javier Orjuela Sarmiento</v>
      </c>
      <c r="B2372" t="s">
        <v>133</v>
      </c>
      <c r="C2372" t="s">
        <v>191</v>
      </c>
      <c r="D2372" t="s">
        <v>90</v>
      </c>
      <c r="E2372" t="s">
        <v>91</v>
      </c>
      <c r="F2372" s="1">
        <v>644</v>
      </c>
    </row>
    <row r="2373" spans="1:6" x14ac:dyDescent="0.3">
      <c r="A2373" t="str">
        <f>_xlfn.XLOOKUP(ColombiaClientes[[#This Row],[Client]],VpsClientes[Client],VpsClientes[VP],"",0)</f>
        <v>Ludy Torres Benitez</v>
      </c>
      <c r="B2373" t="s">
        <v>95</v>
      </c>
      <c r="C2373" t="s">
        <v>194</v>
      </c>
      <c r="D2373" t="s">
        <v>219</v>
      </c>
      <c r="E2373" t="s">
        <v>206</v>
      </c>
      <c r="F2373" s="1">
        <v>284</v>
      </c>
    </row>
    <row r="2374" spans="1:6" x14ac:dyDescent="0.3">
      <c r="A2374" t="str">
        <f>_xlfn.XLOOKUP(ColombiaClientes[[#This Row],[Client]],VpsClientes[Client],VpsClientes[VP],"",0)</f>
        <v>Martha Guzman Arango</v>
      </c>
      <c r="B2374" t="s">
        <v>122</v>
      </c>
      <c r="C2374" t="s">
        <v>194</v>
      </c>
      <c r="D2374" t="s">
        <v>219</v>
      </c>
      <c r="E2374" t="s">
        <v>206</v>
      </c>
      <c r="F2374" s="1">
        <v>282</v>
      </c>
    </row>
    <row r="2375" spans="1:6" x14ac:dyDescent="0.3">
      <c r="A2375" t="str">
        <f>_xlfn.XLOOKUP(ColombiaClientes[[#This Row],[Client]],VpsClientes[Client],VpsClientes[VP],"",0)</f>
        <v>Martha Guzman Arango</v>
      </c>
      <c r="B2375" t="s">
        <v>185</v>
      </c>
      <c r="C2375" t="s">
        <v>194</v>
      </c>
      <c r="D2375" t="s">
        <v>219</v>
      </c>
      <c r="E2375" t="s">
        <v>206</v>
      </c>
      <c r="F2375" s="1">
        <v>279</v>
      </c>
    </row>
    <row r="2376" spans="1:6" x14ac:dyDescent="0.3">
      <c r="A2376" t="str">
        <f>_xlfn.XLOOKUP(ColombiaClientes[[#This Row],[Client]],VpsClientes[Client],VpsClientes[VP],"",0)</f>
        <v>Martha Guzman Arango</v>
      </c>
      <c r="B2376" t="s">
        <v>124</v>
      </c>
      <c r="C2376" t="s">
        <v>194</v>
      </c>
      <c r="D2376" t="s">
        <v>219</v>
      </c>
      <c r="E2376" t="s">
        <v>206</v>
      </c>
      <c r="F2376" s="1">
        <v>276</v>
      </c>
    </row>
    <row r="2377" spans="1:6" x14ac:dyDescent="0.3">
      <c r="A2377" t="str">
        <f>_xlfn.XLOOKUP(ColombiaClientes[[#This Row],[Client]],VpsClientes[Client],VpsClientes[VP],"",0)</f>
        <v>Martha Guzman Arango</v>
      </c>
      <c r="B2377" t="s">
        <v>109</v>
      </c>
      <c r="C2377" t="s">
        <v>194</v>
      </c>
      <c r="D2377" t="s">
        <v>219</v>
      </c>
      <c r="E2377" t="s">
        <v>206</v>
      </c>
      <c r="F2377" s="1">
        <v>273</v>
      </c>
    </row>
    <row r="2378" spans="1:6" x14ac:dyDescent="0.3">
      <c r="A2378" t="str">
        <f>_xlfn.XLOOKUP(ColombiaClientes[[#This Row],[Client]],VpsClientes[Client],VpsClientes[VP],"",0)</f>
        <v>Juan Granados Castillo</v>
      </c>
      <c r="B2378" t="s">
        <v>134</v>
      </c>
      <c r="C2378" t="s">
        <v>194</v>
      </c>
      <c r="D2378" t="s">
        <v>219</v>
      </c>
      <c r="E2378" t="s">
        <v>206</v>
      </c>
      <c r="F2378" s="1">
        <v>263</v>
      </c>
    </row>
    <row r="2379" spans="1:6" x14ac:dyDescent="0.3">
      <c r="A2379" t="str">
        <f>_xlfn.XLOOKUP(ColombiaClientes[[#This Row],[Client]],VpsClientes[Client],VpsClientes[VP],"",0)</f>
        <v>Hector Muraira Garza</v>
      </c>
      <c r="B2379" t="s">
        <v>137</v>
      </c>
      <c r="C2379" t="s">
        <v>194</v>
      </c>
      <c r="D2379" t="s">
        <v>219</v>
      </c>
      <c r="E2379" t="s">
        <v>206</v>
      </c>
      <c r="F2379" s="1">
        <v>255</v>
      </c>
    </row>
    <row r="2380" spans="1:6" x14ac:dyDescent="0.3">
      <c r="A2380" t="str">
        <f>_xlfn.XLOOKUP(ColombiaClientes[[#This Row],[Client]],VpsClientes[Client],VpsClientes[VP],"",0)</f>
        <v>Martha Guzman Arango</v>
      </c>
      <c r="B2380" t="s">
        <v>135</v>
      </c>
      <c r="C2380" t="s">
        <v>194</v>
      </c>
      <c r="D2380" t="s">
        <v>219</v>
      </c>
      <c r="E2380" t="s">
        <v>206</v>
      </c>
      <c r="F2380" s="1">
        <v>250</v>
      </c>
    </row>
    <row r="2381" spans="1:6" x14ac:dyDescent="0.3">
      <c r="A2381" t="str">
        <f>_xlfn.XLOOKUP(ColombiaClientes[[#This Row],[Client]],VpsClientes[Client],VpsClientes[VP],"",0)</f>
        <v>Martha Guzman Arango</v>
      </c>
      <c r="B2381" t="s">
        <v>168</v>
      </c>
      <c r="C2381" t="s">
        <v>194</v>
      </c>
      <c r="D2381" t="s">
        <v>219</v>
      </c>
      <c r="E2381" t="s">
        <v>206</v>
      </c>
      <c r="F2381" s="1">
        <v>241</v>
      </c>
    </row>
    <row r="2382" spans="1:6" x14ac:dyDescent="0.3">
      <c r="A2382" t="str">
        <f>_xlfn.XLOOKUP(ColombiaClientes[[#This Row],[Client]],VpsClientes[Client],VpsClientes[VP],"",0)</f>
        <v>Martha Guzman Arango</v>
      </c>
      <c r="B2382" t="s">
        <v>165</v>
      </c>
      <c r="C2382" t="s">
        <v>194</v>
      </c>
      <c r="D2382" t="s">
        <v>219</v>
      </c>
      <c r="E2382" t="s">
        <v>206</v>
      </c>
      <c r="F2382" s="1">
        <v>180</v>
      </c>
    </row>
    <row r="2383" spans="1:6" x14ac:dyDescent="0.3">
      <c r="A2383" t="str">
        <f>_xlfn.XLOOKUP(ColombiaClientes[[#This Row],[Client]],VpsClientes[Client],VpsClientes[VP],"",0)</f>
        <v>Martha Guzman Arango</v>
      </c>
      <c r="B2383" t="s">
        <v>156</v>
      </c>
      <c r="C2383" t="s">
        <v>194</v>
      </c>
      <c r="D2383" t="s">
        <v>219</v>
      </c>
      <c r="E2383" t="s">
        <v>206</v>
      </c>
      <c r="F2383" s="1">
        <v>130</v>
      </c>
    </row>
    <row r="2384" spans="1:6" x14ac:dyDescent="0.3">
      <c r="A2384" t="str">
        <f>_xlfn.XLOOKUP(ColombiaClientes[[#This Row],[Client]],VpsClientes[Client],VpsClientes[VP],"",0)</f>
        <v>Hector Muraira Garza</v>
      </c>
      <c r="B2384" t="s">
        <v>130</v>
      </c>
      <c r="C2384" t="s">
        <v>194</v>
      </c>
      <c r="D2384" t="s">
        <v>219</v>
      </c>
      <c r="E2384" t="s">
        <v>206</v>
      </c>
      <c r="F2384" s="1">
        <v>127</v>
      </c>
    </row>
    <row r="2385" spans="1:6" x14ac:dyDescent="0.3">
      <c r="A2385" t="str">
        <f>_xlfn.XLOOKUP(ColombiaClientes[[#This Row],[Client]],VpsClientes[Client],VpsClientes[VP],"",0)</f>
        <v>Moises Saavedra Garcia</v>
      </c>
      <c r="B2385" t="s">
        <v>172</v>
      </c>
      <c r="C2385" t="s">
        <v>194</v>
      </c>
      <c r="D2385" t="s">
        <v>219</v>
      </c>
      <c r="E2385" t="s">
        <v>206</v>
      </c>
      <c r="F2385" s="1">
        <v>123</v>
      </c>
    </row>
    <row r="2386" spans="1:6" x14ac:dyDescent="0.3">
      <c r="A2386" t="str">
        <f>_xlfn.XLOOKUP(ColombiaClientes[[#This Row],[Client]],VpsClientes[Client],VpsClientes[VP],"",0)</f>
        <v>Carlos Beltran Hernandez</v>
      </c>
      <c r="B2386" t="s">
        <v>119</v>
      </c>
      <c r="C2386" t="s">
        <v>194</v>
      </c>
      <c r="D2386" t="s">
        <v>219</v>
      </c>
      <c r="E2386" t="s">
        <v>206</v>
      </c>
      <c r="F2386" s="1">
        <v>121</v>
      </c>
    </row>
    <row r="2387" spans="1:6" x14ac:dyDescent="0.3">
      <c r="A2387" t="str">
        <f>_xlfn.XLOOKUP(ColombiaClientes[[#This Row],[Client]],VpsClientes[Client],VpsClientes[VP],"",0)</f>
        <v>Maria Forero Jara</v>
      </c>
      <c r="B2387" t="s">
        <v>123</v>
      </c>
      <c r="C2387" t="s">
        <v>194</v>
      </c>
      <c r="D2387" t="s">
        <v>219</v>
      </c>
      <c r="E2387" t="s">
        <v>206</v>
      </c>
      <c r="F2387" s="1">
        <v>121</v>
      </c>
    </row>
    <row r="2388" spans="1:6" x14ac:dyDescent="0.3">
      <c r="A2388" t="str">
        <f>_xlfn.XLOOKUP(ColombiaClientes[[#This Row],[Client]],VpsClientes[Client],VpsClientes[VP],"",0)</f>
        <v>Maria Forero Jara</v>
      </c>
      <c r="B2388" t="s">
        <v>111</v>
      </c>
      <c r="C2388" t="s">
        <v>194</v>
      </c>
      <c r="D2388" t="s">
        <v>219</v>
      </c>
      <c r="E2388" t="s">
        <v>206</v>
      </c>
      <c r="F2388" s="1">
        <v>120</v>
      </c>
    </row>
    <row r="2389" spans="1:6" x14ac:dyDescent="0.3">
      <c r="A2389" t="str">
        <f>_xlfn.XLOOKUP(ColombiaClientes[[#This Row],[Client]],VpsClientes[Client],VpsClientes[VP],"",0)</f>
        <v>Martha Guzman Arango</v>
      </c>
      <c r="B2389" t="s">
        <v>166</v>
      </c>
      <c r="C2389" t="s">
        <v>194</v>
      </c>
      <c r="D2389" t="s">
        <v>219</v>
      </c>
      <c r="E2389" t="s">
        <v>206</v>
      </c>
      <c r="F2389" s="1">
        <v>116</v>
      </c>
    </row>
    <row r="2390" spans="1:6" x14ac:dyDescent="0.3">
      <c r="A2390" t="str">
        <f>_xlfn.XLOOKUP(ColombiaClientes[[#This Row],[Client]],VpsClientes[Client],VpsClientes[VP],"",0)</f>
        <v>Hector Muraira Garza</v>
      </c>
      <c r="B2390" t="s">
        <v>132</v>
      </c>
      <c r="C2390" t="s">
        <v>194</v>
      </c>
      <c r="D2390" t="s">
        <v>219</v>
      </c>
      <c r="E2390" t="s">
        <v>206</v>
      </c>
      <c r="F2390" s="1">
        <v>110</v>
      </c>
    </row>
    <row r="2391" spans="1:6" x14ac:dyDescent="0.3">
      <c r="A2391" t="str">
        <f>_xlfn.XLOOKUP(ColombiaClientes[[#This Row],[Client]],VpsClientes[Client],VpsClientes[VP],"",0)</f>
        <v>Moises Saavedra Garcia</v>
      </c>
      <c r="B2391" t="s">
        <v>120</v>
      </c>
      <c r="C2391" t="s">
        <v>194</v>
      </c>
      <c r="D2391" t="s">
        <v>219</v>
      </c>
      <c r="E2391" t="s">
        <v>206</v>
      </c>
      <c r="F2391" s="1">
        <v>92</v>
      </c>
    </row>
    <row r="2392" spans="1:6" x14ac:dyDescent="0.3">
      <c r="A2392" t="str">
        <f>_xlfn.XLOOKUP(ColombiaClientes[[#This Row],[Client]],VpsClientes[Client],VpsClientes[VP],"",0)</f>
        <v>Ernesto Rico Zuluaga</v>
      </c>
      <c r="B2392" t="s">
        <v>116</v>
      </c>
      <c r="C2392" t="s">
        <v>194</v>
      </c>
      <c r="D2392" t="s">
        <v>219</v>
      </c>
      <c r="E2392" t="s">
        <v>206</v>
      </c>
      <c r="F2392" s="1">
        <v>85</v>
      </c>
    </row>
    <row r="2393" spans="1:6" x14ac:dyDescent="0.3">
      <c r="A2393" t="str">
        <f>_xlfn.XLOOKUP(ColombiaClientes[[#This Row],[Client]],VpsClientes[Client],VpsClientes[VP],"",0)</f>
        <v>Martha Guzman Arango</v>
      </c>
      <c r="B2393" t="s">
        <v>131</v>
      </c>
      <c r="C2393" t="s">
        <v>194</v>
      </c>
      <c r="D2393" t="s">
        <v>219</v>
      </c>
      <c r="E2393" t="s">
        <v>206</v>
      </c>
      <c r="F2393" s="1">
        <v>82</v>
      </c>
    </row>
    <row r="2394" spans="1:6" x14ac:dyDescent="0.3">
      <c r="A2394" t="str">
        <f>_xlfn.XLOOKUP(ColombiaClientes[[#This Row],[Client]],VpsClientes[Client],VpsClientes[VP],"",0)</f>
        <v>Maria Forero Jara</v>
      </c>
      <c r="B2394" t="s">
        <v>163</v>
      </c>
      <c r="C2394" t="s">
        <v>194</v>
      </c>
      <c r="D2394" t="s">
        <v>219</v>
      </c>
      <c r="E2394" t="s">
        <v>206</v>
      </c>
      <c r="F2394" s="1">
        <v>76</v>
      </c>
    </row>
    <row r="2395" spans="1:6" x14ac:dyDescent="0.3">
      <c r="A2395" t="str">
        <f>_xlfn.XLOOKUP(ColombiaClientes[[#This Row],[Client]],VpsClientes[Client],VpsClientes[VP],"",0)</f>
        <v>Maria Forero Jara</v>
      </c>
      <c r="B2395" t="s">
        <v>144</v>
      </c>
      <c r="C2395" t="s">
        <v>194</v>
      </c>
      <c r="D2395" t="s">
        <v>219</v>
      </c>
      <c r="E2395" t="s">
        <v>206</v>
      </c>
      <c r="F2395" s="1">
        <v>70</v>
      </c>
    </row>
    <row r="2396" spans="1:6" x14ac:dyDescent="0.3">
      <c r="A2396" t="str">
        <f>_xlfn.XLOOKUP(ColombiaClientes[[#This Row],[Client]],VpsClientes[Client],VpsClientes[VP],"",0)</f>
        <v>Martha Guzman Arango</v>
      </c>
      <c r="B2396" t="s">
        <v>186</v>
      </c>
      <c r="C2396" t="s">
        <v>194</v>
      </c>
      <c r="D2396" t="s">
        <v>219</v>
      </c>
      <c r="E2396" t="s">
        <v>206</v>
      </c>
      <c r="F2396" s="1">
        <v>60</v>
      </c>
    </row>
    <row r="2397" spans="1:6" x14ac:dyDescent="0.3">
      <c r="A2397" t="str">
        <f>_xlfn.XLOOKUP(ColombiaClientes[[#This Row],[Client]],VpsClientes[Client],VpsClientes[VP],"",0)</f>
        <v>Martha Guzman Arango</v>
      </c>
      <c r="B2397" t="s">
        <v>152</v>
      </c>
      <c r="C2397" t="s">
        <v>194</v>
      </c>
      <c r="D2397" t="s">
        <v>219</v>
      </c>
      <c r="E2397" t="s">
        <v>206</v>
      </c>
      <c r="F2397" s="1">
        <v>56</v>
      </c>
    </row>
    <row r="2398" spans="1:6" x14ac:dyDescent="0.3">
      <c r="A2398" t="str">
        <f>_xlfn.XLOOKUP(ColombiaClientes[[#This Row],[Client]],VpsClientes[Client],VpsClientes[VP],"",0)</f>
        <v>Carlos Beltran Hernandez</v>
      </c>
      <c r="B2398" t="s">
        <v>158</v>
      </c>
      <c r="C2398" t="s">
        <v>194</v>
      </c>
      <c r="D2398" t="s">
        <v>219</v>
      </c>
      <c r="E2398" t="s">
        <v>206</v>
      </c>
      <c r="F2398" s="1">
        <v>54</v>
      </c>
    </row>
    <row r="2399" spans="1:6" x14ac:dyDescent="0.3">
      <c r="A2399" t="str">
        <f>_xlfn.XLOOKUP(ColombiaClientes[[#This Row],[Client]],VpsClientes[Client],VpsClientes[VP],"",0)</f>
        <v>Martha Guzman Arango</v>
      </c>
      <c r="B2399" t="s">
        <v>171</v>
      </c>
      <c r="C2399" t="s">
        <v>194</v>
      </c>
      <c r="D2399" t="s">
        <v>219</v>
      </c>
      <c r="E2399" t="s">
        <v>206</v>
      </c>
      <c r="F2399" s="1">
        <v>51</v>
      </c>
    </row>
    <row r="2400" spans="1:6" x14ac:dyDescent="0.3">
      <c r="A2400" t="str">
        <f>_xlfn.XLOOKUP(ColombiaClientes[[#This Row],[Client]],VpsClientes[Client],VpsClientes[VP],"",0)</f>
        <v>Martha Guzman Arango</v>
      </c>
      <c r="B2400" t="s">
        <v>170</v>
      </c>
      <c r="C2400" t="s">
        <v>194</v>
      </c>
      <c r="D2400" t="s">
        <v>219</v>
      </c>
      <c r="E2400" t="s">
        <v>206</v>
      </c>
      <c r="F2400" s="1">
        <v>51</v>
      </c>
    </row>
    <row r="2401" spans="1:6" x14ac:dyDescent="0.3">
      <c r="A2401" t="str">
        <f>_xlfn.XLOOKUP(ColombiaClientes[[#This Row],[Client]],VpsClientes[Client],VpsClientes[VP],"",0)</f>
        <v>Carlos Beltran Hernandez</v>
      </c>
      <c r="B2401" t="s">
        <v>173</v>
      </c>
      <c r="C2401" t="s">
        <v>194</v>
      </c>
      <c r="D2401" t="s">
        <v>219</v>
      </c>
      <c r="E2401" t="s">
        <v>206</v>
      </c>
      <c r="F2401" s="1">
        <v>49</v>
      </c>
    </row>
    <row r="2402" spans="1:6" x14ac:dyDescent="0.3">
      <c r="A2402" t="str">
        <f>_xlfn.XLOOKUP(ColombiaClientes[[#This Row],[Client]],VpsClientes[Client],VpsClientes[VP],"",0)</f>
        <v>Javier Orjuela Sarmiento</v>
      </c>
      <c r="B2402" t="s">
        <v>133</v>
      </c>
      <c r="C2402" t="s">
        <v>192</v>
      </c>
      <c r="D2402" t="s">
        <v>90</v>
      </c>
      <c r="E2402" t="s">
        <v>91</v>
      </c>
      <c r="F2402" s="1">
        <v>70</v>
      </c>
    </row>
    <row r="2403" spans="1:6" x14ac:dyDescent="0.3">
      <c r="A2403" t="str">
        <f>_xlfn.XLOOKUP(ColombiaClientes[[#This Row],[Client]],VpsClientes[Client],VpsClientes[VP],"",0)</f>
        <v>Martha Guzman Arango</v>
      </c>
      <c r="B2403" t="s">
        <v>148</v>
      </c>
      <c r="C2403" t="s">
        <v>194</v>
      </c>
      <c r="D2403" t="s">
        <v>219</v>
      </c>
      <c r="E2403" t="s">
        <v>206</v>
      </c>
      <c r="F2403" s="1">
        <v>39</v>
      </c>
    </row>
    <row r="2404" spans="1:6" x14ac:dyDescent="0.3">
      <c r="A2404" t="str">
        <f>_xlfn.XLOOKUP(ColombiaClientes[[#This Row],[Client]],VpsClientes[Client],VpsClientes[VP],"",0)</f>
        <v>Martha Guzman Arango</v>
      </c>
      <c r="B2404" t="s">
        <v>145</v>
      </c>
      <c r="C2404" t="s">
        <v>194</v>
      </c>
      <c r="D2404" t="s">
        <v>219</v>
      </c>
      <c r="E2404" t="s">
        <v>206</v>
      </c>
      <c r="F2404" s="1">
        <v>39</v>
      </c>
    </row>
    <row r="2405" spans="1:6" x14ac:dyDescent="0.3">
      <c r="A2405" t="str">
        <f>_xlfn.XLOOKUP(ColombiaClientes[[#This Row],[Client]],VpsClientes[Client],VpsClientes[VP],"",0)</f>
        <v>Jhonatan Izquierdo Rico</v>
      </c>
      <c r="B2405" t="s">
        <v>117</v>
      </c>
      <c r="C2405" t="s">
        <v>194</v>
      </c>
      <c r="D2405" t="s">
        <v>219</v>
      </c>
      <c r="E2405" t="s">
        <v>206</v>
      </c>
      <c r="F2405" s="1">
        <v>39</v>
      </c>
    </row>
    <row r="2406" spans="1:6" x14ac:dyDescent="0.3">
      <c r="A2406" t="str">
        <f>_xlfn.XLOOKUP(ColombiaClientes[[#This Row],[Client]],VpsClientes[Client],VpsClientes[VP],"",0)</f>
        <v>Martha Guzman Arango</v>
      </c>
      <c r="B2406" t="s">
        <v>199</v>
      </c>
      <c r="C2406" t="s">
        <v>194</v>
      </c>
      <c r="D2406" t="s">
        <v>219</v>
      </c>
      <c r="E2406" t="s">
        <v>206</v>
      </c>
      <c r="F2406" s="1">
        <v>30</v>
      </c>
    </row>
    <row r="2407" spans="1:6" x14ac:dyDescent="0.3">
      <c r="A2407" t="str">
        <f>_xlfn.XLOOKUP(ColombiaClientes[[#This Row],[Client]],VpsClientes[Client],VpsClientes[VP],"",0)</f>
        <v>Maria Forero Jara</v>
      </c>
      <c r="B2407" t="s">
        <v>179</v>
      </c>
      <c r="C2407" t="s">
        <v>194</v>
      </c>
      <c r="D2407" t="s">
        <v>219</v>
      </c>
      <c r="E2407" t="s">
        <v>206</v>
      </c>
      <c r="F2407" s="1">
        <v>27</v>
      </c>
    </row>
    <row r="2408" spans="1:6" x14ac:dyDescent="0.3">
      <c r="A2408" t="str">
        <f>_xlfn.XLOOKUP(ColombiaClientes[[#This Row],[Client]],VpsClientes[Client],VpsClientes[VP],"",0)</f>
        <v>Jhonatan Izquierdo Rico</v>
      </c>
      <c r="B2408" t="s">
        <v>197</v>
      </c>
      <c r="C2408" t="s">
        <v>194</v>
      </c>
      <c r="D2408" t="s">
        <v>219</v>
      </c>
      <c r="E2408" t="s">
        <v>206</v>
      </c>
      <c r="F2408" s="1">
        <v>23</v>
      </c>
    </row>
    <row r="2409" spans="1:6" x14ac:dyDescent="0.3">
      <c r="A2409" t="str">
        <f>_xlfn.XLOOKUP(ColombiaClientes[[#This Row],[Client]],VpsClientes[Client],VpsClientes[VP],"",0)</f>
        <v>Maria Forero Jara</v>
      </c>
      <c r="B2409" t="s">
        <v>161</v>
      </c>
      <c r="C2409" t="s">
        <v>194</v>
      </c>
      <c r="D2409" t="s">
        <v>219</v>
      </c>
      <c r="E2409" t="s">
        <v>206</v>
      </c>
      <c r="F2409" s="1">
        <v>16</v>
      </c>
    </row>
    <row r="2410" spans="1:6" x14ac:dyDescent="0.3">
      <c r="A2410" t="str">
        <f>_xlfn.XLOOKUP(ColombiaClientes[[#This Row],[Client]],VpsClientes[Client],VpsClientes[VP],"",0)</f>
        <v>Martha Guzman Arango</v>
      </c>
      <c r="B2410" t="s">
        <v>169</v>
      </c>
      <c r="C2410" t="s">
        <v>194</v>
      </c>
      <c r="D2410" t="s">
        <v>219</v>
      </c>
      <c r="E2410" t="s">
        <v>206</v>
      </c>
      <c r="F2410" s="1">
        <v>14</v>
      </c>
    </row>
    <row r="2411" spans="1:6" x14ac:dyDescent="0.3">
      <c r="A2411" t="str">
        <f>_xlfn.XLOOKUP(ColombiaClientes[[#This Row],[Client]],VpsClientes[Client],VpsClientes[VP],"",0)</f>
        <v>Juan Granados Castillo</v>
      </c>
      <c r="B2411" t="s">
        <v>142</v>
      </c>
      <c r="C2411" t="s">
        <v>194</v>
      </c>
      <c r="D2411" t="s">
        <v>219</v>
      </c>
      <c r="E2411" t="s">
        <v>206</v>
      </c>
      <c r="F2411" s="1">
        <v>10</v>
      </c>
    </row>
    <row r="2412" spans="1:6" x14ac:dyDescent="0.3">
      <c r="A2412" t="str">
        <f>_xlfn.XLOOKUP(ColombiaClientes[[#This Row],[Client]],VpsClientes[Client],VpsClientes[VP],"",0)</f>
        <v>Maria Forero Jara</v>
      </c>
      <c r="B2412" t="s">
        <v>198</v>
      </c>
      <c r="C2412" t="s">
        <v>194</v>
      </c>
      <c r="D2412" t="s">
        <v>219</v>
      </c>
      <c r="E2412" t="s">
        <v>206</v>
      </c>
      <c r="F2412" s="1">
        <v>10</v>
      </c>
    </row>
    <row r="2413" spans="1:6" x14ac:dyDescent="0.3">
      <c r="A2413" t="str">
        <f>_xlfn.XLOOKUP(ColombiaClientes[[#This Row],[Client]],VpsClientes[Client],VpsClientes[VP],"",0)</f>
        <v>Jhonatan Izquierdo Rico</v>
      </c>
      <c r="B2413" t="s">
        <v>157</v>
      </c>
      <c r="C2413" t="s">
        <v>194</v>
      </c>
      <c r="D2413" t="s">
        <v>219</v>
      </c>
      <c r="E2413" t="s">
        <v>206</v>
      </c>
      <c r="F2413" s="1">
        <v>10</v>
      </c>
    </row>
    <row r="2414" spans="1:6" x14ac:dyDescent="0.3">
      <c r="A2414" t="str">
        <f>_xlfn.XLOOKUP(ColombiaClientes[[#This Row],[Client]],VpsClientes[Client],VpsClientes[VP],"",0)</f>
        <v>Maria Forero Jara</v>
      </c>
      <c r="B2414" t="s">
        <v>182</v>
      </c>
      <c r="C2414" t="s">
        <v>194</v>
      </c>
      <c r="D2414" t="s">
        <v>219</v>
      </c>
      <c r="E2414" t="s">
        <v>206</v>
      </c>
      <c r="F2414" s="1">
        <v>9</v>
      </c>
    </row>
    <row r="2415" spans="1:6" x14ac:dyDescent="0.3">
      <c r="A2415" t="str">
        <f>_xlfn.XLOOKUP(ColombiaClientes[[#This Row],[Client]],VpsClientes[Client],VpsClientes[VP],"",0)</f>
        <v>Martha Guzman Arango</v>
      </c>
      <c r="B2415" t="s">
        <v>176</v>
      </c>
      <c r="C2415" t="s">
        <v>194</v>
      </c>
      <c r="D2415" t="s">
        <v>219</v>
      </c>
      <c r="E2415" t="s">
        <v>206</v>
      </c>
      <c r="F2415" s="1">
        <v>7</v>
      </c>
    </row>
    <row r="2416" spans="1:6" x14ac:dyDescent="0.3">
      <c r="A2416" t="str">
        <f>_xlfn.XLOOKUP(ColombiaClientes[[#This Row],[Client]],VpsClientes[Client],VpsClientes[VP],"",0)</f>
        <v>Moises Saavedra Garcia</v>
      </c>
      <c r="B2416" t="s">
        <v>110</v>
      </c>
      <c r="C2416" t="s">
        <v>194</v>
      </c>
      <c r="D2416" t="s">
        <v>219</v>
      </c>
      <c r="E2416" t="s">
        <v>206</v>
      </c>
      <c r="F2416" s="1">
        <v>7</v>
      </c>
    </row>
    <row r="2417" spans="1:6" x14ac:dyDescent="0.3">
      <c r="A2417" t="str">
        <f>_xlfn.XLOOKUP(ColombiaClientes[[#This Row],[Client]],VpsClientes[Client],VpsClientes[VP],"",0)</f>
        <v>Martha Guzman Arango</v>
      </c>
      <c r="B2417" t="s">
        <v>174</v>
      </c>
      <c r="C2417" t="s">
        <v>194</v>
      </c>
      <c r="D2417" t="s">
        <v>219</v>
      </c>
      <c r="E2417" t="s">
        <v>206</v>
      </c>
      <c r="F2417" s="1">
        <v>7</v>
      </c>
    </row>
    <row r="2418" spans="1:6" x14ac:dyDescent="0.3">
      <c r="A2418" t="str">
        <f>_xlfn.XLOOKUP(ColombiaClientes[[#This Row],[Client]],VpsClientes[Client],VpsClientes[VP],"",0)</f>
        <v>Jhonatan Izquierdo Rico</v>
      </c>
      <c r="B2418" t="s">
        <v>129</v>
      </c>
      <c r="C2418" t="s">
        <v>194</v>
      </c>
      <c r="D2418" t="s">
        <v>219</v>
      </c>
      <c r="E2418" t="s">
        <v>206</v>
      </c>
      <c r="F2418" s="1">
        <v>7</v>
      </c>
    </row>
    <row r="2419" spans="1:6" x14ac:dyDescent="0.3">
      <c r="A2419" t="str">
        <f>_xlfn.XLOOKUP(ColombiaClientes[[#This Row],[Client]],VpsClientes[Client],VpsClientes[VP],"",0)</f>
        <v>Moises Saavedra Garcia</v>
      </c>
      <c r="B2419" t="s">
        <v>175</v>
      </c>
      <c r="C2419" t="s">
        <v>194</v>
      </c>
      <c r="D2419" t="s">
        <v>219</v>
      </c>
      <c r="E2419" t="s">
        <v>206</v>
      </c>
      <c r="F2419" s="1">
        <v>6</v>
      </c>
    </row>
    <row r="2420" spans="1:6" x14ac:dyDescent="0.3">
      <c r="A2420" t="str">
        <f>_xlfn.XLOOKUP(ColombiaClientes[[#This Row],[Client]],VpsClientes[Client],VpsClientes[VP],"",0)</f>
        <v>Hector Muraira Garza</v>
      </c>
      <c r="B2420" t="s">
        <v>164</v>
      </c>
      <c r="C2420" t="s">
        <v>194</v>
      </c>
      <c r="D2420" t="s">
        <v>219</v>
      </c>
      <c r="E2420" t="s">
        <v>206</v>
      </c>
      <c r="F2420" s="1">
        <v>5</v>
      </c>
    </row>
    <row r="2421" spans="1:6" x14ac:dyDescent="0.3">
      <c r="A2421" t="str">
        <f>_xlfn.XLOOKUP(ColombiaClientes[[#This Row],[Client]],VpsClientes[Client],VpsClientes[VP],"",0)</f>
        <v>Martha Guzman Arango</v>
      </c>
      <c r="B2421" t="s">
        <v>180</v>
      </c>
      <c r="C2421" t="s">
        <v>194</v>
      </c>
      <c r="D2421" t="s">
        <v>219</v>
      </c>
      <c r="E2421" t="s">
        <v>206</v>
      </c>
      <c r="F2421" s="1">
        <v>4</v>
      </c>
    </row>
    <row r="2422" spans="1:6" x14ac:dyDescent="0.3">
      <c r="A2422" t="str">
        <f>_xlfn.XLOOKUP(ColombiaClientes[[#This Row],[Client]],VpsClientes[Client],VpsClientes[VP],"",0)</f>
        <v>Martha Guzman Arango</v>
      </c>
      <c r="B2422" t="s">
        <v>155</v>
      </c>
      <c r="C2422" t="s">
        <v>194</v>
      </c>
      <c r="D2422" t="s">
        <v>219</v>
      </c>
      <c r="E2422" t="s">
        <v>206</v>
      </c>
      <c r="F2422" s="1">
        <v>4</v>
      </c>
    </row>
    <row r="2423" spans="1:6" x14ac:dyDescent="0.3">
      <c r="A2423" t="str">
        <f>_xlfn.XLOOKUP(ColombiaClientes[[#This Row],[Client]],VpsClientes[Client],VpsClientes[VP],"",0)</f>
        <v>Jhonatan Izquierdo Rico</v>
      </c>
      <c r="B2423" t="s">
        <v>159</v>
      </c>
      <c r="C2423" t="s">
        <v>194</v>
      </c>
      <c r="D2423" t="s">
        <v>219</v>
      </c>
      <c r="E2423" t="s">
        <v>206</v>
      </c>
      <c r="F2423" s="1">
        <v>2</v>
      </c>
    </row>
    <row r="2424" spans="1:6" x14ac:dyDescent="0.3">
      <c r="A2424" t="str">
        <f>_xlfn.XLOOKUP(ColombiaClientes[[#This Row],[Client]],VpsClientes[Client],VpsClientes[VP],"",0)</f>
        <v>Moises Saavedra Garcia</v>
      </c>
      <c r="B2424" t="s">
        <v>187</v>
      </c>
      <c r="C2424" t="s">
        <v>194</v>
      </c>
      <c r="D2424" t="s">
        <v>219</v>
      </c>
      <c r="E2424" t="s">
        <v>206</v>
      </c>
      <c r="F2424" s="1">
        <v>2</v>
      </c>
    </row>
    <row r="2425" spans="1:6" x14ac:dyDescent="0.3">
      <c r="A2425" t="str">
        <f>_xlfn.XLOOKUP(ColombiaClientes[[#This Row],[Client]],VpsClientes[Client],VpsClientes[VP],"",0)</f>
        <v>Moises Saavedra Garcia</v>
      </c>
      <c r="B2425" t="s">
        <v>190</v>
      </c>
      <c r="C2425" t="s">
        <v>194</v>
      </c>
      <c r="D2425" t="s">
        <v>219</v>
      </c>
      <c r="E2425" t="s">
        <v>206</v>
      </c>
      <c r="F2425" s="1">
        <v>2</v>
      </c>
    </row>
    <row r="2426" spans="1:6" x14ac:dyDescent="0.3">
      <c r="A2426" t="str">
        <f>_xlfn.XLOOKUP(ColombiaClientes[[#This Row],[Client]],VpsClientes[Client],VpsClientes[VP],"",0)</f>
        <v>Jhonatan Izquierdo Rico</v>
      </c>
      <c r="B2426" t="s">
        <v>196</v>
      </c>
      <c r="C2426" t="s">
        <v>194</v>
      </c>
      <c r="D2426" t="s">
        <v>219</v>
      </c>
      <c r="E2426" t="s">
        <v>206</v>
      </c>
      <c r="F2426" s="1">
        <v>1</v>
      </c>
    </row>
    <row r="2427" spans="1:6" x14ac:dyDescent="0.3">
      <c r="A2427" t="str">
        <f>_xlfn.XLOOKUP(ColombiaClientes[[#This Row],[Client]],VpsClientes[Client],VpsClientes[VP],"",0)</f>
        <v>Juan Granados Castillo</v>
      </c>
      <c r="B2427" t="s">
        <v>149</v>
      </c>
      <c r="C2427" t="s">
        <v>194</v>
      </c>
      <c r="D2427" t="s">
        <v>219</v>
      </c>
      <c r="E2427" t="s">
        <v>206</v>
      </c>
      <c r="F2427" s="1">
        <v>1</v>
      </c>
    </row>
    <row r="2428" spans="1:6" x14ac:dyDescent="0.3">
      <c r="A2428" t="str">
        <f>_xlfn.XLOOKUP(ColombiaClientes[[#This Row],[Client]],VpsClientes[Client],VpsClientes[VP],"",0)</f>
        <v>Hector Muraira Garza</v>
      </c>
      <c r="B2428" t="s">
        <v>167</v>
      </c>
      <c r="C2428" t="s">
        <v>194</v>
      </c>
      <c r="D2428" t="s">
        <v>219</v>
      </c>
      <c r="E2428" t="s">
        <v>206</v>
      </c>
      <c r="F2428" s="1">
        <v>1</v>
      </c>
    </row>
    <row r="2429" spans="1:6" x14ac:dyDescent="0.3">
      <c r="A2429" t="str">
        <f>_xlfn.XLOOKUP(ColombiaClientes[[#This Row],[Client]],VpsClientes[Client],VpsClientes[VP],"",0)</f>
        <v>Jhonatan Izquierdo Rico</v>
      </c>
      <c r="B2429" t="s">
        <v>200</v>
      </c>
      <c r="C2429" t="s">
        <v>194</v>
      </c>
      <c r="D2429" t="s">
        <v>219</v>
      </c>
      <c r="E2429" t="s">
        <v>206</v>
      </c>
      <c r="F2429" s="1">
        <v>1</v>
      </c>
    </row>
    <row r="2430" spans="1:6" x14ac:dyDescent="0.3">
      <c r="A2430" t="str">
        <f>_xlfn.XLOOKUP(ColombiaClientes[[#This Row],[Client]],VpsClientes[Client],VpsClientes[VP],"",0)</f>
        <v>Javier Orjuela Sarmiento</v>
      </c>
      <c r="B2430" t="s">
        <v>133</v>
      </c>
      <c r="C2430" t="s">
        <v>92</v>
      </c>
      <c r="D2430" t="s">
        <v>90</v>
      </c>
      <c r="E2430" t="s">
        <v>206</v>
      </c>
      <c r="F2430" s="1">
        <v>4476</v>
      </c>
    </row>
    <row r="2431" spans="1:6" x14ac:dyDescent="0.3">
      <c r="A2431" t="str">
        <f>_xlfn.XLOOKUP(ColombiaClientes[[#This Row],[Client]],VpsClientes[Client],VpsClientes[VP],"",0)</f>
        <v>Javier Orjuela Sarmiento</v>
      </c>
      <c r="B2431" t="s">
        <v>133</v>
      </c>
      <c r="C2431" t="s">
        <v>191</v>
      </c>
      <c r="D2431" t="s">
        <v>90</v>
      </c>
      <c r="E2431" t="s">
        <v>206</v>
      </c>
      <c r="F2431" s="1">
        <v>173</v>
      </c>
    </row>
    <row r="2432" spans="1:6" x14ac:dyDescent="0.3">
      <c r="A2432" t="str">
        <f>_xlfn.XLOOKUP(ColombiaClientes[[#This Row],[Client]],VpsClientes[Client],VpsClientes[VP],"",0)</f>
        <v>Martha Guzman Arango</v>
      </c>
      <c r="B2432" t="s">
        <v>183</v>
      </c>
      <c r="C2432" t="s">
        <v>194</v>
      </c>
      <c r="D2432" t="s">
        <v>219</v>
      </c>
      <c r="E2432" t="s">
        <v>206</v>
      </c>
      <c r="F2432" s="1">
        <v>0</v>
      </c>
    </row>
    <row r="2433" spans="1:6" x14ac:dyDescent="0.3">
      <c r="A2433" t="str">
        <f>_xlfn.XLOOKUP(ColombiaClientes[[#This Row],[Client]],VpsClientes[Client],VpsClientes[VP],"",0)</f>
        <v>Martha Guzman Arango</v>
      </c>
      <c r="B2433" t="s">
        <v>188</v>
      </c>
      <c r="C2433" t="s">
        <v>194</v>
      </c>
      <c r="D2433" t="s">
        <v>219</v>
      </c>
      <c r="E2433" t="s">
        <v>206</v>
      </c>
      <c r="F2433" s="1">
        <v>0</v>
      </c>
    </row>
    <row r="2434" spans="1:6" x14ac:dyDescent="0.3">
      <c r="A2434" t="str">
        <f>_xlfn.XLOOKUP(ColombiaClientes[[#This Row],[Client]],VpsClientes[Client],VpsClientes[VP],"",0)</f>
        <v>Martha Guzman Arango</v>
      </c>
      <c r="B2434" t="s">
        <v>189</v>
      </c>
      <c r="C2434" t="s">
        <v>194</v>
      </c>
      <c r="D2434" t="s">
        <v>219</v>
      </c>
      <c r="E2434" t="s">
        <v>206</v>
      </c>
      <c r="F2434" s="1">
        <v>0</v>
      </c>
    </row>
    <row r="2435" spans="1:6" x14ac:dyDescent="0.3">
      <c r="A2435" t="str">
        <f>_xlfn.XLOOKUP(ColombiaClientes[[#This Row],[Client]],VpsClientes[Client],VpsClientes[VP],"",0)</f>
        <v>Jhonatan Izquierdo Rico</v>
      </c>
      <c r="B2435" t="s">
        <v>138</v>
      </c>
      <c r="C2435" t="s">
        <v>194</v>
      </c>
      <c r="D2435" t="s">
        <v>219</v>
      </c>
      <c r="E2435" t="s">
        <v>206</v>
      </c>
      <c r="F2435" s="1">
        <v>0</v>
      </c>
    </row>
    <row r="2436" spans="1:6" x14ac:dyDescent="0.3">
      <c r="A2436" t="str">
        <f>_xlfn.XLOOKUP(ColombiaClientes[[#This Row],[Client]],VpsClientes[Client],VpsClientes[VP],"",0)</f>
        <v>Martha Guzman Arango</v>
      </c>
      <c r="B2436" t="s">
        <v>98</v>
      </c>
      <c r="C2436" t="s">
        <v>202</v>
      </c>
      <c r="D2436" t="s">
        <v>219</v>
      </c>
      <c r="E2436" t="s">
        <v>206</v>
      </c>
      <c r="F2436" s="1">
        <v>19622</v>
      </c>
    </row>
    <row r="2437" spans="1:6" x14ac:dyDescent="0.3">
      <c r="A2437" t="str">
        <f>_xlfn.XLOOKUP(ColombiaClientes[[#This Row],[Client]],VpsClientes[Client],VpsClientes[VP],"",0)</f>
        <v>Martha Guzman Arango</v>
      </c>
      <c r="B2437" t="s">
        <v>96</v>
      </c>
      <c r="C2437" t="s">
        <v>202</v>
      </c>
      <c r="D2437" t="s">
        <v>219</v>
      </c>
      <c r="E2437" t="s">
        <v>206</v>
      </c>
      <c r="F2437" s="1">
        <v>15817</v>
      </c>
    </row>
    <row r="2438" spans="1:6" x14ac:dyDescent="0.3">
      <c r="A2438" t="str">
        <f>_xlfn.XLOOKUP(ColombiaClientes[[#This Row],[Client]],VpsClientes[Client],VpsClientes[VP],"",0)</f>
        <v>Moises Saavedra Garcia</v>
      </c>
      <c r="B2438" t="s">
        <v>99</v>
      </c>
      <c r="C2438" t="s">
        <v>202</v>
      </c>
      <c r="D2438" t="s">
        <v>219</v>
      </c>
      <c r="E2438" t="s">
        <v>206</v>
      </c>
      <c r="F2438" s="1">
        <v>9229</v>
      </c>
    </row>
    <row r="2439" spans="1:6" x14ac:dyDescent="0.3">
      <c r="A2439" t="str">
        <f>_xlfn.XLOOKUP(ColombiaClientes[[#This Row],[Client]],VpsClientes[Client],VpsClientes[VP],"",0)</f>
        <v>Carlos Beltran Hernandez</v>
      </c>
      <c r="B2439" t="s">
        <v>93</v>
      </c>
      <c r="C2439" t="s">
        <v>202</v>
      </c>
      <c r="D2439" t="s">
        <v>219</v>
      </c>
      <c r="E2439" t="s">
        <v>206</v>
      </c>
      <c r="F2439" s="1">
        <v>6869</v>
      </c>
    </row>
    <row r="2440" spans="1:6" x14ac:dyDescent="0.3">
      <c r="A2440" t="str">
        <f>_xlfn.XLOOKUP(ColombiaClientes[[#This Row],[Client]],VpsClientes[Client],VpsClientes[VP],"",0)</f>
        <v>Hector Muraira Garza</v>
      </c>
      <c r="B2440" t="s">
        <v>140</v>
      </c>
      <c r="C2440" t="s">
        <v>202</v>
      </c>
      <c r="D2440" t="s">
        <v>219</v>
      </c>
      <c r="E2440" t="s">
        <v>206</v>
      </c>
      <c r="F2440" s="1">
        <v>5826</v>
      </c>
    </row>
    <row r="2441" spans="1:6" x14ac:dyDescent="0.3">
      <c r="A2441" t="str">
        <f>_xlfn.XLOOKUP(ColombiaClientes[[#This Row],[Client]],VpsClientes[Client],VpsClientes[VP],"",0)</f>
        <v>Martha Guzman Arango</v>
      </c>
      <c r="B2441" t="s">
        <v>100</v>
      </c>
      <c r="C2441" t="s">
        <v>202</v>
      </c>
      <c r="D2441" t="s">
        <v>219</v>
      </c>
      <c r="E2441" t="s">
        <v>206</v>
      </c>
      <c r="F2441" s="1">
        <v>4821</v>
      </c>
    </row>
    <row r="2442" spans="1:6" x14ac:dyDescent="0.3">
      <c r="A2442" t="str">
        <f>_xlfn.XLOOKUP(ColombiaClientes[[#This Row],[Client]],VpsClientes[Client],VpsClientes[VP],"",0)</f>
        <v>Carlos Beltran Hernandez</v>
      </c>
      <c r="B2442" t="s">
        <v>94</v>
      </c>
      <c r="C2442" t="s">
        <v>202</v>
      </c>
      <c r="D2442" t="s">
        <v>219</v>
      </c>
      <c r="E2442" t="s">
        <v>206</v>
      </c>
      <c r="F2442" s="1">
        <v>4087</v>
      </c>
    </row>
    <row r="2443" spans="1:6" x14ac:dyDescent="0.3">
      <c r="A2443" t="str">
        <f>_xlfn.XLOOKUP(ColombiaClientes[[#This Row],[Client]],VpsClientes[Client],VpsClientes[VP],"",0)</f>
        <v>Martha Guzman Arango</v>
      </c>
      <c r="B2443" t="s">
        <v>103</v>
      </c>
      <c r="C2443" t="s">
        <v>202</v>
      </c>
      <c r="D2443" t="s">
        <v>219</v>
      </c>
      <c r="E2443" t="s">
        <v>206</v>
      </c>
      <c r="F2443" s="1">
        <v>3795</v>
      </c>
    </row>
    <row r="2444" spans="1:6" x14ac:dyDescent="0.3">
      <c r="A2444" t="str">
        <f>_xlfn.XLOOKUP(ColombiaClientes[[#This Row],[Client]],VpsClientes[Client],VpsClientes[VP],"",0)</f>
        <v>Jhonatan Izquierdo Rico</v>
      </c>
      <c r="B2444" t="s">
        <v>112</v>
      </c>
      <c r="C2444" t="s">
        <v>202</v>
      </c>
      <c r="D2444" t="s">
        <v>219</v>
      </c>
      <c r="E2444" t="s">
        <v>206</v>
      </c>
      <c r="F2444" s="1">
        <v>3344</v>
      </c>
    </row>
    <row r="2445" spans="1:6" x14ac:dyDescent="0.3">
      <c r="A2445" t="str">
        <f>_xlfn.XLOOKUP(ColombiaClientes[[#This Row],[Client]],VpsClientes[Client],VpsClientes[VP],"",0)</f>
        <v>Carlos Beltran Hernandez</v>
      </c>
      <c r="B2445" t="s">
        <v>102</v>
      </c>
      <c r="C2445" t="s">
        <v>202</v>
      </c>
      <c r="D2445" t="s">
        <v>219</v>
      </c>
      <c r="E2445" t="s">
        <v>206</v>
      </c>
      <c r="F2445" s="1">
        <v>2089</v>
      </c>
    </row>
    <row r="2446" spans="1:6" x14ac:dyDescent="0.3">
      <c r="A2446" t="str">
        <f>_xlfn.XLOOKUP(ColombiaClientes[[#This Row],[Client]],VpsClientes[Client],VpsClientes[VP],"",0)</f>
        <v>Jhonatan Izquierdo Rico</v>
      </c>
      <c r="B2446" t="s">
        <v>128</v>
      </c>
      <c r="C2446" t="s">
        <v>202</v>
      </c>
      <c r="D2446" t="s">
        <v>219</v>
      </c>
      <c r="E2446" t="s">
        <v>206</v>
      </c>
      <c r="F2446" s="1">
        <v>1895</v>
      </c>
    </row>
    <row r="2447" spans="1:6" x14ac:dyDescent="0.3">
      <c r="A2447" t="str">
        <f>_xlfn.XLOOKUP(ColombiaClientes[[#This Row],[Client]],VpsClientes[Client],VpsClientes[VP],"",0)</f>
        <v>Maria Forero Jara</v>
      </c>
      <c r="B2447" t="s">
        <v>101</v>
      </c>
      <c r="C2447" t="s">
        <v>202</v>
      </c>
      <c r="D2447" t="s">
        <v>219</v>
      </c>
      <c r="E2447" t="s">
        <v>206</v>
      </c>
      <c r="F2447" s="1">
        <v>1720</v>
      </c>
    </row>
    <row r="2448" spans="1:6" x14ac:dyDescent="0.3">
      <c r="A2448" t="str">
        <f>_xlfn.XLOOKUP(ColombiaClientes[[#This Row],[Client]],VpsClientes[Client],VpsClientes[VP],"",0)</f>
        <v>Jhonatan Izquierdo Rico</v>
      </c>
      <c r="B2448" t="s">
        <v>126</v>
      </c>
      <c r="C2448" t="s">
        <v>202</v>
      </c>
      <c r="D2448" t="s">
        <v>219</v>
      </c>
      <c r="E2448" t="s">
        <v>206</v>
      </c>
      <c r="F2448" s="1">
        <v>1702</v>
      </c>
    </row>
    <row r="2449" spans="1:6" x14ac:dyDescent="0.3">
      <c r="A2449" t="str">
        <f>_xlfn.XLOOKUP(ColombiaClientes[[#This Row],[Client]],VpsClientes[Client],VpsClientes[VP],"",0)</f>
        <v>Jhonatan Izquierdo Rico</v>
      </c>
      <c r="B2449" t="s">
        <v>104</v>
      </c>
      <c r="C2449" t="s">
        <v>202</v>
      </c>
      <c r="D2449" t="s">
        <v>219</v>
      </c>
      <c r="E2449" t="s">
        <v>206</v>
      </c>
      <c r="F2449" s="1">
        <v>1483</v>
      </c>
    </row>
    <row r="2450" spans="1:6" x14ac:dyDescent="0.3">
      <c r="A2450" t="str">
        <f>_xlfn.XLOOKUP(ColombiaClientes[[#This Row],[Client]],VpsClientes[Client],VpsClientes[VP],"",0)</f>
        <v>Maria Forero Jara</v>
      </c>
      <c r="B2450" t="s">
        <v>125</v>
      </c>
      <c r="C2450" t="s">
        <v>202</v>
      </c>
      <c r="D2450" t="s">
        <v>219</v>
      </c>
      <c r="E2450" t="s">
        <v>206</v>
      </c>
      <c r="F2450" s="1">
        <v>1424</v>
      </c>
    </row>
    <row r="2451" spans="1:6" x14ac:dyDescent="0.3">
      <c r="A2451" t="str">
        <f>_xlfn.XLOOKUP(ColombiaClientes[[#This Row],[Client]],VpsClientes[Client],VpsClientes[VP],"",0)</f>
        <v>Sandra Romero Zuluaga</v>
      </c>
      <c r="B2451" t="s">
        <v>113</v>
      </c>
      <c r="C2451" t="s">
        <v>202</v>
      </c>
      <c r="D2451" t="s">
        <v>219</v>
      </c>
      <c r="E2451" t="s">
        <v>206</v>
      </c>
      <c r="F2451" s="1">
        <v>1414</v>
      </c>
    </row>
    <row r="2452" spans="1:6" x14ac:dyDescent="0.3">
      <c r="A2452" t="str">
        <f>_xlfn.XLOOKUP(ColombiaClientes[[#This Row],[Client]],VpsClientes[Client],VpsClientes[VP],"",0)</f>
        <v>Moises Saavedra Garcia</v>
      </c>
      <c r="B2452" t="s">
        <v>150</v>
      </c>
      <c r="C2452" t="s">
        <v>202</v>
      </c>
      <c r="D2452" t="s">
        <v>219</v>
      </c>
      <c r="E2452" t="s">
        <v>206</v>
      </c>
      <c r="F2452" s="1">
        <v>1381</v>
      </c>
    </row>
    <row r="2453" spans="1:6" x14ac:dyDescent="0.3">
      <c r="A2453" t="str">
        <f>_xlfn.XLOOKUP(ColombiaClientes[[#This Row],[Client]],VpsClientes[Client],VpsClientes[VP],"",0)</f>
        <v>Martha Guzman Arango</v>
      </c>
      <c r="B2453" t="s">
        <v>118</v>
      </c>
      <c r="C2453" t="s">
        <v>202</v>
      </c>
      <c r="D2453" t="s">
        <v>219</v>
      </c>
      <c r="E2453" t="s">
        <v>206</v>
      </c>
      <c r="F2453" s="1">
        <v>1213</v>
      </c>
    </row>
    <row r="2454" spans="1:6" x14ac:dyDescent="0.3">
      <c r="A2454" t="str">
        <f>_xlfn.XLOOKUP(ColombiaClientes[[#This Row],[Client]],VpsClientes[Client],VpsClientes[VP],"",0)</f>
        <v>Moises Saavedra Garcia</v>
      </c>
      <c r="B2454" t="s">
        <v>115</v>
      </c>
      <c r="C2454" t="s">
        <v>202</v>
      </c>
      <c r="D2454" t="s">
        <v>219</v>
      </c>
      <c r="E2454" t="s">
        <v>206</v>
      </c>
      <c r="F2454" s="1">
        <v>1172</v>
      </c>
    </row>
    <row r="2455" spans="1:6" x14ac:dyDescent="0.3">
      <c r="A2455" t="str">
        <f>_xlfn.XLOOKUP(ColombiaClientes[[#This Row],[Client]],VpsClientes[Client],VpsClientes[VP],"",0)</f>
        <v>Martha Guzman Arango</v>
      </c>
      <c r="B2455" t="s">
        <v>97</v>
      </c>
      <c r="C2455" t="s">
        <v>202</v>
      </c>
      <c r="D2455" t="s">
        <v>219</v>
      </c>
      <c r="E2455" t="s">
        <v>206</v>
      </c>
      <c r="F2455" s="1">
        <v>1017</v>
      </c>
    </row>
    <row r="2456" spans="1:6" x14ac:dyDescent="0.3">
      <c r="A2456" t="str">
        <f>_xlfn.XLOOKUP(ColombiaClientes[[#This Row],[Client]],VpsClientes[Client],VpsClientes[VP],"",0)</f>
        <v>Maria Forero Jara</v>
      </c>
      <c r="B2456" t="s">
        <v>108</v>
      </c>
      <c r="C2456" t="s">
        <v>202</v>
      </c>
      <c r="D2456" t="s">
        <v>219</v>
      </c>
      <c r="E2456" t="s">
        <v>206</v>
      </c>
      <c r="F2456" s="1">
        <v>1005</v>
      </c>
    </row>
    <row r="2457" spans="1:6" x14ac:dyDescent="0.3">
      <c r="A2457" t="str">
        <f>_xlfn.XLOOKUP(ColombiaClientes[[#This Row],[Client]],VpsClientes[Client],VpsClientes[VP],"",0)</f>
        <v>Martha Guzman Arango</v>
      </c>
      <c r="B2457" t="s">
        <v>114</v>
      </c>
      <c r="C2457" t="s">
        <v>202</v>
      </c>
      <c r="D2457" t="s">
        <v>219</v>
      </c>
      <c r="E2457" t="s">
        <v>206</v>
      </c>
      <c r="F2457" s="1">
        <v>956</v>
      </c>
    </row>
    <row r="2458" spans="1:6" x14ac:dyDescent="0.3">
      <c r="A2458" t="str">
        <f>_xlfn.XLOOKUP(ColombiaClientes[[#This Row],[Client]],VpsClientes[Client],VpsClientes[VP],"",0)</f>
        <v>Martha Guzman Arango</v>
      </c>
      <c r="B2458" t="s">
        <v>185</v>
      </c>
      <c r="C2458" t="s">
        <v>202</v>
      </c>
      <c r="D2458" t="s">
        <v>219</v>
      </c>
      <c r="E2458" t="s">
        <v>206</v>
      </c>
      <c r="F2458" s="1">
        <v>845</v>
      </c>
    </row>
    <row r="2459" spans="1:6" x14ac:dyDescent="0.3">
      <c r="A2459" t="str">
        <f>_xlfn.XLOOKUP(ColombiaClientes[[#This Row],[Client]],VpsClientes[Client],VpsClientes[VP],"",0)</f>
        <v>Martha Guzman Arango</v>
      </c>
      <c r="B2459" t="s">
        <v>168</v>
      </c>
      <c r="C2459" t="s">
        <v>202</v>
      </c>
      <c r="D2459" t="s">
        <v>219</v>
      </c>
      <c r="E2459" t="s">
        <v>206</v>
      </c>
      <c r="F2459" s="1">
        <v>831</v>
      </c>
    </row>
    <row r="2460" spans="1:6" x14ac:dyDescent="0.3">
      <c r="A2460" t="str">
        <f>_xlfn.XLOOKUP(ColombiaClientes[[#This Row],[Client]],VpsClientes[Client],VpsClientes[VP],"",0)</f>
        <v>Maria Forero Jara</v>
      </c>
      <c r="B2460" t="s">
        <v>106</v>
      </c>
      <c r="C2460" t="s">
        <v>202</v>
      </c>
      <c r="D2460" t="s">
        <v>219</v>
      </c>
      <c r="E2460" t="s">
        <v>206</v>
      </c>
      <c r="F2460" s="1">
        <v>659</v>
      </c>
    </row>
    <row r="2461" spans="1:6" x14ac:dyDescent="0.3">
      <c r="A2461" t="str">
        <f>_xlfn.XLOOKUP(ColombiaClientes[[#This Row],[Client]],VpsClientes[Client],VpsClientes[VP],"",0)</f>
        <v>Maria Forero Jara</v>
      </c>
      <c r="B2461" t="s">
        <v>139</v>
      </c>
      <c r="C2461" t="s">
        <v>202</v>
      </c>
      <c r="D2461" t="s">
        <v>219</v>
      </c>
      <c r="E2461" t="s">
        <v>206</v>
      </c>
      <c r="F2461" s="1">
        <v>635</v>
      </c>
    </row>
    <row r="2462" spans="1:6" x14ac:dyDescent="0.3">
      <c r="A2462" t="str">
        <f>_xlfn.XLOOKUP(ColombiaClientes[[#This Row],[Client]],VpsClientes[Client],VpsClientes[VP],"",0)</f>
        <v>Juan Granados Castillo</v>
      </c>
      <c r="B2462" t="s">
        <v>136</v>
      </c>
      <c r="C2462" t="s">
        <v>202</v>
      </c>
      <c r="D2462" t="s">
        <v>219</v>
      </c>
      <c r="E2462" t="s">
        <v>206</v>
      </c>
      <c r="F2462" s="1">
        <v>575</v>
      </c>
    </row>
    <row r="2463" spans="1:6" x14ac:dyDescent="0.3">
      <c r="A2463" t="str">
        <f>_xlfn.XLOOKUP(ColombiaClientes[[#This Row],[Client]],VpsClientes[Client],VpsClientes[VP],"",0)</f>
        <v>Hector Muraira Garza</v>
      </c>
      <c r="B2463" t="s">
        <v>137</v>
      </c>
      <c r="C2463" t="s">
        <v>202</v>
      </c>
      <c r="D2463" t="s">
        <v>219</v>
      </c>
      <c r="E2463" t="s">
        <v>206</v>
      </c>
      <c r="F2463" s="1">
        <v>525</v>
      </c>
    </row>
    <row r="2464" spans="1:6" x14ac:dyDescent="0.3">
      <c r="A2464" t="str">
        <f>_xlfn.XLOOKUP(ColombiaClientes[[#This Row],[Client]],VpsClientes[Client],VpsClientes[VP],"",0)</f>
        <v>Martha Guzman Arango</v>
      </c>
      <c r="B2464" t="s">
        <v>122</v>
      </c>
      <c r="C2464" t="s">
        <v>202</v>
      </c>
      <c r="D2464" t="s">
        <v>219</v>
      </c>
      <c r="E2464" t="s">
        <v>206</v>
      </c>
      <c r="F2464" s="1">
        <v>525</v>
      </c>
    </row>
    <row r="2465" spans="1:6" x14ac:dyDescent="0.3">
      <c r="A2465" t="str">
        <f>_xlfn.XLOOKUP(ColombiaClientes[[#This Row],[Client]],VpsClientes[Client],VpsClientes[VP],"",0)</f>
        <v>Martha Guzman Arango</v>
      </c>
      <c r="B2465" t="s">
        <v>146</v>
      </c>
      <c r="C2465" t="s">
        <v>202</v>
      </c>
      <c r="D2465" t="s">
        <v>219</v>
      </c>
      <c r="E2465" t="s">
        <v>206</v>
      </c>
      <c r="F2465" s="1">
        <v>491</v>
      </c>
    </row>
    <row r="2466" spans="1:6" x14ac:dyDescent="0.3">
      <c r="A2466" t="str">
        <f>_xlfn.XLOOKUP(ColombiaClientes[[#This Row],[Client]],VpsClientes[Client],VpsClientes[VP],"",0)</f>
        <v>Martha Guzman Arango</v>
      </c>
      <c r="B2466" t="s">
        <v>135</v>
      </c>
      <c r="C2466" t="s">
        <v>202</v>
      </c>
      <c r="D2466" t="s">
        <v>219</v>
      </c>
      <c r="E2466" t="s">
        <v>206</v>
      </c>
      <c r="F2466" s="1">
        <v>482</v>
      </c>
    </row>
    <row r="2467" spans="1:6" x14ac:dyDescent="0.3">
      <c r="A2467" t="str">
        <f>_xlfn.XLOOKUP(ColombiaClientes[[#This Row],[Client]],VpsClientes[Client],VpsClientes[VP],"",0)</f>
        <v>Carlos Castillo Figueroa</v>
      </c>
      <c r="B2467" t="s">
        <v>105</v>
      </c>
      <c r="C2467" t="s">
        <v>202</v>
      </c>
      <c r="D2467" t="s">
        <v>219</v>
      </c>
      <c r="E2467" t="s">
        <v>206</v>
      </c>
      <c r="F2467" s="1">
        <v>426</v>
      </c>
    </row>
    <row r="2468" spans="1:6" x14ac:dyDescent="0.3">
      <c r="A2468" t="str">
        <f>_xlfn.XLOOKUP(ColombiaClientes[[#This Row],[Client]],VpsClientes[Client],VpsClientes[VP],"",0)</f>
        <v>Jhonatan Izquierdo Rico</v>
      </c>
      <c r="B2468" t="s">
        <v>107</v>
      </c>
      <c r="C2468" t="s">
        <v>202</v>
      </c>
      <c r="D2468" t="s">
        <v>219</v>
      </c>
      <c r="E2468" t="s">
        <v>206</v>
      </c>
      <c r="F2468" s="1">
        <v>404</v>
      </c>
    </row>
    <row r="2469" spans="1:6" x14ac:dyDescent="0.3">
      <c r="A2469" t="str">
        <f>_xlfn.XLOOKUP(ColombiaClientes[[#This Row],[Client]],VpsClientes[Client],VpsClientes[VP],"",0)</f>
        <v>Martha Guzman Arango</v>
      </c>
      <c r="B2469" t="s">
        <v>174</v>
      </c>
      <c r="C2469" t="s">
        <v>202</v>
      </c>
      <c r="D2469" t="s">
        <v>219</v>
      </c>
      <c r="E2469" t="s">
        <v>206</v>
      </c>
      <c r="F2469" s="1">
        <v>388</v>
      </c>
    </row>
    <row r="2470" spans="1:6" x14ac:dyDescent="0.3">
      <c r="A2470" t="str">
        <f>_xlfn.XLOOKUP(ColombiaClientes[[#This Row],[Client]],VpsClientes[Client],VpsClientes[VP],"",0)</f>
        <v>Carlos Beltran Hernandez</v>
      </c>
      <c r="B2470" t="s">
        <v>151</v>
      </c>
      <c r="C2470" t="s">
        <v>202</v>
      </c>
      <c r="D2470" t="s">
        <v>219</v>
      </c>
      <c r="E2470" t="s">
        <v>206</v>
      </c>
      <c r="F2470" s="1">
        <v>348</v>
      </c>
    </row>
    <row r="2471" spans="1:6" x14ac:dyDescent="0.3">
      <c r="A2471" t="str">
        <f>_xlfn.XLOOKUP(ColombiaClientes[[#This Row],[Client]],VpsClientes[Client],VpsClientes[VP],"",0)</f>
        <v>Ludy Torres Benitez</v>
      </c>
      <c r="B2471" t="s">
        <v>95</v>
      </c>
      <c r="C2471" t="s">
        <v>202</v>
      </c>
      <c r="D2471" t="s">
        <v>219</v>
      </c>
      <c r="E2471" t="s">
        <v>206</v>
      </c>
      <c r="F2471" s="1">
        <v>331</v>
      </c>
    </row>
    <row r="2472" spans="1:6" x14ac:dyDescent="0.3">
      <c r="A2472" t="str">
        <f>_xlfn.XLOOKUP(ColombiaClientes[[#This Row],[Client]],VpsClientes[Client],VpsClientes[VP],"",0)</f>
        <v>Carlos Beltran Hernandez</v>
      </c>
      <c r="B2472" t="s">
        <v>119</v>
      </c>
      <c r="C2472" t="s">
        <v>202</v>
      </c>
      <c r="D2472" t="s">
        <v>219</v>
      </c>
      <c r="E2472" t="s">
        <v>206</v>
      </c>
      <c r="F2472" s="1">
        <v>326</v>
      </c>
    </row>
    <row r="2473" spans="1:6" x14ac:dyDescent="0.3">
      <c r="A2473" t="str">
        <f>_xlfn.XLOOKUP(ColombiaClientes[[#This Row],[Client]],VpsClientes[Client],VpsClientes[VP],"",0)</f>
        <v>Martha Guzman Arango</v>
      </c>
      <c r="B2473" t="s">
        <v>153</v>
      </c>
      <c r="C2473" t="s">
        <v>202</v>
      </c>
      <c r="D2473" t="s">
        <v>219</v>
      </c>
      <c r="E2473" t="s">
        <v>206</v>
      </c>
      <c r="F2473" s="1">
        <v>306</v>
      </c>
    </row>
    <row r="2474" spans="1:6" x14ac:dyDescent="0.3">
      <c r="A2474" t="str">
        <f>_xlfn.XLOOKUP(ColombiaClientes[[#This Row],[Client]],VpsClientes[Client],VpsClientes[VP],"",0)</f>
        <v>Martha Guzman Arango</v>
      </c>
      <c r="B2474" t="s">
        <v>124</v>
      </c>
      <c r="C2474" t="s">
        <v>202</v>
      </c>
      <c r="D2474" t="s">
        <v>219</v>
      </c>
      <c r="E2474" t="s">
        <v>206</v>
      </c>
      <c r="F2474" s="1">
        <v>266</v>
      </c>
    </row>
    <row r="2475" spans="1:6" x14ac:dyDescent="0.3">
      <c r="A2475" t="str">
        <f>_xlfn.XLOOKUP(ColombiaClientes[[#This Row],[Client]],VpsClientes[Client],VpsClientes[VP],"",0)</f>
        <v>Hector Muraira Garza</v>
      </c>
      <c r="B2475" t="s">
        <v>154</v>
      </c>
      <c r="C2475" t="s">
        <v>202</v>
      </c>
      <c r="D2475" t="s">
        <v>219</v>
      </c>
      <c r="E2475" t="s">
        <v>206</v>
      </c>
      <c r="F2475" s="1">
        <v>260</v>
      </c>
    </row>
    <row r="2476" spans="1:6" x14ac:dyDescent="0.3">
      <c r="A2476" t="str">
        <f>_xlfn.XLOOKUP(ColombiaClientes[[#This Row],[Client]],VpsClientes[Client],VpsClientes[VP],"",0)</f>
        <v>Juan Granados Castillo</v>
      </c>
      <c r="B2476" t="s">
        <v>134</v>
      </c>
      <c r="C2476" t="s">
        <v>202</v>
      </c>
      <c r="D2476" t="s">
        <v>219</v>
      </c>
      <c r="E2476" t="s">
        <v>206</v>
      </c>
      <c r="F2476" s="1">
        <v>251</v>
      </c>
    </row>
    <row r="2477" spans="1:6" x14ac:dyDescent="0.3">
      <c r="A2477" t="str">
        <f>_xlfn.XLOOKUP(ColombiaClientes[[#This Row],[Client]],VpsClientes[Client],VpsClientes[VP],"",0)</f>
        <v>Moises Saavedra Garcia</v>
      </c>
      <c r="B2477" t="s">
        <v>120</v>
      </c>
      <c r="C2477" t="s">
        <v>202</v>
      </c>
      <c r="D2477" t="s">
        <v>219</v>
      </c>
      <c r="E2477" t="s">
        <v>206</v>
      </c>
      <c r="F2477" s="1">
        <v>213</v>
      </c>
    </row>
    <row r="2478" spans="1:6" x14ac:dyDescent="0.3">
      <c r="A2478" t="str">
        <f>_xlfn.XLOOKUP(ColombiaClientes[[#This Row],[Client]],VpsClientes[Client],VpsClientes[VP],"",0)</f>
        <v>Martha Guzman Arango</v>
      </c>
      <c r="B2478" t="s">
        <v>165</v>
      </c>
      <c r="C2478" t="s">
        <v>202</v>
      </c>
      <c r="D2478" t="s">
        <v>219</v>
      </c>
      <c r="E2478" t="s">
        <v>206</v>
      </c>
      <c r="F2478" s="1">
        <v>208</v>
      </c>
    </row>
    <row r="2479" spans="1:6" x14ac:dyDescent="0.3">
      <c r="A2479" t="str">
        <f>_xlfn.XLOOKUP(ColombiaClientes[[#This Row],[Client]],VpsClientes[Client],VpsClientes[VP],"",0)</f>
        <v>Martha Guzman Arango</v>
      </c>
      <c r="B2479" t="s">
        <v>148</v>
      </c>
      <c r="C2479" t="s">
        <v>202</v>
      </c>
      <c r="D2479" t="s">
        <v>219</v>
      </c>
      <c r="E2479" t="s">
        <v>206</v>
      </c>
      <c r="F2479" s="1">
        <v>160</v>
      </c>
    </row>
    <row r="2480" spans="1:6" x14ac:dyDescent="0.3">
      <c r="A2480" t="str">
        <f>_xlfn.XLOOKUP(ColombiaClientes[[#This Row],[Client]],VpsClientes[Client],VpsClientes[VP],"",0)</f>
        <v>Hector Muraira Garza</v>
      </c>
      <c r="B2480" t="s">
        <v>130</v>
      </c>
      <c r="C2480" t="s">
        <v>202</v>
      </c>
      <c r="D2480" t="s">
        <v>219</v>
      </c>
      <c r="E2480" t="s">
        <v>206</v>
      </c>
      <c r="F2480" s="1">
        <v>151</v>
      </c>
    </row>
    <row r="2481" spans="1:6" x14ac:dyDescent="0.3">
      <c r="A2481" t="str">
        <f>_xlfn.XLOOKUP(ColombiaClientes[[#This Row],[Client]],VpsClientes[Client],VpsClientes[VP],"",0)</f>
        <v>Maria Forero Jara</v>
      </c>
      <c r="B2481" t="s">
        <v>123</v>
      </c>
      <c r="C2481" t="s">
        <v>202</v>
      </c>
      <c r="D2481" t="s">
        <v>219</v>
      </c>
      <c r="E2481" t="s">
        <v>206</v>
      </c>
      <c r="F2481" s="1">
        <v>138</v>
      </c>
    </row>
    <row r="2482" spans="1:6" x14ac:dyDescent="0.3">
      <c r="A2482" t="str">
        <f>_xlfn.XLOOKUP(ColombiaClientes[[#This Row],[Client]],VpsClientes[Client],VpsClientes[VP],"",0)</f>
        <v>Maria Forero Jara</v>
      </c>
      <c r="B2482" t="s">
        <v>111</v>
      </c>
      <c r="C2482" t="s">
        <v>202</v>
      </c>
      <c r="D2482" t="s">
        <v>219</v>
      </c>
      <c r="E2482" t="s">
        <v>206</v>
      </c>
      <c r="F2482" s="1">
        <v>136</v>
      </c>
    </row>
    <row r="2483" spans="1:6" x14ac:dyDescent="0.3">
      <c r="A2483" t="str">
        <f>_xlfn.XLOOKUP(ColombiaClientes[[#This Row],[Client]],VpsClientes[Client],VpsClientes[VP],"",0)</f>
        <v>Martha Guzman Arango</v>
      </c>
      <c r="B2483" t="s">
        <v>156</v>
      </c>
      <c r="C2483" t="s">
        <v>202</v>
      </c>
      <c r="D2483" t="s">
        <v>219</v>
      </c>
      <c r="E2483" t="s">
        <v>206</v>
      </c>
      <c r="F2483" s="1">
        <v>114</v>
      </c>
    </row>
    <row r="2484" spans="1:6" x14ac:dyDescent="0.3">
      <c r="A2484" t="str">
        <f>_xlfn.XLOOKUP(ColombiaClientes[[#This Row],[Client]],VpsClientes[Client],VpsClientes[VP],"",0)</f>
        <v>Martha Guzman Arango</v>
      </c>
      <c r="B2484" t="s">
        <v>109</v>
      </c>
      <c r="C2484" t="s">
        <v>202</v>
      </c>
      <c r="D2484" t="s">
        <v>219</v>
      </c>
      <c r="E2484" t="s">
        <v>206</v>
      </c>
      <c r="F2484" s="1">
        <v>105</v>
      </c>
    </row>
    <row r="2485" spans="1:6" x14ac:dyDescent="0.3">
      <c r="A2485" t="str">
        <f>_xlfn.XLOOKUP(ColombiaClientes[[#This Row],[Client]],VpsClientes[Client],VpsClientes[VP],"",0)</f>
        <v>Moises Saavedra Garcia</v>
      </c>
      <c r="B2485" t="s">
        <v>172</v>
      </c>
      <c r="C2485" t="s">
        <v>202</v>
      </c>
      <c r="D2485" t="s">
        <v>219</v>
      </c>
      <c r="E2485" t="s">
        <v>206</v>
      </c>
      <c r="F2485" s="1">
        <v>95</v>
      </c>
    </row>
    <row r="2486" spans="1:6" x14ac:dyDescent="0.3">
      <c r="A2486" t="str">
        <f>_xlfn.XLOOKUP(ColombiaClientes[[#This Row],[Client]],VpsClientes[Client],VpsClientes[VP],"",0)</f>
        <v>Martha Guzman Arango</v>
      </c>
      <c r="B2486" t="s">
        <v>162</v>
      </c>
      <c r="C2486" t="s">
        <v>202</v>
      </c>
      <c r="D2486" t="s">
        <v>219</v>
      </c>
      <c r="E2486" t="s">
        <v>206</v>
      </c>
      <c r="F2486" s="1">
        <v>95</v>
      </c>
    </row>
    <row r="2487" spans="1:6" x14ac:dyDescent="0.3">
      <c r="A2487" t="str">
        <f>_xlfn.XLOOKUP(ColombiaClientes[[#This Row],[Client]],VpsClientes[Client],VpsClientes[VP],"",0)</f>
        <v>Martha Guzman Arango</v>
      </c>
      <c r="B2487" t="s">
        <v>170</v>
      </c>
      <c r="C2487" t="s">
        <v>202</v>
      </c>
      <c r="D2487" t="s">
        <v>219</v>
      </c>
      <c r="E2487" t="s">
        <v>206</v>
      </c>
      <c r="F2487" s="1">
        <v>93</v>
      </c>
    </row>
    <row r="2488" spans="1:6" x14ac:dyDescent="0.3">
      <c r="A2488" t="str">
        <f>_xlfn.XLOOKUP(ColombiaClientes[[#This Row],[Client]],VpsClientes[Client],VpsClientes[VP],"",0)</f>
        <v>Jhonatan Izquierdo Rico</v>
      </c>
      <c r="B2488" t="s">
        <v>117</v>
      </c>
      <c r="C2488" t="s">
        <v>202</v>
      </c>
      <c r="D2488" t="s">
        <v>219</v>
      </c>
      <c r="E2488" t="s">
        <v>206</v>
      </c>
      <c r="F2488" s="1">
        <v>90</v>
      </c>
    </row>
    <row r="2489" spans="1:6" x14ac:dyDescent="0.3">
      <c r="A2489" t="str">
        <f>_xlfn.XLOOKUP(ColombiaClientes[[#This Row],[Client]],VpsClientes[Client],VpsClientes[VP],"",0)</f>
        <v>Maria Forero Jara</v>
      </c>
      <c r="B2489" t="s">
        <v>163</v>
      </c>
      <c r="C2489" t="s">
        <v>202</v>
      </c>
      <c r="D2489" t="s">
        <v>219</v>
      </c>
      <c r="E2489" t="s">
        <v>206</v>
      </c>
      <c r="F2489" s="1">
        <v>75</v>
      </c>
    </row>
    <row r="2490" spans="1:6" x14ac:dyDescent="0.3">
      <c r="A2490" t="str">
        <f>_xlfn.XLOOKUP(ColombiaClientes[[#This Row],[Client]],VpsClientes[Client],VpsClientes[VP],"",0)</f>
        <v>Carlos Beltran Hernandez</v>
      </c>
      <c r="B2490" t="s">
        <v>173</v>
      </c>
      <c r="C2490" t="s">
        <v>202</v>
      </c>
      <c r="D2490" t="s">
        <v>219</v>
      </c>
      <c r="E2490" t="s">
        <v>206</v>
      </c>
      <c r="F2490" s="1">
        <v>69</v>
      </c>
    </row>
    <row r="2491" spans="1:6" x14ac:dyDescent="0.3">
      <c r="A2491" t="str">
        <f>_xlfn.XLOOKUP(ColombiaClientes[[#This Row],[Client]],VpsClientes[Client],VpsClientes[VP],"",0)</f>
        <v>Martha Guzman Arango</v>
      </c>
      <c r="B2491" t="s">
        <v>152</v>
      </c>
      <c r="C2491" t="s">
        <v>202</v>
      </c>
      <c r="D2491" t="s">
        <v>219</v>
      </c>
      <c r="E2491" t="s">
        <v>206</v>
      </c>
      <c r="F2491" s="1">
        <v>66</v>
      </c>
    </row>
    <row r="2492" spans="1:6" x14ac:dyDescent="0.3">
      <c r="A2492" t="str">
        <f>_xlfn.XLOOKUP(ColombiaClientes[[#This Row],[Client]],VpsClientes[Client],VpsClientes[VP],"",0)</f>
        <v>Martha Guzman Arango</v>
      </c>
      <c r="B2492" t="s">
        <v>166</v>
      </c>
      <c r="C2492" t="s">
        <v>202</v>
      </c>
      <c r="D2492" t="s">
        <v>219</v>
      </c>
      <c r="E2492" t="s">
        <v>206</v>
      </c>
      <c r="F2492" s="1">
        <v>59</v>
      </c>
    </row>
    <row r="2493" spans="1:6" x14ac:dyDescent="0.3">
      <c r="A2493" t="str">
        <f>_xlfn.XLOOKUP(ColombiaClientes[[#This Row],[Client]],VpsClientes[Client],VpsClientes[VP],"",0)</f>
        <v>Martha Guzman Arango</v>
      </c>
      <c r="B2493" t="s">
        <v>131</v>
      </c>
      <c r="C2493" t="s">
        <v>202</v>
      </c>
      <c r="D2493" t="s">
        <v>219</v>
      </c>
      <c r="E2493" t="s">
        <v>206</v>
      </c>
      <c r="F2493" s="1">
        <v>57</v>
      </c>
    </row>
    <row r="2494" spans="1:6" x14ac:dyDescent="0.3">
      <c r="A2494" t="str">
        <f>_xlfn.XLOOKUP(ColombiaClientes[[#This Row],[Client]],VpsClientes[Client],VpsClientes[VP],"",0)</f>
        <v>Ernesto Rico Zuluaga</v>
      </c>
      <c r="B2494" t="s">
        <v>116</v>
      </c>
      <c r="C2494" t="s">
        <v>202</v>
      </c>
      <c r="D2494" t="s">
        <v>219</v>
      </c>
      <c r="E2494" t="s">
        <v>206</v>
      </c>
      <c r="F2494" s="1">
        <v>53</v>
      </c>
    </row>
    <row r="2495" spans="1:6" x14ac:dyDescent="0.3">
      <c r="A2495" t="str">
        <f>_xlfn.XLOOKUP(ColombiaClientes[[#This Row],[Client]],VpsClientes[Client],VpsClientes[VP],"",0)</f>
        <v>Jhonatan Izquierdo Rico</v>
      </c>
      <c r="B2495" t="s">
        <v>129</v>
      </c>
      <c r="C2495" t="s">
        <v>202</v>
      </c>
      <c r="D2495" t="s">
        <v>219</v>
      </c>
      <c r="E2495" t="s">
        <v>206</v>
      </c>
      <c r="F2495" s="1">
        <v>53</v>
      </c>
    </row>
    <row r="2496" spans="1:6" x14ac:dyDescent="0.3">
      <c r="A2496" t="str">
        <f>_xlfn.XLOOKUP(ColombiaClientes[[#This Row],[Client]],VpsClientes[Client],VpsClientes[VP],"",0)</f>
        <v>Maria Forero Jara</v>
      </c>
      <c r="B2496" t="s">
        <v>179</v>
      </c>
      <c r="C2496" t="s">
        <v>202</v>
      </c>
      <c r="D2496" t="s">
        <v>219</v>
      </c>
      <c r="E2496" t="s">
        <v>206</v>
      </c>
      <c r="F2496" s="1">
        <v>47</v>
      </c>
    </row>
    <row r="2497" spans="1:6" x14ac:dyDescent="0.3">
      <c r="A2497" t="str">
        <f>_xlfn.XLOOKUP(ColombiaClientes[[#This Row],[Client]],VpsClientes[Client],VpsClientes[VP],"",0)</f>
        <v>Hector Muraira Garza</v>
      </c>
      <c r="B2497" t="s">
        <v>167</v>
      </c>
      <c r="C2497" t="s">
        <v>202</v>
      </c>
      <c r="D2497" t="s">
        <v>219</v>
      </c>
      <c r="E2497" t="s">
        <v>206</v>
      </c>
      <c r="F2497" s="1">
        <v>42</v>
      </c>
    </row>
    <row r="2498" spans="1:6" x14ac:dyDescent="0.3">
      <c r="A2498" t="str">
        <f>_xlfn.XLOOKUP(ColombiaClientes[[#This Row],[Client]],VpsClientes[Client],VpsClientes[VP],"",0)</f>
        <v>Hector Muraira Garza</v>
      </c>
      <c r="B2498" t="s">
        <v>132</v>
      </c>
      <c r="C2498" t="s">
        <v>202</v>
      </c>
      <c r="D2498" t="s">
        <v>219</v>
      </c>
      <c r="E2498" t="s">
        <v>206</v>
      </c>
      <c r="F2498" s="1">
        <v>37</v>
      </c>
    </row>
    <row r="2499" spans="1:6" x14ac:dyDescent="0.3">
      <c r="A2499" t="str">
        <f>_xlfn.XLOOKUP(ColombiaClientes[[#This Row],[Client]],VpsClientes[Client],VpsClientes[VP],"",0)</f>
        <v>Martha Guzman Arango</v>
      </c>
      <c r="B2499" t="s">
        <v>171</v>
      </c>
      <c r="C2499" t="s">
        <v>202</v>
      </c>
      <c r="D2499" t="s">
        <v>219</v>
      </c>
      <c r="E2499" t="s">
        <v>206</v>
      </c>
      <c r="F2499" s="1">
        <v>36</v>
      </c>
    </row>
    <row r="2500" spans="1:6" x14ac:dyDescent="0.3">
      <c r="A2500" t="str">
        <f>_xlfn.XLOOKUP(ColombiaClientes[[#This Row],[Client]],VpsClientes[Client],VpsClientes[VP],"",0)</f>
        <v>Carlos Beltran Hernandez</v>
      </c>
      <c r="B2500" t="s">
        <v>158</v>
      </c>
      <c r="C2500" t="s">
        <v>202</v>
      </c>
      <c r="D2500" t="s">
        <v>219</v>
      </c>
      <c r="E2500" t="s">
        <v>206</v>
      </c>
      <c r="F2500" s="1">
        <v>36</v>
      </c>
    </row>
    <row r="2501" spans="1:6" x14ac:dyDescent="0.3">
      <c r="A2501" t="str">
        <f>_xlfn.XLOOKUP(ColombiaClientes[[#This Row],[Client]],VpsClientes[Client],VpsClientes[VP],"",0)</f>
        <v>Javier Orjuela Sarmiento</v>
      </c>
      <c r="B2501" t="s">
        <v>133</v>
      </c>
      <c r="C2501" t="s">
        <v>192</v>
      </c>
      <c r="D2501" t="s">
        <v>90</v>
      </c>
      <c r="E2501" t="s">
        <v>206</v>
      </c>
      <c r="F2501" s="1">
        <v>160</v>
      </c>
    </row>
    <row r="2502" spans="1:6" x14ac:dyDescent="0.3">
      <c r="A2502" t="str">
        <f>_xlfn.XLOOKUP(ColombiaClientes[[#This Row],[Client]],VpsClientes[Client],VpsClientes[VP],"",0)</f>
        <v>Maria Forero Jara</v>
      </c>
      <c r="B2502" t="s">
        <v>198</v>
      </c>
      <c r="C2502" t="s">
        <v>202</v>
      </c>
      <c r="D2502" t="s">
        <v>219</v>
      </c>
      <c r="E2502" t="s">
        <v>206</v>
      </c>
      <c r="F2502" s="1">
        <v>31</v>
      </c>
    </row>
    <row r="2503" spans="1:6" x14ac:dyDescent="0.3">
      <c r="A2503" t="str">
        <f>_xlfn.XLOOKUP(ColombiaClientes[[#This Row],[Client]],VpsClientes[Client],VpsClientes[VP],"",0)</f>
        <v>Maria Forero Jara</v>
      </c>
      <c r="B2503" t="s">
        <v>144</v>
      </c>
      <c r="C2503" t="s">
        <v>202</v>
      </c>
      <c r="D2503" t="s">
        <v>219</v>
      </c>
      <c r="E2503" t="s">
        <v>206</v>
      </c>
      <c r="F2503" s="1">
        <v>27</v>
      </c>
    </row>
    <row r="2504" spans="1:6" x14ac:dyDescent="0.3">
      <c r="A2504" t="str">
        <f>_xlfn.XLOOKUP(ColombiaClientes[[#This Row],[Client]],VpsClientes[Client],VpsClientes[VP],"",0)</f>
        <v>Moises Saavedra Garcia</v>
      </c>
      <c r="B2504" t="s">
        <v>110</v>
      </c>
      <c r="C2504" t="s">
        <v>202</v>
      </c>
      <c r="D2504" t="s">
        <v>219</v>
      </c>
      <c r="E2504" t="s">
        <v>206</v>
      </c>
      <c r="F2504" s="1">
        <v>27</v>
      </c>
    </row>
    <row r="2505" spans="1:6" x14ac:dyDescent="0.3">
      <c r="A2505" t="str">
        <f>_xlfn.XLOOKUP(ColombiaClientes[[#This Row],[Client]],VpsClientes[Client],VpsClientes[VP],"",0)</f>
        <v>Jhonatan Izquierdo Rico</v>
      </c>
      <c r="B2505" t="s">
        <v>197</v>
      </c>
      <c r="C2505" t="s">
        <v>202</v>
      </c>
      <c r="D2505" t="s">
        <v>219</v>
      </c>
      <c r="E2505" t="s">
        <v>206</v>
      </c>
      <c r="F2505" s="1">
        <v>24</v>
      </c>
    </row>
    <row r="2506" spans="1:6" x14ac:dyDescent="0.3">
      <c r="A2506" t="str">
        <f>_xlfn.XLOOKUP(ColombiaClientes[[#This Row],[Client]],VpsClientes[Client],VpsClientes[VP],"",0)</f>
        <v>Martha Guzman Arango</v>
      </c>
      <c r="B2506" t="s">
        <v>180</v>
      </c>
      <c r="C2506" t="s">
        <v>202</v>
      </c>
      <c r="D2506" t="s">
        <v>219</v>
      </c>
      <c r="E2506" t="s">
        <v>206</v>
      </c>
      <c r="F2506" s="1">
        <v>22</v>
      </c>
    </row>
    <row r="2507" spans="1:6" x14ac:dyDescent="0.3">
      <c r="A2507" t="str">
        <f>_xlfn.XLOOKUP(ColombiaClientes[[#This Row],[Client]],VpsClientes[Client],VpsClientes[VP],"",0)</f>
        <v>Martha Guzman Arango</v>
      </c>
      <c r="B2507" t="s">
        <v>155</v>
      </c>
      <c r="C2507" t="s">
        <v>202</v>
      </c>
      <c r="D2507" t="s">
        <v>219</v>
      </c>
      <c r="E2507" t="s">
        <v>206</v>
      </c>
      <c r="F2507" s="1">
        <v>20</v>
      </c>
    </row>
    <row r="2508" spans="1:6" x14ac:dyDescent="0.3">
      <c r="A2508" t="str">
        <f>_xlfn.XLOOKUP(ColombiaClientes[[#This Row],[Client]],VpsClientes[Client],VpsClientes[VP],"",0)</f>
        <v>Martha Guzman Arango</v>
      </c>
      <c r="B2508" t="s">
        <v>145</v>
      </c>
      <c r="C2508" t="s">
        <v>202</v>
      </c>
      <c r="D2508" t="s">
        <v>219</v>
      </c>
      <c r="E2508" t="s">
        <v>206</v>
      </c>
      <c r="F2508" s="1">
        <v>20</v>
      </c>
    </row>
    <row r="2509" spans="1:6" x14ac:dyDescent="0.3">
      <c r="A2509" t="str">
        <f>_xlfn.XLOOKUP(ColombiaClientes[[#This Row],[Client]],VpsClientes[Client],VpsClientes[VP],"",0)</f>
        <v>Jhonatan Izquierdo Rico</v>
      </c>
      <c r="B2509" t="s">
        <v>157</v>
      </c>
      <c r="C2509" t="s">
        <v>202</v>
      </c>
      <c r="D2509" t="s">
        <v>219</v>
      </c>
      <c r="E2509" t="s">
        <v>206</v>
      </c>
      <c r="F2509" s="1">
        <v>18</v>
      </c>
    </row>
    <row r="2510" spans="1:6" x14ac:dyDescent="0.3">
      <c r="A2510" t="str">
        <f>_xlfn.XLOOKUP(ColombiaClientes[[#This Row],[Client]],VpsClientes[Client],VpsClientes[VP],"",0)</f>
        <v>Maria Forero Jara</v>
      </c>
      <c r="B2510" t="s">
        <v>182</v>
      </c>
      <c r="C2510" t="s">
        <v>202</v>
      </c>
      <c r="D2510" t="s">
        <v>219</v>
      </c>
      <c r="E2510" t="s">
        <v>206</v>
      </c>
      <c r="F2510" s="1">
        <v>15</v>
      </c>
    </row>
    <row r="2511" spans="1:6" x14ac:dyDescent="0.3">
      <c r="A2511" t="str">
        <f>_xlfn.XLOOKUP(ColombiaClientes[[#This Row],[Client]],VpsClientes[Client],VpsClientes[VP],"",0)</f>
        <v>Juan Granados Castillo</v>
      </c>
      <c r="B2511" t="s">
        <v>142</v>
      </c>
      <c r="C2511" t="s">
        <v>202</v>
      </c>
      <c r="D2511" t="s">
        <v>219</v>
      </c>
      <c r="E2511" t="s">
        <v>206</v>
      </c>
      <c r="F2511" s="1">
        <v>14</v>
      </c>
    </row>
    <row r="2512" spans="1:6" x14ac:dyDescent="0.3">
      <c r="A2512" t="str">
        <f>_xlfn.XLOOKUP(ColombiaClientes[[#This Row],[Client]],VpsClientes[Client],VpsClientes[VP],"",0)</f>
        <v>Martha Guzman Arango</v>
      </c>
      <c r="B2512" t="s">
        <v>199</v>
      </c>
      <c r="C2512" t="s">
        <v>202</v>
      </c>
      <c r="D2512" t="s">
        <v>219</v>
      </c>
      <c r="E2512" t="s">
        <v>206</v>
      </c>
      <c r="F2512" s="1">
        <v>10</v>
      </c>
    </row>
    <row r="2513" spans="1:6" x14ac:dyDescent="0.3">
      <c r="A2513" t="str">
        <f>_xlfn.XLOOKUP(ColombiaClientes[[#This Row],[Client]],VpsClientes[Client],VpsClientes[VP],"",0)</f>
        <v>Martha Guzman Arango</v>
      </c>
      <c r="B2513" t="s">
        <v>143</v>
      </c>
      <c r="C2513" t="s">
        <v>202</v>
      </c>
      <c r="D2513" t="s">
        <v>219</v>
      </c>
      <c r="E2513" t="s">
        <v>206</v>
      </c>
      <c r="F2513" s="1">
        <v>8</v>
      </c>
    </row>
    <row r="2514" spans="1:6" x14ac:dyDescent="0.3">
      <c r="A2514" t="str">
        <f>_xlfn.XLOOKUP(ColombiaClientes[[#This Row],[Client]],VpsClientes[Client],VpsClientes[VP],"",0)</f>
        <v>Maria Forero Jara</v>
      </c>
      <c r="B2514" t="s">
        <v>161</v>
      </c>
      <c r="C2514" t="s">
        <v>202</v>
      </c>
      <c r="D2514" t="s">
        <v>219</v>
      </c>
      <c r="E2514" t="s">
        <v>206</v>
      </c>
      <c r="F2514" s="1">
        <v>8</v>
      </c>
    </row>
    <row r="2515" spans="1:6" x14ac:dyDescent="0.3">
      <c r="A2515" t="str">
        <f>_xlfn.XLOOKUP(ColombiaClientes[[#This Row],[Client]],VpsClientes[Client],VpsClientes[VP],"",0)</f>
        <v>Javier Orjuela Sarmiento</v>
      </c>
      <c r="B2515" t="s">
        <v>133</v>
      </c>
      <c r="C2515" t="s">
        <v>194</v>
      </c>
      <c r="D2515" t="s">
        <v>90</v>
      </c>
      <c r="E2515" t="s">
        <v>206</v>
      </c>
      <c r="F2515" s="1">
        <v>138</v>
      </c>
    </row>
    <row r="2516" spans="1:6" x14ac:dyDescent="0.3">
      <c r="A2516" t="str">
        <f>_xlfn.XLOOKUP(ColombiaClientes[[#This Row],[Client]],VpsClientes[Client],VpsClientes[VP],"",0)</f>
        <v>Hector Muraira Garza</v>
      </c>
      <c r="B2516" t="s">
        <v>164</v>
      </c>
      <c r="C2516" t="s">
        <v>202</v>
      </c>
      <c r="D2516" t="s">
        <v>219</v>
      </c>
      <c r="E2516" t="s">
        <v>206</v>
      </c>
      <c r="F2516" s="1">
        <v>6</v>
      </c>
    </row>
    <row r="2517" spans="1:6" x14ac:dyDescent="0.3">
      <c r="A2517" t="str">
        <f>_xlfn.XLOOKUP(ColombiaClientes[[#This Row],[Client]],VpsClientes[Client],VpsClientes[VP],"",0)</f>
        <v>Moises Saavedra Garcia</v>
      </c>
      <c r="B2517" t="s">
        <v>175</v>
      </c>
      <c r="C2517" t="s">
        <v>202</v>
      </c>
      <c r="D2517" t="s">
        <v>219</v>
      </c>
      <c r="E2517" t="s">
        <v>206</v>
      </c>
      <c r="F2517" s="1">
        <v>5</v>
      </c>
    </row>
    <row r="2518" spans="1:6" x14ac:dyDescent="0.3">
      <c r="A2518" t="str">
        <f>_xlfn.XLOOKUP(ColombiaClientes[[#This Row],[Client]],VpsClientes[Client],VpsClientes[VP],"",0)</f>
        <v>Javier Orjuela Sarmiento</v>
      </c>
      <c r="B2518" t="s">
        <v>133</v>
      </c>
      <c r="C2518" t="s">
        <v>92</v>
      </c>
      <c r="D2518" t="s">
        <v>219</v>
      </c>
      <c r="E2518" t="s">
        <v>91</v>
      </c>
      <c r="F2518" s="1">
        <v>612</v>
      </c>
    </row>
    <row r="2519" spans="1:6" x14ac:dyDescent="0.3">
      <c r="A2519" t="str">
        <f>_xlfn.XLOOKUP(ColombiaClientes[[#This Row],[Client]],VpsClientes[Client],VpsClientes[VP],"",0)</f>
        <v>Moises Saavedra Garcia</v>
      </c>
      <c r="B2519" t="s">
        <v>187</v>
      </c>
      <c r="C2519" t="s">
        <v>202</v>
      </c>
      <c r="D2519" t="s">
        <v>219</v>
      </c>
      <c r="E2519" t="s">
        <v>206</v>
      </c>
      <c r="F2519" s="1">
        <v>3</v>
      </c>
    </row>
    <row r="2520" spans="1:6" x14ac:dyDescent="0.3">
      <c r="A2520" t="str">
        <f>_xlfn.XLOOKUP(ColombiaClientes[[#This Row],[Client]],VpsClientes[Client],VpsClientes[VP],"",0)</f>
        <v>Martha Guzman Arango</v>
      </c>
      <c r="B2520" t="s">
        <v>169</v>
      </c>
      <c r="C2520" t="s">
        <v>202</v>
      </c>
      <c r="D2520" t="s">
        <v>219</v>
      </c>
      <c r="E2520" t="s">
        <v>206</v>
      </c>
      <c r="F2520" s="1">
        <v>2</v>
      </c>
    </row>
    <row r="2521" spans="1:6" x14ac:dyDescent="0.3">
      <c r="A2521" t="str">
        <f>_xlfn.XLOOKUP(ColombiaClientes[[#This Row],[Client]],VpsClientes[Client],VpsClientes[VP],"",0)</f>
        <v>Jhonatan Izquierdo Rico</v>
      </c>
      <c r="B2521" t="s">
        <v>200</v>
      </c>
      <c r="C2521" t="s">
        <v>202</v>
      </c>
      <c r="D2521" t="s">
        <v>219</v>
      </c>
      <c r="E2521" t="s">
        <v>206</v>
      </c>
      <c r="F2521" s="1">
        <v>2</v>
      </c>
    </row>
    <row r="2522" spans="1:6" x14ac:dyDescent="0.3">
      <c r="A2522" t="str">
        <f>_xlfn.XLOOKUP(ColombiaClientes[[#This Row],[Client]],VpsClientes[Client],VpsClientes[VP],"",0)</f>
        <v>Martha Guzman Arango</v>
      </c>
      <c r="B2522" t="s">
        <v>176</v>
      </c>
      <c r="C2522" t="s">
        <v>202</v>
      </c>
      <c r="D2522" t="s">
        <v>219</v>
      </c>
      <c r="E2522" t="s">
        <v>206</v>
      </c>
      <c r="F2522" s="1">
        <v>1</v>
      </c>
    </row>
    <row r="2523" spans="1:6" x14ac:dyDescent="0.3">
      <c r="A2523" t="str">
        <f>_xlfn.XLOOKUP(ColombiaClientes[[#This Row],[Client]],VpsClientes[Client],VpsClientes[VP],"",0)</f>
        <v>Moises Saavedra Garcia</v>
      </c>
      <c r="B2523" t="s">
        <v>190</v>
      </c>
      <c r="C2523" t="s">
        <v>202</v>
      </c>
      <c r="D2523" t="s">
        <v>219</v>
      </c>
      <c r="E2523" t="s">
        <v>206</v>
      </c>
      <c r="F2523" s="1">
        <v>1</v>
      </c>
    </row>
    <row r="2524" spans="1:6" x14ac:dyDescent="0.3">
      <c r="A2524" t="str">
        <f>_xlfn.XLOOKUP(ColombiaClientes[[#This Row],[Client]],VpsClientes[Client],VpsClientes[VP],"",0)</f>
        <v>Martha Guzman Arango</v>
      </c>
      <c r="B2524" t="s">
        <v>183</v>
      </c>
      <c r="C2524" t="s">
        <v>202</v>
      </c>
      <c r="D2524" t="s">
        <v>219</v>
      </c>
      <c r="E2524" t="s">
        <v>206</v>
      </c>
      <c r="F2524" s="1">
        <v>0</v>
      </c>
    </row>
    <row r="2525" spans="1:6" x14ac:dyDescent="0.3">
      <c r="A2525" t="str">
        <f>_xlfn.XLOOKUP(ColombiaClientes[[#This Row],[Client]],VpsClientes[Client],VpsClientes[VP],"",0)</f>
        <v>Jhonatan Izquierdo Rico</v>
      </c>
      <c r="B2525" t="s">
        <v>159</v>
      </c>
      <c r="C2525" t="s">
        <v>202</v>
      </c>
      <c r="D2525" t="s">
        <v>219</v>
      </c>
      <c r="E2525" t="s">
        <v>206</v>
      </c>
      <c r="F2525" s="1">
        <v>0</v>
      </c>
    </row>
    <row r="2526" spans="1:6" x14ac:dyDescent="0.3">
      <c r="A2526" t="str">
        <f>_xlfn.XLOOKUP(ColombiaClientes[[#This Row],[Client]],VpsClientes[Client],VpsClientes[VP],"",0)</f>
        <v>Jhonatan Izquierdo Rico</v>
      </c>
      <c r="B2526" t="s">
        <v>196</v>
      </c>
      <c r="C2526" t="s">
        <v>202</v>
      </c>
      <c r="D2526" t="s">
        <v>219</v>
      </c>
      <c r="E2526" t="s">
        <v>206</v>
      </c>
      <c r="F2526" s="1">
        <v>0</v>
      </c>
    </row>
    <row r="2527" spans="1:6" x14ac:dyDescent="0.3">
      <c r="A2527" t="str">
        <f>_xlfn.XLOOKUP(ColombiaClientes[[#This Row],[Client]],VpsClientes[Client],VpsClientes[VP],"",0)</f>
        <v>Martha Guzman Arango</v>
      </c>
      <c r="B2527" t="s">
        <v>188</v>
      </c>
      <c r="C2527" t="s">
        <v>202</v>
      </c>
      <c r="D2527" t="s">
        <v>219</v>
      </c>
      <c r="E2527" t="s">
        <v>206</v>
      </c>
      <c r="F2527" s="1">
        <v>0</v>
      </c>
    </row>
    <row r="2528" spans="1:6" x14ac:dyDescent="0.3">
      <c r="A2528" t="str">
        <f>_xlfn.XLOOKUP(ColombiaClientes[[#This Row],[Client]],VpsClientes[Client],VpsClientes[VP],"",0)</f>
        <v>Juan Granados Castillo</v>
      </c>
      <c r="B2528" t="s">
        <v>149</v>
      </c>
      <c r="C2528" t="s">
        <v>202</v>
      </c>
      <c r="D2528" t="s">
        <v>219</v>
      </c>
      <c r="E2528" t="s">
        <v>206</v>
      </c>
      <c r="F2528" s="1">
        <v>0</v>
      </c>
    </row>
    <row r="2529" spans="1:6" x14ac:dyDescent="0.3">
      <c r="A2529" t="str">
        <f>_xlfn.XLOOKUP(ColombiaClientes[[#This Row],[Client]],VpsClientes[Client],VpsClientes[VP],"",0)</f>
        <v>Martha Guzman Arango</v>
      </c>
      <c r="B2529" t="s">
        <v>186</v>
      </c>
      <c r="C2529" t="s">
        <v>202</v>
      </c>
      <c r="D2529" t="s">
        <v>219</v>
      </c>
      <c r="E2529" t="s">
        <v>206</v>
      </c>
      <c r="F2529" s="1">
        <v>0</v>
      </c>
    </row>
    <row r="2530" spans="1:6" x14ac:dyDescent="0.3">
      <c r="A2530" t="str">
        <f>_xlfn.XLOOKUP(ColombiaClientes[[#This Row],[Client]],VpsClientes[Client],VpsClientes[VP],"",0)</f>
        <v>Ernesto Rico Zuluaga</v>
      </c>
      <c r="B2530" t="s">
        <v>121</v>
      </c>
      <c r="C2530" t="s">
        <v>202</v>
      </c>
      <c r="D2530" t="s">
        <v>219</v>
      </c>
      <c r="E2530" t="s">
        <v>206</v>
      </c>
      <c r="F2530" s="1">
        <v>0</v>
      </c>
    </row>
    <row r="2531" spans="1:6" x14ac:dyDescent="0.3">
      <c r="A2531" t="str">
        <f>_xlfn.XLOOKUP(ColombiaClientes[[#This Row],[Client]],VpsClientes[Client],VpsClientes[VP],"",0)</f>
        <v>Jhonatan Izquierdo Rico</v>
      </c>
      <c r="B2531" t="s">
        <v>138</v>
      </c>
      <c r="C2531" t="s">
        <v>202</v>
      </c>
      <c r="D2531" t="s">
        <v>219</v>
      </c>
      <c r="E2531" t="s">
        <v>206</v>
      </c>
      <c r="F2531" s="1">
        <v>0</v>
      </c>
    </row>
    <row r="2532" spans="1:6" x14ac:dyDescent="0.3">
      <c r="A2532" t="str">
        <f>_xlfn.XLOOKUP(ColombiaClientes[[#This Row],[Client]],VpsClientes[Client],VpsClientes[VP],"",0)</f>
        <v>Carlos Beltran Hernandez</v>
      </c>
      <c r="B2532" t="s">
        <v>93</v>
      </c>
      <c r="C2532" t="s">
        <v>203</v>
      </c>
      <c r="D2532" t="s">
        <v>219</v>
      </c>
      <c r="E2532" t="s">
        <v>206</v>
      </c>
      <c r="F2532" s="1">
        <v>27987</v>
      </c>
    </row>
    <row r="2533" spans="1:6" x14ac:dyDescent="0.3">
      <c r="A2533" t="str">
        <f>_xlfn.XLOOKUP(ColombiaClientes[[#This Row],[Client]],VpsClientes[Client],VpsClientes[VP],"",0)</f>
        <v>Martha Guzman Arango</v>
      </c>
      <c r="B2533" t="s">
        <v>96</v>
      </c>
      <c r="C2533" t="s">
        <v>203</v>
      </c>
      <c r="D2533" t="s">
        <v>219</v>
      </c>
      <c r="E2533" t="s">
        <v>206</v>
      </c>
      <c r="F2533" s="1">
        <v>18881</v>
      </c>
    </row>
    <row r="2534" spans="1:6" x14ac:dyDescent="0.3">
      <c r="A2534" t="str">
        <f>_xlfn.XLOOKUP(ColombiaClientes[[#This Row],[Client]],VpsClientes[Client],VpsClientes[VP],"",0)</f>
        <v>Martha Guzman Arango</v>
      </c>
      <c r="B2534" t="s">
        <v>98</v>
      </c>
      <c r="C2534" t="s">
        <v>203</v>
      </c>
      <c r="D2534" t="s">
        <v>219</v>
      </c>
      <c r="E2534" t="s">
        <v>206</v>
      </c>
      <c r="F2534" s="1">
        <v>16974</v>
      </c>
    </row>
    <row r="2535" spans="1:6" x14ac:dyDescent="0.3">
      <c r="A2535" t="str">
        <f>_xlfn.XLOOKUP(ColombiaClientes[[#This Row],[Client]],VpsClientes[Client],VpsClientes[VP],"",0)</f>
        <v>Moises Saavedra Garcia</v>
      </c>
      <c r="B2535" t="s">
        <v>99</v>
      </c>
      <c r="C2535" t="s">
        <v>203</v>
      </c>
      <c r="D2535" t="s">
        <v>219</v>
      </c>
      <c r="E2535" t="s">
        <v>206</v>
      </c>
      <c r="F2535" s="1">
        <v>16357</v>
      </c>
    </row>
    <row r="2536" spans="1:6" x14ac:dyDescent="0.3">
      <c r="A2536" t="str">
        <f>_xlfn.XLOOKUP(ColombiaClientes[[#This Row],[Client]],VpsClientes[Client],VpsClientes[VP],"",0)</f>
        <v>Jhonatan Izquierdo Rico</v>
      </c>
      <c r="B2536" t="s">
        <v>128</v>
      </c>
      <c r="C2536" t="s">
        <v>203</v>
      </c>
      <c r="D2536" t="s">
        <v>219</v>
      </c>
      <c r="E2536" t="s">
        <v>206</v>
      </c>
      <c r="F2536" s="1">
        <v>6613</v>
      </c>
    </row>
    <row r="2537" spans="1:6" x14ac:dyDescent="0.3">
      <c r="A2537" t="str">
        <f>_xlfn.XLOOKUP(ColombiaClientes[[#This Row],[Client]],VpsClientes[Client],VpsClientes[VP],"",0)</f>
        <v>Hector Muraira Garza</v>
      </c>
      <c r="B2537" t="s">
        <v>140</v>
      </c>
      <c r="C2537" t="s">
        <v>203</v>
      </c>
      <c r="D2537" t="s">
        <v>219</v>
      </c>
      <c r="E2537" t="s">
        <v>206</v>
      </c>
      <c r="F2537" s="1">
        <v>5707</v>
      </c>
    </row>
    <row r="2538" spans="1:6" x14ac:dyDescent="0.3">
      <c r="A2538" t="str">
        <f>_xlfn.XLOOKUP(ColombiaClientes[[#This Row],[Client]],VpsClientes[Client],VpsClientes[VP],"",0)</f>
        <v>Martha Guzman Arango</v>
      </c>
      <c r="B2538" t="s">
        <v>100</v>
      </c>
      <c r="C2538" t="s">
        <v>203</v>
      </c>
      <c r="D2538" t="s">
        <v>219</v>
      </c>
      <c r="E2538" t="s">
        <v>206</v>
      </c>
      <c r="F2538" s="1">
        <v>5157</v>
      </c>
    </row>
    <row r="2539" spans="1:6" x14ac:dyDescent="0.3">
      <c r="A2539" t="str">
        <f>_xlfn.XLOOKUP(ColombiaClientes[[#This Row],[Client]],VpsClientes[Client],VpsClientes[VP],"",0)</f>
        <v>Carlos Beltran Hernandez</v>
      </c>
      <c r="B2539" t="s">
        <v>94</v>
      </c>
      <c r="C2539" t="s">
        <v>203</v>
      </c>
      <c r="D2539" t="s">
        <v>219</v>
      </c>
      <c r="E2539" t="s">
        <v>206</v>
      </c>
      <c r="F2539" s="1">
        <v>4124</v>
      </c>
    </row>
    <row r="2540" spans="1:6" x14ac:dyDescent="0.3">
      <c r="A2540" t="str">
        <f>_xlfn.XLOOKUP(ColombiaClientes[[#This Row],[Client]],VpsClientes[Client],VpsClientes[VP],"",0)</f>
        <v>Jhonatan Izquierdo Rico</v>
      </c>
      <c r="B2540" t="s">
        <v>112</v>
      </c>
      <c r="C2540" t="s">
        <v>203</v>
      </c>
      <c r="D2540" t="s">
        <v>219</v>
      </c>
      <c r="E2540" t="s">
        <v>206</v>
      </c>
      <c r="F2540" s="1">
        <v>4052</v>
      </c>
    </row>
    <row r="2541" spans="1:6" x14ac:dyDescent="0.3">
      <c r="A2541" t="str">
        <f>_xlfn.XLOOKUP(ColombiaClientes[[#This Row],[Client]],VpsClientes[Client],VpsClientes[VP],"",0)</f>
        <v>Martha Guzman Arango</v>
      </c>
      <c r="B2541" t="s">
        <v>103</v>
      </c>
      <c r="C2541" t="s">
        <v>203</v>
      </c>
      <c r="D2541" t="s">
        <v>219</v>
      </c>
      <c r="E2541" t="s">
        <v>206</v>
      </c>
      <c r="F2541" s="1">
        <v>3980</v>
      </c>
    </row>
    <row r="2542" spans="1:6" x14ac:dyDescent="0.3">
      <c r="A2542" t="str">
        <f>_xlfn.XLOOKUP(ColombiaClientes[[#This Row],[Client]],VpsClientes[Client],VpsClientes[VP],"",0)</f>
        <v>Carlos Beltran Hernandez</v>
      </c>
      <c r="B2542" t="s">
        <v>102</v>
      </c>
      <c r="C2542" t="s">
        <v>203</v>
      </c>
      <c r="D2542" t="s">
        <v>219</v>
      </c>
      <c r="E2542" t="s">
        <v>206</v>
      </c>
      <c r="F2542" s="1">
        <v>3705</v>
      </c>
    </row>
    <row r="2543" spans="1:6" x14ac:dyDescent="0.3">
      <c r="A2543" t="str">
        <f>_xlfn.XLOOKUP(ColombiaClientes[[#This Row],[Client]],VpsClientes[Client],VpsClientes[VP],"",0)</f>
        <v>Martha Guzman Arango</v>
      </c>
      <c r="B2543" t="s">
        <v>122</v>
      </c>
      <c r="C2543" t="s">
        <v>203</v>
      </c>
      <c r="D2543" t="s">
        <v>219</v>
      </c>
      <c r="E2543" t="s">
        <v>206</v>
      </c>
      <c r="F2543" s="1">
        <v>3319</v>
      </c>
    </row>
    <row r="2544" spans="1:6" x14ac:dyDescent="0.3">
      <c r="A2544" t="str">
        <f>_xlfn.XLOOKUP(ColombiaClientes[[#This Row],[Client]],VpsClientes[Client],VpsClientes[VP],"",0)</f>
        <v>Jhonatan Izquierdo Rico</v>
      </c>
      <c r="B2544" t="s">
        <v>126</v>
      </c>
      <c r="C2544" t="s">
        <v>203</v>
      </c>
      <c r="D2544" t="s">
        <v>219</v>
      </c>
      <c r="E2544" t="s">
        <v>206</v>
      </c>
      <c r="F2544" s="1">
        <v>2817</v>
      </c>
    </row>
    <row r="2545" spans="1:6" x14ac:dyDescent="0.3">
      <c r="A2545" t="str">
        <f>_xlfn.XLOOKUP(ColombiaClientes[[#This Row],[Client]],VpsClientes[Client],VpsClientes[VP],"",0)</f>
        <v>Martha Guzman Arango</v>
      </c>
      <c r="B2545" t="s">
        <v>97</v>
      </c>
      <c r="C2545" t="s">
        <v>203</v>
      </c>
      <c r="D2545" t="s">
        <v>219</v>
      </c>
      <c r="E2545" t="s">
        <v>206</v>
      </c>
      <c r="F2545" s="1">
        <v>2696</v>
      </c>
    </row>
    <row r="2546" spans="1:6" x14ac:dyDescent="0.3">
      <c r="A2546" t="str">
        <f>_xlfn.XLOOKUP(ColombiaClientes[[#This Row],[Client]],VpsClientes[Client],VpsClientes[VP],"",0)</f>
        <v>Maria Forero Jara</v>
      </c>
      <c r="B2546" t="s">
        <v>125</v>
      </c>
      <c r="C2546" t="s">
        <v>203</v>
      </c>
      <c r="D2546" t="s">
        <v>219</v>
      </c>
      <c r="E2546" t="s">
        <v>206</v>
      </c>
      <c r="F2546" s="1">
        <v>2669</v>
      </c>
    </row>
    <row r="2547" spans="1:6" x14ac:dyDescent="0.3">
      <c r="A2547" t="str">
        <f>_xlfn.XLOOKUP(ColombiaClientes[[#This Row],[Client]],VpsClientes[Client],VpsClientes[VP],"",0)</f>
        <v>Maria Forero Jara</v>
      </c>
      <c r="B2547" t="s">
        <v>139</v>
      </c>
      <c r="C2547" t="s">
        <v>203</v>
      </c>
      <c r="D2547" t="s">
        <v>219</v>
      </c>
      <c r="E2547" t="s">
        <v>206</v>
      </c>
      <c r="F2547" s="1">
        <v>1681</v>
      </c>
    </row>
    <row r="2548" spans="1:6" x14ac:dyDescent="0.3">
      <c r="A2548" t="str">
        <f>_xlfn.XLOOKUP(ColombiaClientes[[#This Row],[Client]],VpsClientes[Client],VpsClientes[VP],"",0)</f>
        <v>Sandra Romero Zuluaga</v>
      </c>
      <c r="B2548" t="s">
        <v>113</v>
      </c>
      <c r="C2548" t="s">
        <v>203</v>
      </c>
      <c r="D2548" t="s">
        <v>219</v>
      </c>
      <c r="E2548" t="s">
        <v>206</v>
      </c>
      <c r="F2548" s="1">
        <v>1521</v>
      </c>
    </row>
    <row r="2549" spans="1:6" x14ac:dyDescent="0.3">
      <c r="A2549" t="str">
        <f>_xlfn.XLOOKUP(ColombiaClientes[[#This Row],[Client]],VpsClientes[Client],VpsClientes[VP],"",0)</f>
        <v>Moises Saavedra Garcia</v>
      </c>
      <c r="B2549" t="s">
        <v>115</v>
      </c>
      <c r="C2549" t="s">
        <v>203</v>
      </c>
      <c r="D2549" t="s">
        <v>219</v>
      </c>
      <c r="E2549" t="s">
        <v>206</v>
      </c>
      <c r="F2549" s="1">
        <v>1478</v>
      </c>
    </row>
    <row r="2550" spans="1:6" x14ac:dyDescent="0.3">
      <c r="A2550" t="str">
        <f>_xlfn.XLOOKUP(ColombiaClientes[[#This Row],[Client]],VpsClientes[Client],VpsClientes[VP],"",0)</f>
        <v>Jhonatan Izquierdo Rico</v>
      </c>
      <c r="B2550" t="s">
        <v>104</v>
      </c>
      <c r="C2550" t="s">
        <v>203</v>
      </c>
      <c r="D2550" t="s">
        <v>219</v>
      </c>
      <c r="E2550" t="s">
        <v>206</v>
      </c>
      <c r="F2550" s="1">
        <v>1421</v>
      </c>
    </row>
    <row r="2551" spans="1:6" x14ac:dyDescent="0.3">
      <c r="A2551" t="str">
        <f>_xlfn.XLOOKUP(ColombiaClientes[[#This Row],[Client]],VpsClientes[Client],VpsClientes[VP],"",0)</f>
        <v>Maria Forero Jara</v>
      </c>
      <c r="B2551" t="s">
        <v>108</v>
      </c>
      <c r="C2551" t="s">
        <v>203</v>
      </c>
      <c r="D2551" t="s">
        <v>219</v>
      </c>
      <c r="E2551" t="s">
        <v>206</v>
      </c>
      <c r="F2551" s="1">
        <v>1340</v>
      </c>
    </row>
    <row r="2552" spans="1:6" x14ac:dyDescent="0.3">
      <c r="A2552" t="str">
        <f>_xlfn.XLOOKUP(ColombiaClientes[[#This Row],[Client]],VpsClientes[Client],VpsClientes[VP],"",0)</f>
        <v>Martha Guzman Arango</v>
      </c>
      <c r="B2552" t="s">
        <v>185</v>
      </c>
      <c r="C2552" t="s">
        <v>203</v>
      </c>
      <c r="D2552" t="s">
        <v>219</v>
      </c>
      <c r="E2552" t="s">
        <v>206</v>
      </c>
      <c r="F2552" s="1">
        <v>1012</v>
      </c>
    </row>
    <row r="2553" spans="1:6" x14ac:dyDescent="0.3">
      <c r="A2553" t="str">
        <f>_xlfn.XLOOKUP(ColombiaClientes[[#This Row],[Client]],VpsClientes[Client],VpsClientes[VP],"",0)</f>
        <v>Martha Guzman Arango</v>
      </c>
      <c r="B2553" t="s">
        <v>114</v>
      </c>
      <c r="C2553" t="s">
        <v>203</v>
      </c>
      <c r="D2553" t="s">
        <v>219</v>
      </c>
      <c r="E2553" t="s">
        <v>206</v>
      </c>
      <c r="F2553" s="1">
        <v>972</v>
      </c>
    </row>
    <row r="2554" spans="1:6" x14ac:dyDescent="0.3">
      <c r="A2554" t="str">
        <f>_xlfn.XLOOKUP(ColombiaClientes[[#This Row],[Client]],VpsClientes[Client],VpsClientes[VP],"",0)</f>
        <v>Moises Saavedra Garcia</v>
      </c>
      <c r="B2554" t="s">
        <v>150</v>
      </c>
      <c r="C2554" t="s">
        <v>203</v>
      </c>
      <c r="D2554" t="s">
        <v>219</v>
      </c>
      <c r="E2554" t="s">
        <v>206</v>
      </c>
      <c r="F2554" s="1">
        <v>902</v>
      </c>
    </row>
    <row r="2555" spans="1:6" x14ac:dyDescent="0.3">
      <c r="A2555" t="str">
        <f>_xlfn.XLOOKUP(ColombiaClientes[[#This Row],[Client]],VpsClientes[Client],VpsClientes[VP],"",0)</f>
        <v>Martha Guzman Arango</v>
      </c>
      <c r="B2555" t="s">
        <v>118</v>
      </c>
      <c r="C2555" t="s">
        <v>203</v>
      </c>
      <c r="D2555" t="s">
        <v>219</v>
      </c>
      <c r="E2555" t="s">
        <v>206</v>
      </c>
      <c r="F2555" s="1">
        <v>895</v>
      </c>
    </row>
    <row r="2556" spans="1:6" x14ac:dyDescent="0.3">
      <c r="A2556" t="str">
        <f>_xlfn.XLOOKUP(ColombiaClientes[[#This Row],[Client]],VpsClientes[Client],VpsClientes[VP],"",0)</f>
        <v>Maria Forero Jara</v>
      </c>
      <c r="B2556" t="s">
        <v>101</v>
      </c>
      <c r="C2556" t="s">
        <v>203</v>
      </c>
      <c r="D2556" t="s">
        <v>219</v>
      </c>
      <c r="E2556" t="s">
        <v>206</v>
      </c>
      <c r="F2556" s="1">
        <v>892</v>
      </c>
    </row>
    <row r="2557" spans="1:6" x14ac:dyDescent="0.3">
      <c r="A2557" t="str">
        <f>_xlfn.XLOOKUP(ColombiaClientes[[#This Row],[Client]],VpsClientes[Client],VpsClientes[VP],"",0)</f>
        <v>Martha Guzman Arango</v>
      </c>
      <c r="B2557" t="s">
        <v>135</v>
      </c>
      <c r="C2557" t="s">
        <v>203</v>
      </c>
      <c r="D2557" t="s">
        <v>219</v>
      </c>
      <c r="E2557" t="s">
        <v>206</v>
      </c>
      <c r="F2557" s="1">
        <v>776</v>
      </c>
    </row>
    <row r="2558" spans="1:6" x14ac:dyDescent="0.3">
      <c r="A2558" t="str">
        <f>_xlfn.XLOOKUP(ColombiaClientes[[#This Row],[Client]],VpsClientes[Client],VpsClientes[VP],"",0)</f>
        <v>Hector Muraira Garza</v>
      </c>
      <c r="B2558" t="s">
        <v>137</v>
      </c>
      <c r="C2558" t="s">
        <v>203</v>
      </c>
      <c r="D2558" t="s">
        <v>219</v>
      </c>
      <c r="E2558" t="s">
        <v>206</v>
      </c>
      <c r="F2558" s="1">
        <v>659</v>
      </c>
    </row>
    <row r="2559" spans="1:6" x14ac:dyDescent="0.3">
      <c r="A2559" t="str">
        <f>_xlfn.XLOOKUP(ColombiaClientes[[#This Row],[Client]],VpsClientes[Client],VpsClientes[VP],"",0)</f>
        <v>Maria Forero Jara</v>
      </c>
      <c r="B2559" t="s">
        <v>106</v>
      </c>
      <c r="C2559" t="s">
        <v>203</v>
      </c>
      <c r="D2559" t="s">
        <v>219</v>
      </c>
      <c r="E2559" t="s">
        <v>206</v>
      </c>
      <c r="F2559" s="1">
        <v>574</v>
      </c>
    </row>
    <row r="2560" spans="1:6" x14ac:dyDescent="0.3">
      <c r="A2560" t="str">
        <f>_xlfn.XLOOKUP(ColombiaClientes[[#This Row],[Client]],VpsClientes[Client],VpsClientes[VP],"",0)</f>
        <v>Martha Guzman Arango</v>
      </c>
      <c r="B2560" t="s">
        <v>124</v>
      </c>
      <c r="C2560" t="s">
        <v>203</v>
      </c>
      <c r="D2560" t="s">
        <v>219</v>
      </c>
      <c r="E2560" t="s">
        <v>206</v>
      </c>
      <c r="F2560" s="1">
        <v>537</v>
      </c>
    </row>
    <row r="2561" spans="1:6" x14ac:dyDescent="0.3">
      <c r="A2561" t="str">
        <f>_xlfn.XLOOKUP(ColombiaClientes[[#This Row],[Client]],VpsClientes[Client],VpsClientes[VP],"",0)</f>
        <v>Carlos Castillo Figueroa</v>
      </c>
      <c r="B2561" t="s">
        <v>105</v>
      </c>
      <c r="C2561" t="s">
        <v>203</v>
      </c>
      <c r="D2561" t="s">
        <v>219</v>
      </c>
      <c r="E2561" t="s">
        <v>206</v>
      </c>
      <c r="F2561" s="1">
        <v>513</v>
      </c>
    </row>
    <row r="2562" spans="1:6" x14ac:dyDescent="0.3">
      <c r="A2562" t="str">
        <f>_xlfn.XLOOKUP(ColombiaClientes[[#This Row],[Client]],VpsClientes[Client],VpsClientes[VP],"",0)</f>
        <v>Juan Granados Castillo</v>
      </c>
      <c r="B2562" t="s">
        <v>136</v>
      </c>
      <c r="C2562" t="s">
        <v>203</v>
      </c>
      <c r="D2562" t="s">
        <v>219</v>
      </c>
      <c r="E2562" t="s">
        <v>206</v>
      </c>
      <c r="F2562" s="1">
        <v>504</v>
      </c>
    </row>
    <row r="2563" spans="1:6" x14ac:dyDescent="0.3">
      <c r="A2563" t="str">
        <f>_xlfn.XLOOKUP(ColombiaClientes[[#This Row],[Client]],VpsClientes[Client],VpsClientes[VP],"",0)</f>
        <v>Jhonatan Izquierdo Rico</v>
      </c>
      <c r="B2563" t="s">
        <v>107</v>
      </c>
      <c r="C2563" t="s">
        <v>203</v>
      </c>
      <c r="D2563" t="s">
        <v>219</v>
      </c>
      <c r="E2563" t="s">
        <v>206</v>
      </c>
      <c r="F2563" s="1">
        <v>435</v>
      </c>
    </row>
    <row r="2564" spans="1:6" x14ac:dyDescent="0.3">
      <c r="A2564" t="str">
        <f>_xlfn.XLOOKUP(ColombiaClientes[[#This Row],[Client]],VpsClientes[Client],VpsClientes[VP],"",0)</f>
        <v>Martha Guzman Arango</v>
      </c>
      <c r="B2564" t="s">
        <v>153</v>
      </c>
      <c r="C2564" t="s">
        <v>203</v>
      </c>
      <c r="D2564" t="s">
        <v>219</v>
      </c>
      <c r="E2564" t="s">
        <v>206</v>
      </c>
      <c r="F2564" s="1">
        <v>396</v>
      </c>
    </row>
    <row r="2565" spans="1:6" x14ac:dyDescent="0.3">
      <c r="A2565" t="str">
        <f>_xlfn.XLOOKUP(ColombiaClientes[[#This Row],[Client]],VpsClientes[Client],VpsClientes[VP],"",0)</f>
        <v>Ludy Torres Benitez</v>
      </c>
      <c r="B2565" t="s">
        <v>95</v>
      </c>
      <c r="C2565" t="s">
        <v>203</v>
      </c>
      <c r="D2565" t="s">
        <v>219</v>
      </c>
      <c r="E2565" t="s">
        <v>206</v>
      </c>
      <c r="F2565" s="1">
        <v>317</v>
      </c>
    </row>
    <row r="2566" spans="1:6" x14ac:dyDescent="0.3">
      <c r="A2566" t="str">
        <f>_xlfn.XLOOKUP(ColombiaClientes[[#This Row],[Client]],VpsClientes[Client],VpsClientes[VP],"",0)</f>
        <v>Maria Forero Jara</v>
      </c>
      <c r="B2566" t="s">
        <v>144</v>
      </c>
      <c r="C2566" t="s">
        <v>203</v>
      </c>
      <c r="D2566" t="s">
        <v>219</v>
      </c>
      <c r="E2566" t="s">
        <v>206</v>
      </c>
      <c r="F2566" s="1">
        <v>264</v>
      </c>
    </row>
    <row r="2567" spans="1:6" x14ac:dyDescent="0.3">
      <c r="A2567" t="str">
        <f>_xlfn.XLOOKUP(ColombiaClientes[[#This Row],[Client]],VpsClientes[Client],VpsClientes[VP],"",0)</f>
        <v>Martha Guzman Arango</v>
      </c>
      <c r="B2567" t="s">
        <v>166</v>
      </c>
      <c r="C2567" t="s">
        <v>203</v>
      </c>
      <c r="D2567" t="s">
        <v>219</v>
      </c>
      <c r="E2567" t="s">
        <v>206</v>
      </c>
      <c r="F2567" s="1">
        <v>225</v>
      </c>
    </row>
    <row r="2568" spans="1:6" x14ac:dyDescent="0.3">
      <c r="A2568" t="str">
        <f>_xlfn.XLOOKUP(ColombiaClientes[[#This Row],[Client]],VpsClientes[Client],VpsClientes[VP],"",0)</f>
        <v>Martha Guzman Arango</v>
      </c>
      <c r="B2568" t="s">
        <v>174</v>
      </c>
      <c r="C2568" t="s">
        <v>203</v>
      </c>
      <c r="D2568" t="s">
        <v>219</v>
      </c>
      <c r="E2568" t="s">
        <v>206</v>
      </c>
      <c r="F2568" s="1">
        <v>215</v>
      </c>
    </row>
    <row r="2569" spans="1:6" x14ac:dyDescent="0.3">
      <c r="A2569" t="str">
        <f>_xlfn.XLOOKUP(ColombiaClientes[[#This Row],[Client]],VpsClientes[Client],VpsClientes[VP],"",0)</f>
        <v>Martha Guzman Arango</v>
      </c>
      <c r="B2569" t="s">
        <v>146</v>
      </c>
      <c r="C2569" t="s">
        <v>203</v>
      </c>
      <c r="D2569" t="s">
        <v>219</v>
      </c>
      <c r="E2569" t="s">
        <v>206</v>
      </c>
      <c r="F2569" s="1">
        <v>211</v>
      </c>
    </row>
    <row r="2570" spans="1:6" x14ac:dyDescent="0.3">
      <c r="A2570" t="str">
        <f>_xlfn.XLOOKUP(ColombiaClientes[[#This Row],[Client]],VpsClientes[Client],VpsClientes[VP],"",0)</f>
        <v>Martha Guzman Arango</v>
      </c>
      <c r="B2570" t="s">
        <v>148</v>
      </c>
      <c r="C2570" t="s">
        <v>203</v>
      </c>
      <c r="D2570" t="s">
        <v>219</v>
      </c>
      <c r="E2570" t="s">
        <v>206</v>
      </c>
      <c r="F2570" s="1">
        <v>210</v>
      </c>
    </row>
    <row r="2571" spans="1:6" x14ac:dyDescent="0.3">
      <c r="A2571" t="str">
        <f>_xlfn.XLOOKUP(ColombiaClientes[[#This Row],[Client]],VpsClientes[Client],VpsClientes[VP],"",0)</f>
        <v>Juan Granados Castillo</v>
      </c>
      <c r="B2571" t="s">
        <v>134</v>
      </c>
      <c r="C2571" t="s">
        <v>203</v>
      </c>
      <c r="D2571" t="s">
        <v>219</v>
      </c>
      <c r="E2571" t="s">
        <v>206</v>
      </c>
      <c r="F2571" s="1">
        <v>195</v>
      </c>
    </row>
    <row r="2572" spans="1:6" x14ac:dyDescent="0.3">
      <c r="A2572" t="str">
        <f>_xlfn.XLOOKUP(ColombiaClientes[[#This Row],[Client]],VpsClientes[Client],VpsClientes[VP],"",0)</f>
        <v>Moises Saavedra Garcia</v>
      </c>
      <c r="B2572" t="s">
        <v>120</v>
      </c>
      <c r="C2572" t="s">
        <v>203</v>
      </c>
      <c r="D2572" t="s">
        <v>219</v>
      </c>
      <c r="E2572" t="s">
        <v>206</v>
      </c>
      <c r="F2572" s="1">
        <v>192</v>
      </c>
    </row>
    <row r="2573" spans="1:6" x14ac:dyDescent="0.3">
      <c r="A2573" t="str">
        <f>_xlfn.XLOOKUP(ColombiaClientes[[#This Row],[Client]],VpsClientes[Client],VpsClientes[VP],"",0)</f>
        <v>Hector Muraira Garza</v>
      </c>
      <c r="B2573" t="s">
        <v>154</v>
      </c>
      <c r="C2573" t="s">
        <v>203</v>
      </c>
      <c r="D2573" t="s">
        <v>219</v>
      </c>
      <c r="E2573" t="s">
        <v>206</v>
      </c>
      <c r="F2573" s="1">
        <v>189</v>
      </c>
    </row>
    <row r="2574" spans="1:6" x14ac:dyDescent="0.3">
      <c r="A2574" t="str">
        <f>_xlfn.XLOOKUP(ColombiaClientes[[#This Row],[Client]],VpsClientes[Client],VpsClientes[VP],"",0)</f>
        <v>Martha Guzman Arango</v>
      </c>
      <c r="B2574" t="s">
        <v>165</v>
      </c>
      <c r="C2574" t="s">
        <v>203</v>
      </c>
      <c r="D2574" t="s">
        <v>219</v>
      </c>
      <c r="E2574" t="s">
        <v>206</v>
      </c>
      <c r="F2574" s="1">
        <v>186</v>
      </c>
    </row>
    <row r="2575" spans="1:6" x14ac:dyDescent="0.3">
      <c r="A2575" t="str">
        <f>_xlfn.XLOOKUP(ColombiaClientes[[#This Row],[Client]],VpsClientes[Client],VpsClientes[VP],"",0)</f>
        <v>Carlos Beltran Hernandez</v>
      </c>
      <c r="B2575" t="s">
        <v>119</v>
      </c>
      <c r="C2575" t="s">
        <v>203</v>
      </c>
      <c r="D2575" t="s">
        <v>219</v>
      </c>
      <c r="E2575" t="s">
        <v>206</v>
      </c>
      <c r="F2575" s="1">
        <v>164</v>
      </c>
    </row>
    <row r="2576" spans="1:6" x14ac:dyDescent="0.3">
      <c r="A2576" t="str">
        <f>_xlfn.XLOOKUP(ColombiaClientes[[#This Row],[Client]],VpsClientes[Client],VpsClientes[VP],"",0)</f>
        <v>Martha Guzman Arango</v>
      </c>
      <c r="B2576" t="s">
        <v>109</v>
      </c>
      <c r="C2576" t="s">
        <v>203</v>
      </c>
      <c r="D2576" t="s">
        <v>219</v>
      </c>
      <c r="E2576" t="s">
        <v>206</v>
      </c>
      <c r="F2576" s="1">
        <v>159</v>
      </c>
    </row>
    <row r="2577" spans="1:6" x14ac:dyDescent="0.3">
      <c r="A2577" t="str">
        <f>_xlfn.XLOOKUP(ColombiaClientes[[#This Row],[Client]],VpsClientes[Client],VpsClientes[VP],"",0)</f>
        <v>Maria Forero Jara</v>
      </c>
      <c r="B2577" t="s">
        <v>111</v>
      </c>
      <c r="C2577" t="s">
        <v>203</v>
      </c>
      <c r="D2577" t="s">
        <v>219</v>
      </c>
      <c r="E2577" t="s">
        <v>206</v>
      </c>
      <c r="F2577" s="1">
        <v>158</v>
      </c>
    </row>
    <row r="2578" spans="1:6" x14ac:dyDescent="0.3">
      <c r="A2578" t="str">
        <f>_xlfn.XLOOKUP(ColombiaClientes[[#This Row],[Client]],VpsClientes[Client],VpsClientes[VP],"",0)</f>
        <v>Hector Muraira Garza</v>
      </c>
      <c r="B2578" t="s">
        <v>130</v>
      </c>
      <c r="C2578" t="s">
        <v>203</v>
      </c>
      <c r="D2578" t="s">
        <v>219</v>
      </c>
      <c r="E2578" t="s">
        <v>206</v>
      </c>
      <c r="F2578" s="1">
        <v>157</v>
      </c>
    </row>
    <row r="2579" spans="1:6" x14ac:dyDescent="0.3">
      <c r="A2579" t="str">
        <f>_xlfn.XLOOKUP(ColombiaClientes[[#This Row],[Client]],VpsClientes[Client],VpsClientes[VP],"",0)</f>
        <v>Ernesto Rico Zuluaga</v>
      </c>
      <c r="B2579" t="s">
        <v>116</v>
      </c>
      <c r="C2579" t="s">
        <v>203</v>
      </c>
      <c r="D2579" t="s">
        <v>219</v>
      </c>
      <c r="E2579" t="s">
        <v>206</v>
      </c>
      <c r="F2579" s="1">
        <v>147</v>
      </c>
    </row>
    <row r="2580" spans="1:6" x14ac:dyDescent="0.3">
      <c r="A2580" t="str">
        <f>_xlfn.XLOOKUP(ColombiaClientes[[#This Row],[Client]],VpsClientes[Client],VpsClientes[VP],"",0)</f>
        <v>Martha Guzman Arango</v>
      </c>
      <c r="B2580" t="s">
        <v>156</v>
      </c>
      <c r="C2580" t="s">
        <v>203</v>
      </c>
      <c r="D2580" t="s">
        <v>219</v>
      </c>
      <c r="E2580" t="s">
        <v>206</v>
      </c>
      <c r="F2580" s="1">
        <v>138</v>
      </c>
    </row>
    <row r="2581" spans="1:6" x14ac:dyDescent="0.3">
      <c r="A2581" t="str">
        <f>_xlfn.XLOOKUP(ColombiaClientes[[#This Row],[Client]],VpsClientes[Client],VpsClientes[VP],"",0)</f>
        <v>Carlos Beltran Hernandez</v>
      </c>
      <c r="B2581" t="s">
        <v>173</v>
      </c>
      <c r="C2581" t="s">
        <v>203</v>
      </c>
      <c r="D2581" t="s">
        <v>219</v>
      </c>
      <c r="E2581" t="s">
        <v>206</v>
      </c>
      <c r="F2581" s="1">
        <v>116</v>
      </c>
    </row>
    <row r="2582" spans="1:6" x14ac:dyDescent="0.3">
      <c r="A2582" t="str">
        <f>_xlfn.XLOOKUP(ColombiaClientes[[#This Row],[Client]],VpsClientes[Client],VpsClientes[VP],"",0)</f>
        <v>Martha Guzman Arango</v>
      </c>
      <c r="B2582" t="s">
        <v>168</v>
      </c>
      <c r="C2582" t="s">
        <v>203</v>
      </c>
      <c r="D2582" t="s">
        <v>219</v>
      </c>
      <c r="E2582" t="s">
        <v>206</v>
      </c>
      <c r="F2582" s="1">
        <v>108</v>
      </c>
    </row>
    <row r="2583" spans="1:6" x14ac:dyDescent="0.3">
      <c r="A2583" t="str">
        <f>_xlfn.XLOOKUP(ColombiaClientes[[#This Row],[Client]],VpsClientes[Client],VpsClientes[VP],"",0)</f>
        <v>Jhonatan Izquierdo Rico</v>
      </c>
      <c r="B2583" t="s">
        <v>196</v>
      </c>
      <c r="C2583" t="s">
        <v>203</v>
      </c>
      <c r="D2583" t="s">
        <v>219</v>
      </c>
      <c r="E2583" t="s">
        <v>206</v>
      </c>
      <c r="F2583" s="1">
        <v>82</v>
      </c>
    </row>
    <row r="2584" spans="1:6" x14ac:dyDescent="0.3">
      <c r="A2584" t="str">
        <f>_xlfn.XLOOKUP(ColombiaClientes[[#This Row],[Client]],VpsClientes[Client],VpsClientes[VP],"",0)</f>
        <v>Carlos Beltran Hernandez</v>
      </c>
      <c r="B2584" t="s">
        <v>151</v>
      </c>
      <c r="C2584" t="s">
        <v>203</v>
      </c>
      <c r="D2584" t="s">
        <v>219</v>
      </c>
      <c r="E2584" t="s">
        <v>206</v>
      </c>
      <c r="F2584" s="1">
        <v>70</v>
      </c>
    </row>
    <row r="2585" spans="1:6" x14ac:dyDescent="0.3">
      <c r="A2585" t="str">
        <f>_xlfn.XLOOKUP(ColombiaClientes[[#This Row],[Client]],VpsClientes[Client],VpsClientes[VP],"",0)</f>
        <v>Maria Forero Jara</v>
      </c>
      <c r="B2585" t="s">
        <v>179</v>
      </c>
      <c r="C2585" t="s">
        <v>203</v>
      </c>
      <c r="D2585" t="s">
        <v>219</v>
      </c>
      <c r="E2585" t="s">
        <v>206</v>
      </c>
      <c r="F2585" s="1">
        <v>67</v>
      </c>
    </row>
    <row r="2586" spans="1:6" x14ac:dyDescent="0.3">
      <c r="A2586" t="str">
        <f>_xlfn.XLOOKUP(ColombiaClientes[[#This Row],[Client]],VpsClientes[Client],VpsClientes[VP],"",0)</f>
        <v>Claudia Alvarez Pereira</v>
      </c>
      <c r="B2586" t="s">
        <v>127</v>
      </c>
      <c r="C2586" t="s">
        <v>92</v>
      </c>
      <c r="D2586" t="s">
        <v>90</v>
      </c>
      <c r="E2586" t="s">
        <v>91</v>
      </c>
      <c r="F2586" s="1">
        <v>1565</v>
      </c>
    </row>
    <row r="2587" spans="1:6" x14ac:dyDescent="0.3">
      <c r="A2587" t="str">
        <f>_xlfn.XLOOKUP(ColombiaClientes[[#This Row],[Client]],VpsClientes[Client],VpsClientes[VP],"",0)</f>
        <v>Martha Guzman Arango</v>
      </c>
      <c r="B2587" t="s">
        <v>152</v>
      </c>
      <c r="C2587" t="s">
        <v>203</v>
      </c>
      <c r="D2587" t="s">
        <v>219</v>
      </c>
      <c r="E2587" t="s">
        <v>206</v>
      </c>
      <c r="F2587" s="1">
        <v>60</v>
      </c>
    </row>
    <row r="2588" spans="1:6" x14ac:dyDescent="0.3">
      <c r="A2588" t="str">
        <f>_xlfn.XLOOKUP(ColombiaClientes[[#This Row],[Client]],VpsClientes[Client],VpsClientes[VP],"",0)</f>
        <v>Maria Forero Jara</v>
      </c>
      <c r="B2588" t="s">
        <v>123</v>
      </c>
      <c r="C2588" t="s">
        <v>203</v>
      </c>
      <c r="D2588" t="s">
        <v>219</v>
      </c>
      <c r="E2588" t="s">
        <v>206</v>
      </c>
      <c r="F2588" s="1">
        <v>59</v>
      </c>
    </row>
    <row r="2589" spans="1:6" x14ac:dyDescent="0.3">
      <c r="A2589" t="str">
        <f>_xlfn.XLOOKUP(ColombiaClientes[[#This Row],[Client]],VpsClientes[Client],VpsClientes[VP],"",0)</f>
        <v>Martha Guzman Arango</v>
      </c>
      <c r="B2589" t="s">
        <v>170</v>
      </c>
      <c r="C2589" t="s">
        <v>203</v>
      </c>
      <c r="D2589" t="s">
        <v>219</v>
      </c>
      <c r="E2589" t="s">
        <v>206</v>
      </c>
      <c r="F2589" s="1">
        <v>48</v>
      </c>
    </row>
    <row r="2590" spans="1:6" x14ac:dyDescent="0.3">
      <c r="A2590" t="str">
        <f>_xlfn.XLOOKUP(ColombiaClientes[[#This Row],[Client]],VpsClientes[Client],VpsClientes[VP],"",0)</f>
        <v>Martha Guzman Arango</v>
      </c>
      <c r="B2590" t="s">
        <v>162</v>
      </c>
      <c r="C2590" t="s">
        <v>203</v>
      </c>
      <c r="D2590" t="s">
        <v>219</v>
      </c>
      <c r="E2590" t="s">
        <v>206</v>
      </c>
      <c r="F2590" s="1">
        <v>45</v>
      </c>
    </row>
    <row r="2591" spans="1:6" x14ac:dyDescent="0.3">
      <c r="A2591" t="str">
        <f>_xlfn.XLOOKUP(ColombiaClientes[[#This Row],[Client]],VpsClientes[Client],VpsClientes[VP],"",0)</f>
        <v>Moises Saavedra Garcia</v>
      </c>
      <c r="B2591" t="s">
        <v>172</v>
      </c>
      <c r="C2591" t="s">
        <v>203</v>
      </c>
      <c r="D2591" t="s">
        <v>219</v>
      </c>
      <c r="E2591" t="s">
        <v>206</v>
      </c>
      <c r="F2591" s="1">
        <v>43</v>
      </c>
    </row>
    <row r="2592" spans="1:6" x14ac:dyDescent="0.3">
      <c r="A2592" t="str">
        <f>_xlfn.XLOOKUP(ColombiaClientes[[#This Row],[Client]],VpsClientes[Client],VpsClientes[VP],"",0)</f>
        <v>Jhonatan Izquierdo Rico</v>
      </c>
      <c r="B2592" t="s">
        <v>117</v>
      </c>
      <c r="C2592" t="s">
        <v>203</v>
      </c>
      <c r="D2592" t="s">
        <v>219</v>
      </c>
      <c r="E2592" t="s">
        <v>206</v>
      </c>
      <c r="F2592" s="1">
        <v>40</v>
      </c>
    </row>
    <row r="2593" spans="1:6" x14ac:dyDescent="0.3">
      <c r="A2593" t="str">
        <f>_xlfn.XLOOKUP(ColombiaClientes[[#This Row],[Client]],VpsClientes[Client],VpsClientes[VP],"",0)</f>
        <v>Maria Forero Jara</v>
      </c>
      <c r="B2593" t="s">
        <v>182</v>
      </c>
      <c r="C2593" t="s">
        <v>203</v>
      </c>
      <c r="D2593" t="s">
        <v>219</v>
      </c>
      <c r="E2593" t="s">
        <v>206</v>
      </c>
      <c r="F2593" s="1">
        <v>39</v>
      </c>
    </row>
    <row r="2594" spans="1:6" x14ac:dyDescent="0.3">
      <c r="A2594" t="str">
        <f>_xlfn.XLOOKUP(ColombiaClientes[[#This Row],[Client]],VpsClientes[Client],VpsClientes[VP],"",0)</f>
        <v>Moises Saavedra Garcia</v>
      </c>
      <c r="B2594" t="s">
        <v>207</v>
      </c>
      <c r="C2594" t="s">
        <v>203</v>
      </c>
      <c r="D2594" t="s">
        <v>219</v>
      </c>
      <c r="E2594" t="s">
        <v>206</v>
      </c>
      <c r="F2594" s="1">
        <v>36</v>
      </c>
    </row>
    <row r="2595" spans="1:6" x14ac:dyDescent="0.3">
      <c r="A2595" t="str">
        <f>_xlfn.XLOOKUP(ColombiaClientes[[#This Row],[Client]],VpsClientes[Client],VpsClientes[VP],"",0)</f>
        <v>Martha Guzman Arango</v>
      </c>
      <c r="B2595" t="s">
        <v>131</v>
      </c>
      <c r="C2595" t="s">
        <v>203</v>
      </c>
      <c r="D2595" t="s">
        <v>219</v>
      </c>
      <c r="E2595" t="s">
        <v>206</v>
      </c>
      <c r="F2595" s="1">
        <v>35</v>
      </c>
    </row>
    <row r="2596" spans="1:6" x14ac:dyDescent="0.3">
      <c r="A2596" t="str">
        <f>_xlfn.XLOOKUP(ColombiaClientes[[#This Row],[Client]],VpsClientes[Client],VpsClientes[VP],"",0)</f>
        <v>Hector Muraira Garza</v>
      </c>
      <c r="B2596" t="s">
        <v>132</v>
      </c>
      <c r="C2596" t="s">
        <v>203</v>
      </c>
      <c r="D2596" t="s">
        <v>219</v>
      </c>
      <c r="E2596" t="s">
        <v>206</v>
      </c>
      <c r="F2596" s="1">
        <v>32</v>
      </c>
    </row>
    <row r="2597" spans="1:6" x14ac:dyDescent="0.3">
      <c r="A2597" t="str">
        <f>_xlfn.XLOOKUP(ColombiaClientes[[#This Row],[Client]],VpsClientes[Client],VpsClientes[VP],"",0)</f>
        <v>Martha Guzman Arango</v>
      </c>
      <c r="B2597" t="s">
        <v>143</v>
      </c>
      <c r="C2597" t="s">
        <v>203</v>
      </c>
      <c r="D2597" t="s">
        <v>219</v>
      </c>
      <c r="E2597" t="s">
        <v>206</v>
      </c>
      <c r="F2597" s="1">
        <v>26</v>
      </c>
    </row>
    <row r="2598" spans="1:6" x14ac:dyDescent="0.3">
      <c r="A2598" t="str">
        <f>_xlfn.XLOOKUP(ColombiaClientes[[#This Row],[Client]],VpsClientes[Client],VpsClientes[VP],"",0)</f>
        <v>Juan Granados Castillo</v>
      </c>
      <c r="B2598" t="s">
        <v>142</v>
      </c>
      <c r="C2598" t="s">
        <v>203</v>
      </c>
      <c r="D2598" t="s">
        <v>219</v>
      </c>
      <c r="E2598" t="s">
        <v>206</v>
      </c>
      <c r="F2598" s="1">
        <v>26</v>
      </c>
    </row>
    <row r="2599" spans="1:6" x14ac:dyDescent="0.3">
      <c r="A2599" t="str">
        <f>_xlfn.XLOOKUP(ColombiaClientes[[#This Row],[Client]],VpsClientes[Client],VpsClientes[VP],"",0)</f>
        <v>Martha Guzman Arango</v>
      </c>
      <c r="B2599" t="s">
        <v>155</v>
      </c>
      <c r="C2599" t="s">
        <v>203</v>
      </c>
      <c r="D2599" t="s">
        <v>219</v>
      </c>
      <c r="E2599" t="s">
        <v>206</v>
      </c>
      <c r="F2599" s="1">
        <v>24</v>
      </c>
    </row>
    <row r="2600" spans="1:6" x14ac:dyDescent="0.3">
      <c r="A2600" t="str">
        <f>_xlfn.XLOOKUP(ColombiaClientes[[#This Row],[Client]],VpsClientes[Client],VpsClientes[VP],"",0)</f>
        <v>Martha Guzman Arango</v>
      </c>
      <c r="B2600" t="s">
        <v>145</v>
      </c>
      <c r="C2600" t="s">
        <v>203</v>
      </c>
      <c r="D2600" t="s">
        <v>219</v>
      </c>
      <c r="E2600" t="s">
        <v>206</v>
      </c>
      <c r="F2600" s="1">
        <v>24</v>
      </c>
    </row>
    <row r="2601" spans="1:6" x14ac:dyDescent="0.3">
      <c r="A2601" t="str">
        <f>_xlfn.XLOOKUP(ColombiaClientes[[#This Row],[Client]],VpsClientes[Client],VpsClientes[VP],"",0)</f>
        <v>Jhonatan Izquierdo Rico</v>
      </c>
      <c r="B2601" t="s">
        <v>197</v>
      </c>
      <c r="C2601" t="s">
        <v>203</v>
      </c>
      <c r="D2601" t="s">
        <v>219</v>
      </c>
      <c r="E2601" t="s">
        <v>206</v>
      </c>
      <c r="F2601" s="1">
        <v>23</v>
      </c>
    </row>
    <row r="2602" spans="1:6" x14ac:dyDescent="0.3">
      <c r="A2602" t="str">
        <f>_xlfn.XLOOKUP(ColombiaClientes[[#This Row],[Client]],VpsClientes[Client],VpsClientes[VP],"",0)</f>
        <v>Ernesto Rico Zuluaga</v>
      </c>
      <c r="B2602" t="s">
        <v>121</v>
      </c>
      <c r="C2602" t="s">
        <v>203</v>
      </c>
      <c r="D2602" t="s">
        <v>219</v>
      </c>
      <c r="E2602" t="s">
        <v>206</v>
      </c>
      <c r="F2602" s="1">
        <v>20</v>
      </c>
    </row>
    <row r="2603" spans="1:6" x14ac:dyDescent="0.3">
      <c r="A2603" t="str">
        <f>_xlfn.XLOOKUP(ColombiaClientes[[#This Row],[Client]],VpsClientes[Client],VpsClientes[VP],"",0)</f>
        <v>Moises Saavedra Garcia</v>
      </c>
      <c r="B2603" t="s">
        <v>110</v>
      </c>
      <c r="C2603" t="s">
        <v>203</v>
      </c>
      <c r="D2603" t="s">
        <v>219</v>
      </c>
      <c r="E2603" t="s">
        <v>206</v>
      </c>
      <c r="F2603" s="1">
        <v>20</v>
      </c>
    </row>
    <row r="2604" spans="1:6" x14ac:dyDescent="0.3">
      <c r="A2604" t="str">
        <f>_xlfn.XLOOKUP(ColombiaClientes[[#This Row],[Client]],VpsClientes[Client],VpsClientes[VP],"",0)</f>
        <v>Martha Guzman Arango</v>
      </c>
      <c r="B2604" t="s">
        <v>199</v>
      </c>
      <c r="C2604" t="s">
        <v>203</v>
      </c>
      <c r="D2604" t="s">
        <v>219</v>
      </c>
      <c r="E2604" t="s">
        <v>206</v>
      </c>
      <c r="F2604" s="1">
        <v>19</v>
      </c>
    </row>
    <row r="2605" spans="1:6" x14ac:dyDescent="0.3">
      <c r="A2605" t="str">
        <f>_xlfn.XLOOKUP(ColombiaClientes[[#This Row],[Client]],VpsClientes[Client],VpsClientes[VP],"",0)</f>
        <v>Hector Muraira Garza</v>
      </c>
      <c r="B2605" t="s">
        <v>164</v>
      </c>
      <c r="C2605" t="s">
        <v>203</v>
      </c>
      <c r="D2605" t="s">
        <v>219</v>
      </c>
      <c r="E2605" t="s">
        <v>206</v>
      </c>
      <c r="F2605" s="1">
        <v>19</v>
      </c>
    </row>
    <row r="2606" spans="1:6" x14ac:dyDescent="0.3">
      <c r="A2606" t="str">
        <f>_xlfn.XLOOKUP(ColombiaClientes[[#This Row],[Client]],VpsClientes[Client],VpsClientes[VP],"",0)</f>
        <v>Moises Saavedra Garcia</v>
      </c>
      <c r="B2606" t="s">
        <v>175</v>
      </c>
      <c r="C2606" t="s">
        <v>203</v>
      </c>
      <c r="D2606" t="s">
        <v>219</v>
      </c>
      <c r="E2606" t="s">
        <v>206</v>
      </c>
      <c r="F2606" s="1">
        <v>17</v>
      </c>
    </row>
    <row r="2607" spans="1:6" x14ac:dyDescent="0.3">
      <c r="A2607" t="str">
        <f>_xlfn.XLOOKUP(ColombiaClientes[[#This Row],[Client]],VpsClientes[Client],VpsClientes[VP],"",0)</f>
        <v>Jhonatan Izquierdo Rico</v>
      </c>
      <c r="B2607" t="s">
        <v>157</v>
      </c>
      <c r="C2607" t="s">
        <v>203</v>
      </c>
      <c r="D2607" t="s">
        <v>219</v>
      </c>
      <c r="E2607" t="s">
        <v>206</v>
      </c>
      <c r="F2607" s="1">
        <v>14</v>
      </c>
    </row>
    <row r="2608" spans="1:6" x14ac:dyDescent="0.3">
      <c r="A2608" t="str">
        <f>_xlfn.XLOOKUP(ColombiaClientes[[#This Row],[Client]],VpsClientes[Client],VpsClientes[VP],"",0)</f>
        <v>Claudia Alvarez Pereira</v>
      </c>
      <c r="B2608" t="s">
        <v>127</v>
      </c>
      <c r="C2608" t="s">
        <v>191</v>
      </c>
      <c r="D2608" t="s">
        <v>90</v>
      </c>
      <c r="E2608" t="s">
        <v>91</v>
      </c>
      <c r="F2608" s="1">
        <v>438</v>
      </c>
    </row>
    <row r="2609" spans="1:6" x14ac:dyDescent="0.3">
      <c r="A2609" t="str">
        <f>_xlfn.XLOOKUP(ColombiaClientes[[#This Row],[Client]],VpsClientes[Client],VpsClientes[VP],"",0)</f>
        <v>Martha Guzman Arango</v>
      </c>
      <c r="B2609" t="s">
        <v>169</v>
      </c>
      <c r="C2609" t="s">
        <v>203</v>
      </c>
      <c r="D2609" t="s">
        <v>219</v>
      </c>
      <c r="E2609" t="s">
        <v>206</v>
      </c>
      <c r="F2609" s="1">
        <v>11</v>
      </c>
    </row>
    <row r="2610" spans="1:6" x14ac:dyDescent="0.3">
      <c r="A2610" t="str">
        <f>_xlfn.XLOOKUP(ColombiaClientes[[#This Row],[Client]],VpsClientes[Client],VpsClientes[VP],"",0)</f>
        <v>Jhonatan Izquierdo Rico</v>
      </c>
      <c r="B2610" t="s">
        <v>129</v>
      </c>
      <c r="C2610" t="s">
        <v>203</v>
      </c>
      <c r="D2610" t="s">
        <v>219</v>
      </c>
      <c r="E2610" t="s">
        <v>206</v>
      </c>
      <c r="F2610" s="1">
        <v>11</v>
      </c>
    </row>
    <row r="2611" spans="1:6" x14ac:dyDescent="0.3">
      <c r="A2611" t="str">
        <f>_xlfn.XLOOKUP(ColombiaClientes[[#This Row],[Client]],VpsClientes[Client],VpsClientes[VP],"",0)</f>
        <v>Carlos Beltran Hernandez</v>
      </c>
      <c r="B2611" t="s">
        <v>158</v>
      </c>
      <c r="C2611" t="s">
        <v>203</v>
      </c>
      <c r="D2611" t="s">
        <v>219</v>
      </c>
      <c r="E2611" t="s">
        <v>206</v>
      </c>
      <c r="F2611" s="1">
        <v>11</v>
      </c>
    </row>
    <row r="2612" spans="1:6" x14ac:dyDescent="0.3">
      <c r="A2612" t="str">
        <f>_xlfn.XLOOKUP(ColombiaClientes[[#This Row],[Client]],VpsClientes[Client],VpsClientes[VP],"",0)</f>
        <v>Martha Guzman Arango</v>
      </c>
      <c r="B2612" t="s">
        <v>183</v>
      </c>
      <c r="C2612" t="s">
        <v>203</v>
      </c>
      <c r="D2612" t="s">
        <v>219</v>
      </c>
      <c r="E2612" t="s">
        <v>206</v>
      </c>
      <c r="F2612" s="1">
        <v>9</v>
      </c>
    </row>
    <row r="2613" spans="1:6" x14ac:dyDescent="0.3">
      <c r="A2613" t="str">
        <f>_xlfn.XLOOKUP(ColombiaClientes[[#This Row],[Client]],VpsClientes[Client],VpsClientes[VP],"",0)</f>
        <v>Martha Guzman Arango</v>
      </c>
      <c r="B2613" t="s">
        <v>188</v>
      </c>
      <c r="C2613" t="s">
        <v>203</v>
      </c>
      <c r="D2613" t="s">
        <v>219</v>
      </c>
      <c r="E2613" t="s">
        <v>206</v>
      </c>
      <c r="F2613" s="1">
        <v>9</v>
      </c>
    </row>
    <row r="2614" spans="1:6" x14ac:dyDescent="0.3">
      <c r="A2614" t="str">
        <f>_xlfn.XLOOKUP(ColombiaClientes[[#This Row],[Client]],VpsClientes[Client],VpsClientes[VP],"",0)</f>
        <v>Martha Guzman Arango</v>
      </c>
      <c r="B2614" t="s">
        <v>171</v>
      </c>
      <c r="C2614" t="s">
        <v>203</v>
      </c>
      <c r="D2614" t="s">
        <v>219</v>
      </c>
      <c r="E2614" t="s">
        <v>206</v>
      </c>
      <c r="F2614" s="1">
        <v>9</v>
      </c>
    </row>
    <row r="2615" spans="1:6" x14ac:dyDescent="0.3">
      <c r="A2615" t="str">
        <f>_xlfn.XLOOKUP(ColombiaClientes[[#This Row],[Client]],VpsClientes[Client],VpsClientes[VP],"",0)</f>
        <v>Hector Muraira Garza</v>
      </c>
      <c r="B2615" t="s">
        <v>167</v>
      </c>
      <c r="C2615" t="s">
        <v>203</v>
      </c>
      <c r="D2615" t="s">
        <v>219</v>
      </c>
      <c r="E2615" t="s">
        <v>206</v>
      </c>
      <c r="F2615" s="1">
        <v>9</v>
      </c>
    </row>
    <row r="2616" spans="1:6" x14ac:dyDescent="0.3">
      <c r="A2616" t="str">
        <f>_xlfn.XLOOKUP(ColombiaClientes[[#This Row],[Client]],VpsClientes[Client],VpsClientes[VP],"",0)</f>
        <v>Maria Forero Jara</v>
      </c>
      <c r="B2616" t="s">
        <v>163</v>
      </c>
      <c r="C2616" t="s">
        <v>203</v>
      </c>
      <c r="D2616" t="s">
        <v>219</v>
      </c>
      <c r="E2616" t="s">
        <v>206</v>
      </c>
      <c r="F2616" s="1">
        <v>9</v>
      </c>
    </row>
    <row r="2617" spans="1:6" x14ac:dyDescent="0.3">
      <c r="A2617" t="str">
        <f>_xlfn.XLOOKUP(ColombiaClientes[[#This Row],[Client]],VpsClientes[Client],VpsClientes[VP],"",0)</f>
        <v>Martha Guzman Arango</v>
      </c>
      <c r="B2617" t="s">
        <v>176</v>
      </c>
      <c r="C2617" t="s">
        <v>203</v>
      </c>
      <c r="D2617" t="s">
        <v>219</v>
      </c>
      <c r="E2617" t="s">
        <v>206</v>
      </c>
      <c r="F2617" s="1">
        <v>8</v>
      </c>
    </row>
    <row r="2618" spans="1:6" x14ac:dyDescent="0.3">
      <c r="A2618" t="str">
        <f>_xlfn.XLOOKUP(ColombiaClientes[[#This Row],[Client]],VpsClientes[Client],VpsClientes[VP],"",0)</f>
        <v>Maria Forero Jara</v>
      </c>
      <c r="B2618" t="s">
        <v>198</v>
      </c>
      <c r="C2618" t="s">
        <v>203</v>
      </c>
      <c r="D2618" t="s">
        <v>219</v>
      </c>
      <c r="E2618" t="s">
        <v>206</v>
      </c>
      <c r="F2618" s="1">
        <v>8</v>
      </c>
    </row>
    <row r="2619" spans="1:6" x14ac:dyDescent="0.3">
      <c r="A2619" t="str">
        <f>_xlfn.XLOOKUP(ColombiaClientes[[#This Row],[Client]],VpsClientes[Client],VpsClientes[VP],"",0)</f>
        <v>Martha Guzman Arango</v>
      </c>
      <c r="B2619" t="s">
        <v>189</v>
      </c>
      <c r="C2619" t="s">
        <v>203</v>
      </c>
      <c r="D2619" t="s">
        <v>219</v>
      </c>
      <c r="E2619" t="s">
        <v>206</v>
      </c>
      <c r="F2619" s="1">
        <v>3</v>
      </c>
    </row>
    <row r="2620" spans="1:6" x14ac:dyDescent="0.3">
      <c r="A2620" t="str">
        <f>_xlfn.XLOOKUP(ColombiaClientes[[#This Row],[Client]],VpsClientes[Client],VpsClientes[VP],"",0)</f>
        <v>Maria Forero Jara</v>
      </c>
      <c r="B2620" t="s">
        <v>161</v>
      </c>
      <c r="C2620" t="s">
        <v>203</v>
      </c>
      <c r="D2620" t="s">
        <v>219</v>
      </c>
      <c r="E2620" t="s">
        <v>206</v>
      </c>
      <c r="F2620" s="1">
        <v>3</v>
      </c>
    </row>
    <row r="2621" spans="1:6" x14ac:dyDescent="0.3">
      <c r="A2621" t="str">
        <f>_xlfn.XLOOKUP(ColombiaClientes[[#This Row],[Client]],VpsClientes[Client],VpsClientes[VP],"",0)</f>
        <v>Martha Guzman Arango</v>
      </c>
      <c r="B2621" t="s">
        <v>180</v>
      </c>
      <c r="C2621" t="s">
        <v>203</v>
      </c>
      <c r="D2621" t="s">
        <v>219</v>
      </c>
      <c r="E2621" t="s">
        <v>206</v>
      </c>
      <c r="F2621" s="1">
        <v>1</v>
      </c>
    </row>
    <row r="2622" spans="1:6" x14ac:dyDescent="0.3">
      <c r="A2622" t="str">
        <f>_xlfn.XLOOKUP(ColombiaClientes[[#This Row],[Client]],VpsClientes[Client],VpsClientes[VP],"",0)</f>
        <v>Jhonatan Izquierdo Rico</v>
      </c>
      <c r="B2622" t="s">
        <v>200</v>
      </c>
      <c r="C2622" t="s">
        <v>203</v>
      </c>
      <c r="D2622" t="s">
        <v>219</v>
      </c>
      <c r="E2622" t="s">
        <v>206</v>
      </c>
      <c r="F2622" s="1">
        <v>1</v>
      </c>
    </row>
    <row r="2623" spans="1:6" x14ac:dyDescent="0.3">
      <c r="A2623" t="str">
        <f>_xlfn.XLOOKUP(ColombiaClientes[[#This Row],[Client]],VpsClientes[Client],VpsClientes[VP],"",0)</f>
        <v>Claudia Alvarez Pereira</v>
      </c>
      <c r="B2623" t="s">
        <v>127</v>
      </c>
      <c r="C2623" t="s">
        <v>192</v>
      </c>
      <c r="D2623" t="s">
        <v>90</v>
      </c>
      <c r="E2623" t="s">
        <v>91</v>
      </c>
      <c r="F2623" s="1">
        <v>45</v>
      </c>
    </row>
    <row r="2624" spans="1:6" x14ac:dyDescent="0.3">
      <c r="A2624" t="str">
        <f>_xlfn.XLOOKUP(ColombiaClientes[[#This Row],[Client]],VpsClientes[Client],VpsClientes[VP],"",0)</f>
        <v>Jhonatan Izquierdo Rico</v>
      </c>
      <c r="B2624" t="s">
        <v>159</v>
      </c>
      <c r="C2624" t="s">
        <v>203</v>
      </c>
      <c r="D2624" t="s">
        <v>219</v>
      </c>
      <c r="E2624" t="s">
        <v>206</v>
      </c>
      <c r="F2624" s="1">
        <v>0</v>
      </c>
    </row>
    <row r="2625" spans="1:6" x14ac:dyDescent="0.3">
      <c r="A2625" t="str">
        <f>_xlfn.XLOOKUP(ColombiaClientes[[#This Row],[Client]],VpsClientes[Client],VpsClientes[VP],"",0)</f>
        <v>Juan Granados Castillo</v>
      </c>
      <c r="B2625" t="s">
        <v>149</v>
      </c>
      <c r="C2625" t="s">
        <v>203</v>
      </c>
      <c r="D2625" t="s">
        <v>219</v>
      </c>
      <c r="E2625" t="s">
        <v>206</v>
      </c>
      <c r="F2625" s="1">
        <v>0</v>
      </c>
    </row>
    <row r="2626" spans="1:6" x14ac:dyDescent="0.3">
      <c r="A2626" t="str">
        <f>_xlfn.XLOOKUP(ColombiaClientes[[#This Row],[Client]],VpsClientes[Client],VpsClientes[VP],"",0)</f>
        <v>Martha Guzman Arango</v>
      </c>
      <c r="B2626" t="s">
        <v>186</v>
      </c>
      <c r="C2626" t="s">
        <v>203</v>
      </c>
      <c r="D2626" t="s">
        <v>219</v>
      </c>
      <c r="E2626" t="s">
        <v>206</v>
      </c>
      <c r="F2626" s="1">
        <v>0</v>
      </c>
    </row>
    <row r="2627" spans="1:6" x14ac:dyDescent="0.3">
      <c r="A2627" t="str">
        <f>_xlfn.XLOOKUP(ColombiaClientes[[#This Row],[Client]],VpsClientes[Client],VpsClientes[VP],"",0)</f>
        <v>Moises Saavedra Garcia</v>
      </c>
      <c r="B2627" t="s">
        <v>187</v>
      </c>
      <c r="C2627" t="s">
        <v>203</v>
      </c>
      <c r="D2627" t="s">
        <v>219</v>
      </c>
      <c r="E2627" t="s">
        <v>206</v>
      </c>
      <c r="F2627" s="1">
        <v>0</v>
      </c>
    </row>
    <row r="2628" spans="1:6" x14ac:dyDescent="0.3">
      <c r="A2628" t="str">
        <f>_xlfn.XLOOKUP(ColombiaClientes[[#This Row],[Client]],VpsClientes[Client],VpsClientes[VP],"",0)</f>
        <v>Jhonatan Izquierdo Rico</v>
      </c>
      <c r="B2628" t="s">
        <v>138</v>
      </c>
      <c r="C2628" t="s">
        <v>203</v>
      </c>
      <c r="D2628" t="s">
        <v>219</v>
      </c>
      <c r="E2628" t="s">
        <v>206</v>
      </c>
      <c r="F2628" s="1">
        <v>0</v>
      </c>
    </row>
    <row r="2629" spans="1:6" x14ac:dyDescent="0.3">
      <c r="A2629" t="str">
        <f>_xlfn.XLOOKUP(ColombiaClientes[[#This Row],[Client]],VpsClientes[Client],VpsClientes[VP],"",0)</f>
        <v>Moises Saavedra Garcia</v>
      </c>
      <c r="B2629" t="s">
        <v>190</v>
      </c>
      <c r="C2629" t="s">
        <v>203</v>
      </c>
      <c r="D2629" t="s">
        <v>219</v>
      </c>
      <c r="E2629" t="s">
        <v>206</v>
      </c>
      <c r="F2629" s="1">
        <v>0</v>
      </c>
    </row>
    <row r="2630" spans="1:6" x14ac:dyDescent="0.3">
      <c r="A2630" t="str">
        <f>_xlfn.XLOOKUP(ColombiaClientes[[#This Row],[Client]],VpsClientes[Client],VpsClientes[VP],"",0)</f>
        <v>Moises Saavedra Garcia</v>
      </c>
      <c r="B2630" t="s">
        <v>99</v>
      </c>
      <c r="C2630" t="s">
        <v>205</v>
      </c>
      <c r="D2630" t="s">
        <v>219</v>
      </c>
      <c r="E2630" t="s">
        <v>206</v>
      </c>
      <c r="F2630" s="1">
        <v>28083</v>
      </c>
    </row>
    <row r="2631" spans="1:6" x14ac:dyDescent="0.3">
      <c r="A2631" t="str">
        <f>_xlfn.XLOOKUP(ColombiaClientes[[#This Row],[Client]],VpsClientes[Client],VpsClientes[VP],"",0)</f>
        <v>Martha Guzman Arango</v>
      </c>
      <c r="B2631" t="s">
        <v>98</v>
      </c>
      <c r="C2631" t="s">
        <v>205</v>
      </c>
      <c r="D2631" t="s">
        <v>219</v>
      </c>
      <c r="E2631" t="s">
        <v>206</v>
      </c>
      <c r="F2631" s="1">
        <v>18188</v>
      </c>
    </row>
    <row r="2632" spans="1:6" x14ac:dyDescent="0.3">
      <c r="A2632" t="str">
        <f>_xlfn.XLOOKUP(ColombiaClientes[[#This Row],[Client]],VpsClientes[Client],VpsClientes[VP],"",0)</f>
        <v>Martha Guzman Arango</v>
      </c>
      <c r="B2632" t="s">
        <v>96</v>
      </c>
      <c r="C2632" t="s">
        <v>205</v>
      </c>
      <c r="D2632" t="s">
        <v>219</v>
      </c>
      <c r="E2632" t="s">
        <v>206</v>
      </c>
      <c r="F2632" s="1">
        <v>17494</v>
      </c>
    </row>
    <row r="2633" spans="1:6" x14ac:dyDescent="0.3">
      <c r="A2633" t="str">
        <f>_xlfn.XLOOKUP(ColombiaClientes[[#This Row],[Client]],VpsClientes[Client],VpsClientes[VP],"",0)</f>
        <v>Jhonatan Izquierdo Rico</v>
      </c>
      <c r="B2633" t="s">
        <v>128</v>
      </c>
      <c r="C2633" t="s">
        <v>205</v>
      </c>
      <c r="D2633" t="s">
        <v>219</v>
      </c>
      <c r="E2633" t="s">
        <v>206</v>
      </c>
      <c r="F2633" s="1">
        <v>14954</v>
      </c>
    </row>
    <row r="2634" spans="1:6" x14ac:dyDescent="0.3">
      <c r="A2634" t="str">
        <f>_xlfn.XLOOKUP(ColombiaClientes[[#This Row],[Client]],VpsClientes[Client],VpsClientes[VP],"",0)</f>
        <v>Carlos Beltran Hernandez</v>
      </c>
      <c r="B2634" t="s">
        <v>94</v>
      </c>
      <c r="C2634" t="s">
        <v>205</v>
      </c>
      <c r="D2634" t="s">
        <v>219</v>
      </c>
      <c r="E2634" t="s">
        <v>206</v>
      </c>
      <c r="F2634" s="1">
        <v>5788</v>
      </c>
    </row>
    <row r="2635" spans="1:6" x14ac:dyDescent="0.3">
      <c r="A2635" t="str">
        <f>_xlfn.XLOOKUP(ColombiaClientes[[#This Row],[Client]],VpsClientes[Client],VpsClientes[VP],"",0)</f>
        <v>Carlos Beltran Hernandez</v>
      </c>
      <c r="B2635" t="s">
        <v>93</v>
      </c>
      <c r="C2635" t="s">
        <v>205</v>
      </c>
      <c r="D2635" t="s">
        <v>219</v>
      </c>
      <c r="E2635" t="s">
        <v>206</v>
      </c>
      <c r="F2635" s="1">
        <v>5507</v>
      </c>
    </row>
    <row r="2636" spans="1:6" x14ac:dyDescent="0.3">
      <c r="A2636" t="str">
        <f>_xlfn.XLOOKUP(ColombiaClientes[[#This Row],[Client]],VpsClientes[Client],VpsClientes[VP],"",0)</f>
        <v>Carlos Beltran Hernandez</v>
      </c>
      <c r="B2636" t="s">
        <v>102</v>
      </c>
      <c r="C2636" t="s">
        <v>205</v>
      </c>
      <c r="D2636" t="s">
        <v>219</v>
      </c>
      <c r="E2636" t="s">
        <v>206</v>
      </c>
      <c r="F2636" s="1">
        <v>4484</v>
      </c>
    </row>
    <row r="2637" spans="1:6" x14ac:dyDescent="0.3">
      <c r="A2637" t="str">
        <f>_xlfn.XLOOKUP(ColombiaClientes[[#This Row],[Client]],VpsClientes[Client],VpsClientes[VP],"",0)</f>
        <v>Martha Guzman Arango</v>
      </c>
      <c r="B2637" t="s">
        <v>97</v>
      </c>
      <c r="C2637" t="s">
        <v>205</v>
      </c>
      <c r="D2637" t="s">
        <v>219</v>
      </c>
      <c r="E2637" t="s">
        <v>206</v>
      </c>
      <c r="F2637" s="1">
        <v>3668</v>
      </c>
    </row>
    <row r="2638" spans="1:6" x14ac:dyDescent="0.3">
      <c r="A2638" t="str">
        <f>_xlfn.XLOOKUP(ColombiaClientes[[#This Row],[Client]],VpsClientes[Client],VpsClientes[VP],"",0)</f>
        <v>Martha Guzman Arango</v>
      </c>
      <c r="B2638" t="s">
        <v>103</v>
      </c>
      <c r="C2638" t="s">
        <v>205</v>
      </c>
      <c r="D2638" t="s">
        <v>219</v>
      </c>
      <c r="E2638" t="s">
        <v>206</v>
      </c>
      <c r="F2638" s="1">
        <v>3653</v>
      </c>
    </row>
    <row r="2639" spans="1:6" x14ac:dyDescent="0.3">
      <c r="A2639" t="str">
        <f>_xlfn.XLOOKUP(ColombiaClientes[[#This Row],[Client]],VpsClientes[Client],VpsClientes[VP],"",0)</f>
        <v>Martha Guzman Arango</v>
      </c>
      <c r="B2639" t="s">
        <v>100</v>
      </c>
      <c r="C2639" t="s">
        <v>205</v>
      </c>
      <c r="D2639" t="s">
        <v>219</v>
      </c>
      <c r="E2639" t="s">
        <v>206</v>
      </c>
      <c r="F2639" s="1">
        <v>3572</v>
      </c>
    </row>
    <row r="2640" spans="1:6" x14ac:dyDescent="0.3">
      <c r="A2640" t="str">
        <f>_xlfn.XLOOKUP(ColombiaClientes[[#This Row],[Client]],VpsClientes[Client],VpsClientes[VP],"",0)</f>
        <v>Jhonatan Izquierdo Rico</v>
      </c>
      <c r="B2640" t="s">
        <v>112</v>
      </c>
      <c r="C2640" t="s">
        <v>205</v>
      </c>
      <c r="D2640" t="s">
        <v>219</v>
      </c>
      <c r="E2640" t="s">
        <v>206</v>
      </c>
      <c r="F2640" s="1">
        <v>3488</v>
      </c>
    </row>
    <row r="2641" spans="1:6" x14ac:dyDescent="0.3">
      <c r="A2641" t="str">
        <f>_xlfn.XLOOKUP(ColombiaClientes[[#This Row],[Client]],VpsClientes[Client],VpsClientes[VP],"",0)</f>
        <v>Moises Saavedra Garcia</v>
      </c>
      <c r="B2641" t="s">
        <v>115</v>
      </c>
      <c r="C2641" t="s">
        <v>205</v>
      </c>
      <c r="D2641" t="s">
        <v>219</v>
      </c>
      <c r="E2641" t="s">
        <v>206</v>
      </c>
      <c r="F2641" s="1">
        <v>2703</v>
      </c>
    </row>
    <row r="2642" spans="1:6" x14ac:dyDescent="0.3">
      <c r="A2642" t="str">
        <f>_xlfn.XLOOKUP(ColombiaClientes[[#This Row],[Client]],VpsClientes[Client],VpsClientes[VP],"",0)</f>
        <v>Martha Guzman Arango</v>
      </c>
      <c r="B2642" t="s">
        <v>185</v>
      </c>
      <c r="C2642" t="s">
        <v>205</v>
      </c>
      <c r="D2642" t="s">
        <v>219</v>
      </c>
      <c r="E2642" t="s">
        <v>206</v>
      </c>
      <c r="F2642" s="1">
        <v>2657</v>
      </c>
    </row>
    <row r="2643" spans="1:6" x14ac:dyDescent="0.3">
      <c r="A2643" t="str">
        <f>_xlfn.XLOOKUP(ColombiaClientes[[#This Row],[Client]],VpsClientes[Client],VpsClientes[VP],"",0)</f>
        <v>Maria Forero Jara</v>
      </c>
      <c r="B2643" t="s">
        <v>125</v>
      </c>
      <c r="C2643" t="s">
        <v>205</v>
      </c>
      <c r="D2643" t="s">
        <v>219</v>
      </c>
      <c r="E2643" t="s">
        <v>206</v>
      </c>
      <c r="F2643" s="1">
        <v>2644</v>
      </c>
    </row>
    <row r="2644" spans="1:6" x14ac:dyDescent="0.3">
      <c r="A2644" t="str">
        <f>_xlfn.XLOOKUP(ColombiaClientes[[#This Row],[Client]],VpsClientes[Client],VpsClientes[VP],"",0)</f>
        <v>Jhonatan Izquierdo Rico</v>
      </c>
      <c r="B2644" t="s">
        <v>126</v>
      </c>
      <c r="C2644" t="s">
        <v>205</v>
      </c>
      <c r="D2644" t="s">
        <v>219</v>
      </c>
      <c r="E2644" t="s">
        <v>206</v>
      </c>
      <c r="F2644" s="1">
        <v>1941</v>
      </c>
    </row>
    <row r="2645" spans="1:6" x14ac:dyDescent="0.3">
      <c r="A2645" t="str">
        <f>_xlfn.XLOOKUP(ColombiaClientes[[#This Row],[Client]],VpsClientes[Client],VpsClientes[VP],"",0)</f>
        <v>Hector Muraira Garza</v>
      </c>
      <c r="B2645" t="s">
        <v>140</v>
      </c>
      <c r="C2645" t="s">
        <v>205</v>
      </c>
      <c r="D2645" t="s">
        <v>219</v>
      </c>
      <c r="E2645" t="s">
        <v>206</v>
      </c>
      <c r="F2645" s="1">
        <v>1859</v>
      </c>
    </row>
    <row r="2646" spans="1:6" x14ac:dyDescent="0.3">
      <c r="A2646" t="str">
        <f>_xlfn.XLOOKUP(ColombiaClientes[[#This Row],[Client]],VpsClientes[Client],VpsClientes[VP],"",0)</f>
        <v>Jhonatan Izquierdo Rico</v>
      </c>
      <c r="B2646" t="s">
        <v>104</v>
      </c>
      <c r="C2646" t="s">
        <v>205</v>
      </c>
      <c r="D2646" t="s">
        <v>219</v>
      </c>
      <c r="E2646" t="s">
        <v>206</v>
      </c>
      <c r="F2646" s="1">
        <v>1645</v>
      </c>
    </row>
    <row r="2647" spans="1:6" x14ac:dyDescent="0.3">
      <c r="A2647" t="str">
        <f>_xlfn.XLOOKUP(ColombiaClientes[[#This Row],[Client]],VpsClientes[Client],VpsClientes[VP],"",0)</f>
        <v>Maria Forero Jara</v>
      </c>
      <c r="B2647" t="s">
        <v>139</v>
      </c>
      <c r="C2647" t="s">
        <v>205</v>
      </c>
      <c r="D2647" t="s">
        <v>219</v>
      </c>
      <c r="E2647" t="s">
        <v>206</v>
      </c>
      <c r="F2647" s="1">
        <v>1591</v>
      </c>
    </row>
    <row r="2648" spans="1:6" x14ac:dyDescent="0.3">
      <c r="A2648" t="str">
        <f>_xlfn.XLOOKUP(ColombiaClientes[[#This Row],[Client]],VpsClientes[Client],VpsClientes[VP],"",0)</f>
        <v>Maria Forero Jara</v>
      </c>
      <c r="B2648" t="s">
        <v>108</v>
      </c>
      <c r="C2648" t="s">
        <v>205</v>
      </c>
      <c r="D2648" t="s">
        <v>219</v>
      </c>
      <c r="E2648" t="s">
        <v>206</v>
      </c>
      <c r="F2648" s="1">
        <v>1585</v>
      </c>
    </row>
    <row r="2649" spans="1:6" x14ac:dyDescent="0.3">
      <c r="A2649" t="str">
        <f>_xlfn.XLOOKUP(ColombiaClientes[[#This Row],[Client]],VpsClientes[Client],VpsClientes[VP],"",0)</f>
        <v>Sandra Romero Zuluaga</v>
      </c>
      <c r="B2649" t="s">
        <v>113</v>
      </c>
      <c r="C2649" t="s">
        <v>205</v>
      </c>
      <c r="D2649" t="s">
        <v>219</v>
      </c>
      <c r="E2649" t="s">
        <v>206</v>
      </c>
      <c r="F2649" s="1">
        <v>1537</v>
      </c>
    </row>
    <row r="2650" spans="1:6" x14ac:dyDescent="0.3">
      <c r="A2650" t="str">
        <f>_xlfn.XLOOKUP(ColombiaClientes[[#This Row],[Client]],VpsClientes[Client],VpsClientes[VP],"",0)</f>
        <v>Martha Guzman Arango</v>
      </c>
      <c r="B2650" t="s">
        <v>122</v>
      </c>
      <c r="C2650" t="s">
        <v>205</v>
      </c>
      <c r="D2650" t="s">
        <v>219</v>
      </c>
      <c r="E2650" t="s">
        <v>206</v>
      </c>
      <c r="F2650" s="1">
        <v>1320</v>
      </c>
    </row>
    <row r="2651" spans="1:6" x14ac:dyDescent="0.3">
      <c r="A2651" t="str">
        <f>_xlfn.XLOOKUP(ColombiaClientes[[#This Row],[Client]],VpsClientes[Client],VpsClientes[VP],"",0)</f>
        <v>Martha Guzman Arango</v>
      </c>
      <c r="B2651" t="s">
        <v>114</v>
      </c>
      <c r="C2651" t="s">
        <v>205</v>
      </c>
      <c r="D2651" t="s">
        <v>219</v>
      </c>
      <c r="E2651" t="s">
        <v>206</v>
      </c>
      <c r="F2651" s="1">
        <v>1093</v>
      </c>
    </row>
    <row r="2652" spans="1:6" x14ac:dyDescent="0.3">
      <c r="A2652" t="str">
        <f>_xlfn.XLOOKUP(ColombiaClientes[[#This Row],[Client]],VpsClientes[Client],VpsClientes[VP],"",0)</f>
        <v>Maria Forero Jara</v>
      </c>
      <c r="B2652" t="s">
        <v>101</v>
      </c>
      <c r="C2652" t="s">
        <v>205</v>
      </c>
      <c r="D2652" t="s">
        <v>219</v>
      </c>
      <c r="E2652" t="s">
        <v>206</v>
      </c>
      <c r="F2652" s="1">
        <v>1043</v>
      </c>
    </row>
    <row r="2653" spans="1:6" x14ac:dyDescent="0.3">
      <c r="A2653" t="str">
        <f>_xlfn.XLOOKUP(ColombiaClientes[[#This Row],[Client]],VpsClientes[Client],VpsClientes[VP],"",0)</f>
        <v>Martha Guzman Arango</v>
      </c>
      <c r="B2653" t="s">
        <v>145</v>
      </c>
      <c r="C2653" t="s">
        <v>205</v>
      </c>
      <c r="D2653" t="s">
        <v>219</v>
      </c>
      <c r="E2653" t="s">
        <v>206</v>
      </c>
      <c r="F2653" s="1">
        <v>1010</v>
      </c>
    </row>
    <row r="2654" spans="1:6" x14ac:dyDescent="0.3">
      <c r="A2654" t="str">
        <f>_xlfn.XLOOKUP(ColombiaClientes[[#This Row],[Client]],VpsClientes[Client],VpsClientes[VP],"",0)</f>
        <v>Moises Saavedra Garcia</v>
      </c>
      <c r="B2654" t="s">
        <v>150</v>
      </c>
      <c r="C2654" t="s">
        <v>205</v>
      </c>
      <c r="D2654" t="s">
        <v>219</v>
      </c>
      <c r="E2654" t="s">
        <v>206</v>
      </c>
      <c r="F2654" s="1">
        <v>890</v>
      </c>
    </row>
    <row r="2655" spans="1:6" x14ac:dyDescent="0.3">
      <c r="A2655" t="str">
        <f>_xlfn.XLOOKUP(ColombiaClientes[[#This Row],[Client]],VpsClientes[Client],VpsClientes[VP],"",0)</f>
        <v>Martha Guzman Arango</v>
      </c>
      <c r="B2655" t="s">
        <v>124</v>
      </c>
      <c r="C2655" t="s">
        <v>205</v>
      </c>
      <c r="D2655" t="s">
        <v>219</v>
      </c>
      <c r="E2655" t="s">
        <v>206</v>
      </c>
      <c r="F2655" s="1">
        <v>846</v>
      </c>
    </row>
    <row r="2656" spans="1:6" x14ac:dyDescent="0.3">
      <c r="A2656" t="str">
        <f>_xlfn.XLOOKUP(ColombiaClientes[[#This Row],[Client]],VpsClientes[Client],VpsClientes[VP],"",0)</f>
        <v>Martha Guzman Arango</v>
      </c>
      <c r="B2656" t="s">
        <v>143</v>
      </c>
      <c r="C2656" t="s">
        <v>205</v>
      </c>
      <c r="D2656" t="s">
        <v>219</v>
      </c>
      <c r="E2656" t="s">
        <v>206</v>
      </c>
      <c r="F2656" s="1">
        <v>724</v>
      </c>
    </row>
    <row r="2657" spans="1:6" x14ac:dyDescent="0.3">
      <c r="A2657" t="str">
        <f>_xlfn.XLOOKUP(ColombiaClientes[[#This Row],[Client]],VpsClientes[Client],VpsClientes[VP],"",0)</f>
        <v>Maria Forero Jara</v>
      </c>
      <c r="B2657" t="s">
        <v>106</v>
      </c>
      <c r="C2657" t="s">
        <v>205</v>
      </c>
      <c r="D2657" t="s">
        <v>219</v>
      </c>
      <c r="E2657" t="s">
        <v>206</v>
      </c>
      <c r="F2657" s="1">
        <v>694</v>
      </c>
    </row>
    <row r="2658" spans="1:6" x14ac:dyDescent="0.3">
      <c r="A2658" t="str">
        <f>_xlfn.XLOOKUP(ColombiaClientes[[#This Row],[Client]],VpsClientes[Client],VpsClientes[VP],"",0)</f>
        <v>Martha Guzman Arango</v>
      </c>
      <c r="B2658" t="s">
        <v>118</v>
      </c>
      <c r="C2658" t="s">
        <v>205</v>
      </c>
      <c r="D2658" t="s">
        <v>219</v>
      </c>
      <c r="E2658" t="s">
        <v>206</v>
      </c>
      <c r="F2658" s="1">
        <v>688</v>
      </c>
    </row>
    <row r="2659" spans="1:6" x14ac:dyDescent="0.3">
      <c r="A2659" t="str">
        <f>_xlfn.XLOOKUP(ColombiaClientes[[#This Row],[Client]],VpsClientes[Client],VpsClientes[VP],"",0)</f>
        <v>Hector Muraira Garza</v>
      </c>
      <c r="B2659" t="s">
        <v>137</v>
      </c>
      <c r="C2659" t="s">
        <v>205</v>
      </c>
      <c r="D2659" t="s">
        <v>219</v>
      </c>
      <c r="E2659" t="s">
        <v>206</v>
      </c>
      <c r="F2659" s="1">
        <v>652</v>
      </c>
    </row>
    <row r="2660" spans="1:6" x14ac:dyDescent="0.3">
      <c r="A2660" t="str">
        <f>_xlfn.XLOOKUP(ColombiaClientes[[#This Row],[Client]],VpsClientes[Client],VpsClientes[VP],"",0)</f>
        <v>Martha Guzman Arango</v>
      </c>
      <c r="B2660" t="s">
        <v>109</v>
      </c>
      <c r="C2660" t="s">
        <v>205</v>
      </c>
      <c r="D2660" t="s">
        <v>219</v>
      </c>
      <c r="E2660" t="s">
        <v>206</v>
      </c>
      <c r="F2660" s="1">
        <v>577</v>
      </c>
    </row>
    <row r="2661" spans="1:6" x14ac:dyDescent="0.3">
      <c r="A2661" t="str">
        <f>_xlfn.XLOOKUP(ColombiaClientes[[#This Row],[Client]],VpsClientes[Client],VpsClientes[VP],"",0)</f>
        <v>Moises Saavedra Garcia</v>
      </c>
      <c r="B2661" t="s">
        <v>110</v>
      </c>
      <c r="C2661" t="s">
        <v>205</v>
      </c>
      <c r="D2661" t="s">
        <v>219</v>
      </c>
      <c r="E2661" t="s">
        <v>206</v>
      </c>
      <c r="F2661" s="1">
        <v>571</v>
      </c>
    </row>
    <row r="2662" spans="1:6" x14ac:dyDescent="0.3">
      <c r="A2662" t="str">
        <f>_xlfn.XLOOKUP(ColombiaClientes[[#This Row],[Client]],VpsClientes[Client],VpsClientes[VP],"",0)</f>
        <v>Martha Guzman Arango</v>
      </c>
      <c r="B2662" t="s">
        <v>148</v>
      </c>
      <c r="C2662" t="s">
        <v>205</v>
      </c>
      <c r="D2662" t="s">
        <v>219</v>
      </c>
      <c r="E2662" t="s">
        <v>206</v>
      </c>
      <c r="F2662" s="1">
        <v>513</v>
      </c>
    </row>
    <row r="2663" spans="1:6" x14ac:dyDescent="0.3">
      <c r="A2663" t="str">
        <f>_xlfn.XLOOKUP(ColombiaClientes[[#This Row],[Client]],VpsClientes[Client],VpsClientes[VP],"",0)</f>
        <v>Carlos Castillo Figueroa</v>
      </c>
      <c r="B2663" t="s">
        <v>105</v>
      </c>
      <c r="C2663" t="s">
        <v>205</v>
      </c>
      <c r="D2663" t="s">
        <v>219</v>
      </c>
      <c r="E2663" t="s">
        <v>206</v>
      </c>
      <c r="F2663" s="1">
        <v>512</v>
      </c>
    </row>
    <row r="2664" spans="1:6" x14ac:dyDescent="0.3">
      <c r="A2664" t="str">
        <f>_xlfn.XLOOKUP(ColombiaClientes[[#This Row],[Client]],VpsClientes[Client],VpsClientes[VP],"",0)</f>
        <v>Martha Guzman Arango</v>
      </c>
      <c r="B2664" t="s">
        <v>153</v>
      </c>
      <c r="C2664" t="s">
        <v>205</v>
      </c>
      <c r="D2664" t="s">
        <v>219</v>
      </c>
      <c r="E2664" t="s">
        <v>206</v>
      </c>
      <c r="F2664" s="1">
        <v>465</v>
      </c>
    </row>
    <row r="2665" spans="1:6" x14ac:dyDescent="0.3">
      <c r="A2665" t="str">
        <f>_xlfn.XLOOKUP(ColombiaClientes[[#This Row],[Client]],VpsClientes[Client],VpsClientes[VP],"",0)</f>
        <v>Juan Granados Castillo</v>
      </c>
      <c r="B2665" t="s">
        <v>136</v>
      </c>
      <c r="C2665" t="s">
        <v>205</v>
      </c>
      <c r="D2665" t="s">
        <v>219</v>
      </c>
      <c r="E2665" t="s">
        <v>206</v>
      </c>
      <c r="F2665" s="1">
        <v>414</v>
      </c>
    </row>
    <row r="2666" spans="1:6" x14ac:dyDescent="0.3">
      <c r="A2666" t="str">
        <f>_xlfn.XLOOKUP(ColombiaClientes[[#This Row],[Client]],VpsClientes[Client],VpsClientes[VP],"",0)</f>
        <v>Martha Guzman Arango</v>
      </c>
      <c r="B2666" t="s">
        <v>135</v>
      </c>
      <c r="C2666" t="s">
        <v>205</v>
      </c>
      <c r="D2666" t="s">
        <v>219</v>
      </c>
      <c r="E2666" t="s">
        <v>206</v>
      </c>
      <c r="F2666" s="1">
        <v>316</v>
      </c>
    </row>
    <row r="2667" spans="1:6" x14ac:dyDescent="0.3">
      <c r="A2667" t="str">
        <f>_xlfn.XLOOKUP(ColombiaClientes[[#This Row],[Client]],VpsClientes[Client],VpsClientes[VP],"",0)</f>
        <v>Maria Forero Jara</v>
      </c>
      <c r="B2667" t="s">
        <v>123</v>
      </c>
      <c r="C2667" t="s">
        <v>205</v>
      </c>
      <c r="D2667" t="s">
        <v>219</v>
      </c>
      <c r="E2667" t="s">
        <v>206</v>
      </c>
      <c r="F2667" s="1">
        <v>308</v>
      </c>
    </row>
    <row r="2668" spans="1:6" x14ac:dyDescent="0.3">
      <c r="A2668" t="str">
        <f>_xlfn.XLOOKUP(ColombiaClientes[[#This Row],[Client]],VpsClientes[Client],VpsClientes[VP],"",0)</f>
        <v>Ludy Torres Benitez</v>
      </c>
      <c r="B2668" t="s">
        <v>95</v>
      </c>
      <c r="C2668" t="s">
        <v>205</v>
      </c>
      <c r="D2668" t="s">
        <v>219</v>
      </c>
      <c r="E2668" t="s">
        <v>206</v>
      </c>
      <c r="F2668" s="1">
        <v>292</v>
      </c>
    </row>
    <row r="2669" spans="1:6" x14ac:dyDescent="0.3">
      <c r="A2669" t="str">
        <f>_xlfn.XLOOKUP(ColombiaClientes[[#This Row],[Client]],VpsClientes[Client],VpsClientes[VP],"",0)</f>
        <v>Martha Guzman Arango</v>
      </c>
      <c r="B2669" t="s">
        <v>152</v>
      </c>
      <c r="C2669" t="s">
        <v>205</v>
      </c>
      <c r="D2669" t="s">
        <v>219</v>
      </c>
      <c r="E2669" t="s">
        <v>206</v>
      </c>
      <c r="F2669" s="1">
        <v>234</v>
      </c>
    </row>
    <row r="2670" spans="1:6" x14ac:dyDescent="0.3">
      <c r="A2670" t="str">
        <f>_xlfn.XLOOKUP(ColombiaClientes[[#This Row],[Client]],VpsClientes[Client],VpsClientes[VP],"",0)</f>
        <v>Martha Guzman Arango</v>
      </c>
      <c r="B2670" t="s">
        <v>174</v>
      </c>
      <c r="C2670" t="s">
        <v>205</v>
      </c>
      <c r="D2670" t="s">
        <v>219</v>
      </c>
      <c r="E2670" t="s">
        <v>206</v>
      </c>
      <c r="F2670" s="1">
        <v>216</v>
      </c>
    </row>
    <row r="2671" spans="1:6" x14ac:dyDescent="0.3">
      <c r="A2671" t="str">
        <f>_xlfn.XLOOKUP(ColombiaClientes[[#This Row],[Client]],VpsClientes[Client],VpsClientes[VP],"",0)</f>
        <v>Martha Guzman Arango</v>
      </c>
      <c r="B2671" t="s">
        <v>146</v>
      </c>
      <c r="C2671" t="s">
        <v>205</v>
      </c>
      <c r="D2671" t="s">
        <v>219</v>
      </c>
      <c r="E2671" t="s">
        <v>206</v>
      </c>
      <c r="F2671" s="1">
        <v>215</v>
      </c>
    </row>
    <row r="2672" spans="1:6" x14ac:dyDescent="0.3">
      <c r="A2672" t="str">
        <f>_xlfn.XLOOKUP(ColombiaClientes[[#This Row],[Client]],VpsClientes[Client],VpsClientes[VP],"",0)</f>
        <v>Jhonatan Izquierdo Rico</v>
      </c>
      <c r="B2672" t="s">
        <v>107</v>
      </c>
      <c r="C2672" t="s">
        <v>205</v>
      </c>
      <c r="D2672" t="s">
        <v>219</v>
      </c>
      <c r="E2672" t="s">
        <v>206</v>
      </c>
      <c r="F2672" s="1">
        <v>213</v>
      </c>
    </row>
    <row r="2673" spans="1:6" x14ac:dyDescent="0.3">
      <c r="A2673" t="str">
        <f>_xlfn.XLOOKUP(ColombiaClientes[[#This Row],[Client]],VpsClientes[Client],VpsClientes[VP],"",0)</f>
        <v>Moises Saavedra Garcia</v>
      </c>
      <c r="B2673" t="s">
        <v>172</v>
      </c>
      <c r="C2673" t="s">
        <v>205</v>
      </c>
      <c r="D2673" t="s">
        <v>219</v>
      </c>
      <c r="E2673" t="s">
        <v>206</v>
      </c>
      <c r="F2673" s="1">
        <v>201</v>
      </c>
    </row>
    <row r="2674" spans="1:6" x14ac:dyDescent="0.3">
      <c r="A2674" t="str">
        <f>_xlfn.XLOOKUP(ColombiaClientes[[#This Row],[Client]],VpsClientes[Client],VpsClientes[VP],"",0)</f>
        <v>Martha Guzman Arango</v>
      </c>
      <c r="B2674" t="s">
        <v>165</v>
      </c>
      <c r="C2674" t="s">
        <v>205</v>
      </c>
      <c r="D2674" t="s">
        <v>219</v>
      </c>
      <c r="E2674" t="s">
        <v>206</v>
      </c>
      <c r="F2674" s="1">
        <v>194</v>
      </c>
    </row>
    <row r="2675" spans="1:6" x14ac:dyDescent="0.3">
      <c r="A2675" t="str">
        <f>_xlfn.XLOOKUP(ColombiaClientes[[#This Row],[Client]],VpsClientes[Client],VpsClientes[VP],"",0)</f>
        <v>Hector Muraira Garza</v>
      </c>
      <c r="B2675" t="s">
        <v>154</v>
      </c>
      <c r="C2675" t="s">
        <v>205</v>
      </c>
      <c r="D2675" t="s">
        <v>219</v>
      </c>
      <c r="E2675" t="s">
        <v>206</v>
      </c>
      <c r="F2675" s="1">
        <v>177</v>
      </c>
    </row>
    <row r="2676" spans="1:6" x14ac:dyDescent="0.3">
      <c r="A2676" t="str">
        <f>_xlfn.XLOOKUP(ColombiaClientes[[#This Row],[Client]],VpsClientes[Client],VpsClientes[VP],"",0)</f>
        <v>Maria Forero Jara</v>
      </c>
      <c r="B2676" t="s">
        <v>144</v>
      </c>
      <c r="C2676" t="s">
        <v>205</v>
      </c>
      <c r="D2676" t="s">
        <v>219</v>
      </c>
      <c r="E2676" t="s">
        <v>206</v>
      </c>
      <c r="F2676" s="1">
        <v>167</v>
      </c>
    </row>
    <row r="2677" spans="1:6" x14ac:dyDescent="0.3">
      <c r="A2677" t="str">
        <f>_xlfn.XLOOKUP(ColombiaClientes[[#This Row],[Client]],VpsClientes[Client],VpsClientes[VP],"",0)</f>
        <v>Hector Muraira Garza</v>
      </c>
      <c r="B2677" t="s">
        <v>130</v>
      </c>
      <c r="C2677" t="s">
        <v>205</v>
      </c>
      <c r="D2677" t="s">
        <v>219</v>
      </c>
      <c r="E2677" t="s">
        <v>206</v>
      </c>
      <c r="F2677" s="1">
        <v>162</v>
      </c>
    </row>
    <row r="2678" spans="1:6" x14ac:dyDescent="0.3">
      <c r="A2678" t="str">
        <f>_xlfn.XLOOKUP(ColombiaClientes[[#This Row],[Client]],VpsClientes[Client],VpsClientes[VP],"",0)</f>
        <v>Martha Guzman Arango</v>
      </c>
      <c r="B2678" t="s">
        <v>156</v>
      </c>
      <c r="C2678" t="s">
        <v>205</v>
      </c>
      <c r="D2678" t="s">
        <v>219</v>
      </c>
      <c r="E2678" t="s">
        <v>206</v>
      </c>
      <c r="F2678" s="1">
        <v>150</v>
      </c>
    </row>
    <row r="2679" spans="1:6" x14ac:dyDescent="0.3">
      <c r="A2679" t="str">
        <f>_xlfn.XLOOKUP(ColombiaClientes[[#This Row],[Client]],VpsClientes[Client],VpsClientes[VP],"",0)</f>
        <v>Carlos Beltran Hernandez</v>
      </c>
      <c r="B2679" t="s">
        <v>119</v>
      </c>
      <c r="C2679" t="s">
        <v>205</v>
      </c>
      <c r="D2679" t="s">
        <v>219</v>
      </c>
      <c r="E2679" t="s">
        <v>206</v>
      </c>
      <c r="F2679" s="1">
        <v>129</v>
      </c>
    </row>
    <row r="2680" spans="1:6" x14ac:dyDescent="0.3">
      <c r="A2680" t="str">
        <f>_xlfn.XLOOKUP(ColombiaClientes[[#This Row],[Client]],VpsClientes[Client],VpsClientes[VP],"",0)</f>
        <v>Maria Forero Jara</v>
      </c>
      <c r="B2680" t="s">
        <v>111</v>
      </c>
      <c r="C2680" t="s">
        <v>205</v>
      </c>
      <c r="D2680" t="s">
        <v>219</v>
      </c>
      <c r="E2680" t="s">
        <v>206</v>
      </c>
      <c r="F2680" s="1">
        <v>112</v>
      </c>
    </row>
    <row r="2681" spans="1:6" x14ac:dyDescent="0.3">
      <c r="A2681" t="str">
        <f>_xlfn.XLOOKUP(ColombiaClientes[[#This Row],[Client]],VpsClientes[Client],VpsClientes[VP],"",0)</f>
        <v>Carlos Beltran Hernandez</v>
      </c>
      <c r="B2681" t="s">
        <v>173</v>
      </c>
      <c r="C2681" t="s">
        <v>205</v>
      </c>
      <c r="D2681" t="s">
        <v>219</v>
      </c>
      <c r="E2681" t="s">
        <v>206</v>
      </c>
      <c r="F2681" s="1">
        <v>107</v>
      </c>
    </row>
    <row r="2682" spans="1:6" x14ac:dyDescent="0.3">
      <c r="A2682" t="str">
        <f>_xlfn.XLOOKUP(ColombiaClientes[[#This Row],[Client]],VpsClientes[Client],VpsClientes[VP],"",0)</f>
        <v>Ernesto Rico Zuluaga</v>
      </c>
      <c r="B2682" t="s">
        <v>116</v>
      </c>
      <c r="C2682" t="s">
        <v>205</v>
      </c>
      <c r="D2682" t="s">
        <v>219</v>
      </c>
      <c r="E2682" t="s">
        <v>206</v>
      </c>
      <c r="F2682" s="1">
        <v>97</v>
      </c>
    </row>
    <row r="2683" spans="1:6" x14ac:dyDescent="0.3">
      <c r="A2683" t="str">
        <f>_xlfn.XLOOKUP(ColombiaClientes[[#This Row],[Client]],VpsClientes[Client],VpsClientes[VP],"",0)</f>
        <v>Martha Guzman Arango</v>
      </c>
      <c r="B2683" t="s">
        <v>166</v>
      </c>
      <c r="C2683" t="s">
        <v>205</v>
      </c>
      <c r="D2683" t="s">
        <v>219</v>
      </c>
      <c r="E2683" t="s">
        <v>206</v>
      </c>
      <c r="F2683" s="1">
        <v>97</v>
      </c>
    </row>
    <row r="2684" spans="1:6" x14ac:dyDescent="0.3">
      <c r="A2684" t="str">
        <f>_xlfn.XLOOKUP(ColombiaClientes[[#This Row],[Client]],VpsClientes[Client],VpsClientes[VP],"",0)</f>
        <v>Martha Guzman Arango</v>
      </c>
      <c r="B2684" t="s">
        <v>199</v>
      </c>
      <c r="C2684" t="s">
        <v>205</v>
      </c>
      <c r="D2684" t="s">
        <v>219</v>
      </c>
      <c r="E2684" t="s">
        <v>206</v>
      </c>
      <c r="F2684" s="1">
        <v>85</v>
      </c>
    </row>
    <row r="2685" spans="1:6" x14ac:dyDescent="0.3">
      <c r="A2685" t="str">
        <f>_xlfn.XLOOKUP(ColombiaClientes[[#This Row],[Client]],VpsClientes[Client],VpsClientes[VP],"",0)</f>
        <v>Maria Forero Jara</v>
      </c>
      <c r="B2685" t="s">
        <v>182</v>
      </c>
      <c r="C2685" t="s">
        <v>205</v>
      </c>
      <c r="D2685" t="s">
        <v>219</v>
      </c>
      <c r="E2685" t="s">
        <v>206</v>
      </c>
      <c r="F2685" s="1">
        <v>81</v>
      </c>
    </row>
    <row r="2686" spans="1:6" x14ac:dyDescent="0.3">
      <c r="A2686" t="str">
        <f>_xlfn.XLOOKUP(ColombiaClientes[[#This Row],[Client]],VpsClientes[Client],VpsClientes[VP],"",0)</f>
        <v>Moises Saavedra Garcia</v>
      </c>
      <c r="B2686" t="s">
        <v>120</v>
      </c>
      <c r="C2686" t="s">
        <v>205</v>
      </c>
      <c r="D2686" t="s">
        <v>219</v>
      </c>
      <c r="E2686" t="s">
        <v>206</v>
      </c>
      <c r="F2686" s="1">
        <v>79</v>
      </c>
    </row>
    <row r="2687" spans="1:6" x14ac:dyDescent="0.3">
      <c r="A2687" t="str">
        <f>_xlfn.XLOOKUP(ColombiaClientes[[#This Row],[Client]],VpsClientes[Client],VpsClientes[VP],"",0)</f>
        <v>Martha Guzman Arango</v>
      </c>
      <c r="B2687" t="s">
        <v>170</v>
      </c>
      <c r="C2687" t="s">
        <v>205</v>
      </c>
      <c r="D2687" t="s">
        <v>219</v>
      </c>
      <c r="E2687" t="s">
        <v>206</v>
      </c>
      <c r="F2687" s="1">
        <v>77</v>
      </c>
    </row>
    <row r="2688" spans="1:6" x14ac:dyDescent="0.3">
      <c r="A2688" t="str">
        <f>_xlfn.XLOOKUP(ColombiaClientes[[#This Row],[Client]],VpsClientes[Client],VpsClientes[VP],"",0)</f>
        <v>Martha Guzman Arango</v>
      </c>
      <c r="B2688" t="s">
        <v>186</v>
      </c>
      <c r="C2688" t="s">
        <v>205</v>
      </c>
      <c r="D2688" t="s">
        <v>219</v>
      </c>
      <c r="E2688" t="s">
        <v>206</v>
      </c>
      <c r="F2688" s="1">
        <v>61</v>
      </c>
    </row>
    <row r="2689" spans="1:6" x14ac:dyDescent="0.3">
      <c r="A2689" t="str">
        <f>_xlfn.XLOOKUP(ColombiaClientes[[#This Row],[Client]],VpsClientes[Client],VpsClientes[VP],"",0)</f>
        <v>Martha Guzman Arango</v>
      </c>
      <c r="B2689" t="s">
        <v>162</v>
      </c>
      <c r="C2689" t="s">
        <v>205</v>
      </c>
      <c r="D2689" t="s">
        <v>219</v>
      </c>
      <c r="E2689" t="s">
        <v>206</v>
      </c>
      <c r="F2689" s="1">
        <v>56</v>
      </c>
    </row>
    <row r="2690" spans="1:6" x14ac:dyDescent="0.3">
      <c r="A2690" t="str">
        <f>_xlfn.XLOOKUP(ColombiaClientes[[#This Row],[Client]],VpsClientes[Client],VpsClientes[VP],"",0)</f>
        <v>Martha Guzman Arango</v>
      </c>
      <c r="B2690" t="s">
        <v>168</v>
      </c>
      <c r="C2690" t="s">
        <v>205</v>
      </c>
      <c r="D2690" t="s">
        <v>219</v>
      </c>
      <c r="E2690" t="s">
        <v>206</v>
      </c>
      <c r="F2690" s="1">
        <v>45</v>
      </c>
    </row>
    <row r="2691" spans="1:6" x14ac:dyDescent="0.3">
      <c r="A2691" t="str">
        <f>_xlfn.XLOOKUP(ColombiaClientes[[#This Row],[Client]],VpsClientes[Client],VpsClientes[VP],"",0)</f>
        <v>Maria Forero Jara</v>
      </c>
      <c r="B2691" t="s">
        <v>198</v>
      </c>
      <c r="C2691" t="s">
        <v>205</v>
      </c>
      <c r="D2691" t="s">
        <v>219</v>
      </c>
      <c r="E2691" t="s">
        <v>206</v>
      </c>
      <c r="F2691" s="1">
        <v>43</v>
      </c>
    </row>
    <row r="2692" spans="1:6" x14ac:dyDescent="0.3">
      <c r="A2692" t="str">
        <f>_xlfn.XLOOKUP(ColombiaClientes[[#This Row],[Client]],VpsClientes[Client],VpsClientes[VP],"",0)</f>
        <v>Maria Forero Jara</v>
      </c>
      <c r="B2692" t="s">
        <v>179</v>
      </c>
      <c r="C2692" t="s">
        <v>205</v>
      </c>
      <c r="D2692" t="s">
        <v>219</v>
      </c>
      <c r="E2692" t="s">
        <v>206</v>
      </c>
      <c r="F2692" s="1">
        <v>42</v>
      </c>
    </row>
    <row r="2693" spans="1:6" x14ac:dyDescent="0.3">
      <c r="A2693" t="str">
        <f>_xlfn.XLOOKUP(ColombiaClientes[[#This Row],[Client]],VpsClientes[Client],VpsClientes[VP],"",0)</f>
        <v>Martha Guzman Arango</v>
      </c>
      <c r="B2693" t="s">
        <v>131</v>
      </c>
      <c r="C2693" t="s">
        <v>205</v>
      </c>
      <c r="D2693" t="s">
        <v>219</v>
      </c>
      <c r="E2693" t="s">
        <v>206</v>
      </c>
      <c r="F2693" s="1">
        <v>41</v>
      </c>
    </row>
    <row r="2694" spans="1:6" x14ac:dyDescent="0.3">
      <c r="A2694" t="str">
        <f>_xlfn.XLOOKUP(ColombiaClientes[[#This Row],[Client]],VpsClientes[Client],VpsClientes[VP],"",0)</f>
        <v>Martha Guzman Arango</v>
      </c>
      <c r="B2694" t="s">
        <v>171</v>
      </c>
      <c r="C2694" t="s">
        <v>205</v>
      </c>
      <c r="D2694" t="s">
        <v>219</v>
      </c>
      <c r="E2694" t="s">
        <v>206</v>
      </c>
      <c r="F2694" s="1">
        <v>39</v>
      </c>
    </row>
    <row r="2695" spans="1:6" x14ac:dyDescent="0.3">
      <c r="A2695" t="str">
        <f>_xlfn.XLOOKUP(ColombiaClientes[[#This Row],[Client]],VpsClientes[Client],VpsClientes[VP],"",0)</f>
        <v>Jhonatan Izquierdo Rico</v>
      </c>
      <c r="B2695" t="s">
        <v>157</v>
      </c>
      <c r="C2695" t="s">
        <v>205</v>
      </c>
      <c r="D2695" t="s">
        <v>219</v>
      </c>
      <c r="E2695" t="s">
        <v>206</v>
      </c>
      <c r="F2695" s="1">
        <v>39</v>
      </c>
    </row>
    <row r="2696" spans="1:6" x14ac:dyDescent="0.3">
      <c r="A2696" t="str">
        <f>_xlfn.XLOOKUP(ColombiaClientes[[#This Row],[Client]],VpsClientes[Client],VpsClientes[VP],"",0)</f>
        <v>Juan Granados Castillo</v>
      </c>
      <c r="B2696" t="s">
        <v>134</v>
      </c>
      <c r="C2696" t="s">
        <v>205</v>
      </c>
      <c r="D2696" t="s">
        <v>219</v>
      </c>
      <c r="E2696" t="s">
        <v>206</v>
      </c>
      <c r="F2696" s="1">
        <v>34</v>
      </c>
    </row>
    <row r="2697" spans="1:6" x14ac:dyDescent="0.3">
      <c r="A2697" t="str">
        <f>_xlfn.XLOOKUP(ColombiaClientes[[#This Row],[Client]],VpsClientes[Client],VpsClientes[VP],"",0)</f>
        <v>Juan Granados Castillo</v>
      </c>
      <c r="B2697" t="s">
        <v>142</v>
      </c>
      <c r="C2697" t="s">
        <v>205</v>
      </c>
      <c r="D2697" t="s">
        <v>219</v>
      </c>
      <c r="E2697" t="s">
        <v>206</v>
      </c>
      <c r="F2697" s="1">
        <v>28</v>
      </c>
    </row>
    <row r="2698" spans="1:6" x14ac:dyDescent="0.3">
      <c r="A2698" t="str">
        <f>_xlfn.XLOOKUP(ColombiaClientes[[#This Row],[Client]],VpsClientes[Client],VpsClientes[VP],"",0)</f>
        <v>Martha Guzman Arango</v>
      </c>
      <c r="B2698" t="s">
        <v>169</v>
      </c>
      <c r="C2698" t="s">
        <v>205</v>
      </c>
      <c r="D2698" t="s">
        <v>219</v>
      </c>
      <c r="E2698" t="s">
        <v>206</v>
      </c>
      <c r="F2698" s="1">
        <v>24</v>
      </c>
    </row>
    <row r="2699" spans="1:6" x14ac:dyDescent="0.3">
      <c r="A2699" t="str">
        <f>_xlfn.XLOOKUP(ColombiaClientes[[#This Row],[Client]],VpsClientes[Client],VpsClientes[VP],"",0)</f>
        <v>Jhonatan Izquierdo Rico</v>
      </c>
      <c r="B2699" t="s">
        <v>117</v>
      </c>
      <c r="C2699" t="s">
        <v>205</v>
      </c>
      <c r="D2699" t="s">
        <v>219</v>
      </c>
      <c r="E2699" t="s">
        <v>206</v>
      </c>
      <c r="F2699" s="1">
        <v>23</v>
      </c>
    </row>
    <row r="2700" spans="1:6" x14ac:dyDescent="0.3">
      <c r="A2700" t="str">
        <f>_xlfn.XLOOKUP(ColombiaClientes[[#This Row],[Client]],VpsClientes[Client],VpsClientes[VP],"",0)</f>
        <v>Martha Guzman Arango</v>
      </c>
      <c r="B2700" t="s">
        <v>176</v>
      </c>
      <c r="C2700" t="s">
        <v>205</v>
      </c>
      <c r="D2700" t="s">
        <v>219</v>
      </c>
      <c r="E2700" t="s">
        <v>206</v>
      </c>
      <c r="F2700" s="1">
        <v>16</v>
      </c>
    </row>
    <row r="2701" spans="1:6" x14ac:dyDescent="0.3">
      <c r="A2701" t="str">
        <f>_xlfn.XLOOKUP(ColombiaClientes[[#This Row],[Client]],VpsClientes[Client],VpsClientes[VP],"",0)</f>
        <v>Hector Muraira Garza</v>
      </c>
      <c r="B2701" t="s">
        <v>164</v>
      </c>
      <c r="C2701" t="s">
        <v>205</v>
      </c>
      <c r="D2701" t="s">
        <v>219</v>
      </c>
      <c r="E2701" t="s">
        <v>206</v>
      </c>
      <c r="F2701" s="1">
        <v>14</v>
      </c>
    </row>
    <row r="2702" spans="1:6" x14ac:dyDescent="0.3">
      <c r="A2702" t="str">
        <f>_xlfn.XLOOKUP(ColombiaClientes[[#This Row],[Client]],VpsClientes[Client],VpsClientes[VP],"",0)</f>
        <v>Martha Guzman Arango</v>
      </c>
      <c r="B2702" t="s">
        <v>155</v>
      </c>
      <c r="C2702" t="s">
        <v>205</v>
      </c>
      <c r="D2702" t="s">
        <v>219</v>
      </c>
      <c r="E2702" t="s">
        <v>206</v>
      </c>
      <c r="F2702" s="1">
        <v>12</v>
      </c>
    </row>
    <row r="2703" spans="1:6" x14ac:dyDescent="0.3">
      <c r="A2703" t="str">
        <f>_xlfn.XLOOKUP(ColombiaClientes[[#This Row],[Client]],VpsClientes[Client],VpsClientes[VP],"",0)</f>
        <v>Martha Guzman Arango</v>
      </c>
      <c r="B2703" t="s">
        <v>183</v>
      </c>
      <c r="C2703" t="s">
        <v>205</v>
      </c>
      <c r="D2703" t="s">
        <v>219</v>
      </c>
      <c r="E2703" t="s">
        <v>206</v>
      </c>
      <c r="F2703" s="1">
        <v>11</v>
      </c>
    </row>
    <row r="2704" spans="1:6" x14ac:dyDescent="0.3">
      <c r="A2704" t="str">
        <f>_xlfn.XLOOKUP(ColombiaClientes[[#This Row],[Client]],VpsClientes[Client],VpsClientes[VP],"",0)</f>
        <v>Martha Guzman Arango</v>
      </c>
      <c r="B2704" t="s">
        <v>180</v>
      </c>
      <c r="C2704" t="s">
        <v>205</v>
      </c>
      <c r="D2704" t="s">
        <v>219</v>
      </c>
      <c r="E2704" t="s">
        <v>206</v>
      </c>
      <c r="F2704" s="1">
        <v>11</v>
      </c>
    </row>
    <row r="2705" spans="1:6" x14ac:dyDescent="0.3">
      <c r="A2705" t="str">
        <f>_xlfn.XLOOKUP(ColombiaClientes[[#This Row],[Client]],VpsClientes[Client],VpsClientes[VP],"",0)</f>
        <v>Carlos Beltran Hernandez</v>
      </c>
      <c r="B2705" t="s">
        <v>151</v>
      </c>
      <c r="C2705" t="s">
        <v>205</v>
      </c>
      <c r="D2705" t="s">
        <v>219</v>
      </c>
      <c r="E2705" t="s">
        <v>206</v>
      </c>
      <c r="F2705" s="1">
        <v>10</v>
      </c>
    </row>
    <row r="2706" spans="1:6" x14ac:dyDescent="0.3">
      <c r="A2706" t="str">
        <f>_xlfn.XLOOKUP(ColombiaClientes[[#This Row],[Client]],VpsClientes[Client],VpsClientes[VP],"",0)</f>
        <v>Maria Forero Jara</v>
      </c>
      <c r="B2706" t="s">
        <v>161</v>
      </c>
      <c r="C2706" t="s">
        <v>205</v>
      </c>
      <c r="D2706" t="s">
        <v>219</v>
      </c>
      <c r="E2706" t="s">
        <v>206</v>
      </c>
      <c r="F2706" s="1">
        <v>10</v>
      </c>
    </row>
    <row r="2707" spans="1:6" x14ac:dyDescent="0.3">
      <c r="A2707" t="str">
        <f>_xlfn.XLOOKUP(ColombiaClientes[[#This Row],[Client]],VpsClientes[Client],VpsClientes[VP],"",0)</f>
        <v>Jhonatan Izquierdo Rico</v>
      </c>
      <c r="B2707" t="s">
        <v>197</v>
      </c>
      <c r="C2707" t="s">
        <v>205</v>
      </c>
      <c r="D2707" t="s">
        <v>219</v>
      </c>
      <c r="E2707" t="s">
        <v>206</v>
      </c>
      <c r="F2707" s="1">
        <v>8</v>
      </c>
    </row>
    <row r="2708" spans="1:6" x14ac:dyDescent="0.3">
      <c r="A2708" t="str">
        <f>_xlfn.XLOOKUP(ColombiaClientes[[#This Row],[Client]],VpsClientes[Client],VpsClientes[VP],"",0)</f>
        <v>Claudia Alvarez Pereira</v>
      </c>
      <c r="B2708" t="s">
        <v>127</v>
      </c>
      <c r="C2708" t="s">
        <v>191</v>
      </c>
      <c r="D2708" t="s">
        <v>90</v>
      </c>
      <c r="E2708" t="s">
        <v>206</v>
      </c>
      <c r="F2708" s="1">
        <v>43</v>
      </c>
    </row>
    <row r="2709" spans="1:6" x14ac:dyDescent="0.3">
      <c r="A2709" t="str">
        <f>_xlfn.XLOOKUP(ColombiaClientes[[#This Row],[Client]],VpsClientes[Client],VpsClientes[VP],"",0)</f>
        <v>Ernesto Rico Zuluaga</v>
      </c>
      <c r="B2709" t="s">
        <v>121</v>
      </c>
      <c r="C2709" t="s">
        <v>205</v>
      </c>
      <c r="D2709" t="s">
        <v>219</v>
      </c>
      <c r="E2709" t="s">
        <v>206</v>
      </c>
      <c r="F2709" s="1">
        <v>7</v>
      </c>
    </row>
    <row r="2710" spans="1:6" x14ac:dyDescent="0.3">
      <c r="A2710" t="str">
        <f>_xlfn.XLOOKUP(ColombiaClientes[[#This Row],[Client]],VpsClientes[Client],VpsClientes[VP],"",0)</f>
        <v>Maria Forero Jara</v>
      </c>
      <c r="B2710" t="s">
        <v>163</v>
      </c>
      <c r="C2710" t="s">
        <v>205</v>
      </c>
      <c r="D2710" t="s">
        <v>219</v>
      </c>
      <c r="E2710" t="s">
        <v>206</v>
      </c>
      <c r="F2710" s="1">
        <v>7</v>
      </c>
    </row>
    <row r="2711" spans="1:6" x14ac:dyDescent="0.3">
      <c r="A2711" t="str">
        <f>_xlfn.XLOOKUP(ColombiaClientes[[#This Row],[Client]],VpsClientes[Client],VpsClientes[VP],"",0)</f>
        <v>Jhonatan Izquierdo Rico</v>
      </c>
      <c r="B2711" t="s">
        <v>138</v>
      </c>
      <c r="C2711" t="s">
        <v>205</v>
      </c>
      <c r="D2711" t="s">
        <v>219</v>
      </c>
      <c r="E2711" t="s">
        <v>206</v>
      </c>
      <c r="F2711" s="1">
        <v>6</v>
      </c>
    </row>
    <row r="2712" spans="1:6" x14ac:dyDescent="0.3">
      <c r="A2712" t="str">
        <f>_xlfn.XLOOKUP(ColombiaClientes[[#This Row],[Client]],VpsClientes[Client],VpsClientes[VP],"",0)</f>
        <v>Carlos Beltran Hernandez</v>
      </c>
      <c r="B2712" t="s">
        <v>158</v>
      </c>
      <c r="C2712" t="s">
        <v>205</v>
      </c>
      <c r="D2712" t="s">
        <v>219</v>
      </c>
      <c r="E2712" t="s">
        <v>206</v>
      </c>
      <c r="F2712" s="1">
        <v>6</v>
      </c>
    </row>
    <row r="2713" spans="1:6" x14ac:dyDescent="0.3">
      <c r="A2713" t="str">
        <f>_xlfn.XLOOKUP(ColombiaClientes[[#This Row],[Client]],VpsClientes[Client],VpsClientes[VP],"",0)</f>
        <v>Jhonatan Izquierdo Rico</v>
      </c>
      <c r="B2713" t="s">
        <v>196</v>
      </c>
      <c r="C2713" t="s">
        <v>205</v>
      </c>
      <c r="D2713" t="s">
        <v>219</v>
      </c>
      <c r="E2713" t="s">
        <v>206</v>
      </c>
      <c r="F2713" s="1">
        <v>2</v>
      </c>
    </row>
    <row r="2714" spans="1:6" x14ac:dyDescent="0.3">
      <c r="A2714" t="str">
        <f>_xlfn.XLOOKUP(ColombiaClientes[[#This Row],[Client]],VpsClientes[Client],VpsClientes[VP],"",0)</f>
        <v>Moises Saavedra Garcia</v>
      </c>
      <c r="B2714" t="s">
        <v>175</v>
      </c>
      <c r="C2714" t="s">
        <v>205</v>
      </c>
      <c r="D2714" t="s">
        <v>219</v>
      </c>
      <c r="E2714" t="s">
        <v>206</v>
      </c>
      <c r="F2714" s="1">
        <v>2</v>
      </c>
    </row>
    <row r="2715" spans="1:6" x14ac:dyDescent="0.3">
      <c r="A2715" t="str">
        <f>_xlfn.XLOOKUP(ColombiaClientes[[#This Row],[Client]],VpsClientes[Client],VpsClientes[VP],"",0)</f>
        <v>Moises Saavedra Garcia</v>
      </c>
      <c r="B2715" t="s">
        <v>187</v>
      </c>
      <c r="C2715" t="s">
        <v>205</v>
      </c>
      <c r="D2715" t="s">
        <v>219</v>
      </c>
      <c r="E2715" t="s">
        <v>206</v>
      </c>
      <c r="F2715" s="1">
        <v>1</v>
      </c>
    </row>
    <row r="2716" spans="1:6" x14ac:dyDescent="0.3">
      <c r="A2716" t="str">
        <f>_xlfn.XLOOKUP(ColombiaClientes[[#This Row],[Client]],VpsClientes[Client],VpsClientes[VP],"",0)</f>
        <v>Martha Guzman Arango</v>
      </c>
      <c r="B2716" t="s">
        <v>188</v>
      </c>
      <c r="C2716" t="s">
        <v>205</v>
      </c>
      <c r="D2716" t="s">
        <v>219</v>
      </c>
      <c r="E2716" t="s">
        <v>206</v>
      </c>
      <c r="F2716" s="1">
        <v>0</v>
      </c>
    </row>
    <row r="2717" spans="1:6" x14ac:dyDescent="0.3">
      <c r="A2717" t="str">
        <f>_xlfn.XLOOKUP(ColombiaClientes[[#This Row],[Client]],VpsClientes[Client],VpsClientes[VP],"",0)</f>
        <v>Moises Saavedra Garcia</v>
      </c>
      <c r="B2717" t="s">
        <v>207</v>
      </c>
      <c r="C2717" t="s">
        <v>205</v>
      </c>
      <c r="D2717" t="s">
        <v>219</v>
      </c>
      <c r="E2717" t="s">
        <v>206</v>
      </c>
      <c r="F2717" s="1">
        <v>0</v>
      </c>
    </row>
    <row r="2718" spans="1:6" x14ac:dyDescent="0.3">
      <c r="A2718" t="str">
        <f>_xlfn.XLOOKUP(ColombiaClientes[[#This Row],[Client]],VpsClientes[Client],VpsClientes[VP],"",0)</f>
        <v>Juan Granados Castillo</v>
      </c>
      <c r="B2718" t="s">
        <v>149</v>
      </c>
      <c r="C2718" t="s">
        <v>205</v>
      </c>
      <c r="D2718" t="s">
        <v>219</v>
      </c>
      <c r="E2718" t="s">
        <v>206</v>
      </c>
      <c r="F2718" s="1">
        <v>0</v>
      </c>
    </row>
    <row r="2719" spans="1:6" x14ac:dyDescent="0.3">
      <c r="A2719" t="str">
        <f>_xlfn.XLOOKUP(ColombiaClientes[[#This Row],[Client]],VpsClientes[Client],VpsClientes[VP],"",0)</f>
        <v>Hector Muraira Garza</v>
      </c>
      <c r="B2719" t="s">
        <v>167</v>
      </c>
      <c r="C2719" t="s">
        <v>205</v>
      </c>
      <c r="D2719" t="s">
        <v>219</v>
      </c>
      <c r="E2719" t="s">
        <v>206</v>
      </c>
      <c r="F2719" s="1">
        <v>0</v>
      </c>
    </row>
    <row r="2720" spans="1:6" x14ac:dyDescent="0.3">
      <c r="A2720" t="str">
        <f>_xlfn.XLOOKUP(ColombiaClientes[[#This Row],[Client]],VpsClientes[Client],VpsClientes[VP],"",0)</f>
        <v>Jhonatan Izquierdo Rico</v>
      </c>
      <c r="B2720" t="s">
        <v>129</v>
      </c>
      <c r="C2720" t="s">
        <v>205</v>
      </c>
      <c r="D2720" t="s">
        <v>219</v>
      </c>
      <c r="E2720" t="s">
        <v>206</v>
      </c>
      <c r="F2720" s="1">
        <v>0</v>
      </c>
    </row>
    <row r="2721" spans="1:6" x14ac:dyDescent="0.3">
      <c r="A2721" t="str">
        <f>_xlfn.XLOOKUP(ColombiaClientes[[#This Row],[Client]],VpsClientes[Client],VpsClientes[VP],"",0)</f>
        <v>Moises Saavedra Garcia</v>
      </c>
      <c r="B2721" t="s">
        <v>190</v>
      </c>
      <c r="C2721" t="s">
        <v>205</v>
      </c>
      <c r="D2721" t="s">
        <v>219</v>
      </c>
      <c r="E2721" t="s">
        <v>206</v>
      </c>
      <c r="F2721" s="1">
        <v>0</v>
      </c>
    </row>
    <row r="2722" spans="1:6" x14ac:dyDescent="0.3">
      <c r="A2722" s="7" t="str">
        <f>_xlfn.XLOOKUP(ColombiaClientes[[#This Row],[Client]],VpsClientes[Client],VpsClientes[VP],"",0)</f>
        <v>Carlos Beltran Hernandez</v>
      </c>
      <c r="B2722" s="8" t="s">
        <v>93</v>
      </c>
      <c r="C2722" t="s">
        <v>237</v>
      </c>
      <c r="D2722" t="s">
        <v>90</v>
      </c>
      <c r="E2722" t="s">
        <v>91</v>
      </c>
      <c r="F2722" s="9">
        <v>1525</v>
      </c>
    </row>
    <row r="2723" spans="1:6" x14ac:dyDescent="0.3">
      <c r="A2723" s="7" t="str">
        <f>_xlfn.XLOOKUP(ColombiaClientes[[#This Row],[Client]],VpsClientes[Client],VpsClientes[VP],"",0)</f>
        <v>Carlos Beltran Hernandez</v>
      </c>
      <c r="B2723" s="8" t="s">
        <v>94</v>
      </c>
      <c r="C2723" s="8" t="s">
        <v>237</v>
      </c>
      <c r="D2723" s="8" t="s">
        <v>90</v>
      </c>
      <c r="E2723" s="8" t="s">
        <v>91</v>
      </c>
      <c r="F2723" s="9">
        <v>1080</v>
      </c>
    </row>
    <row r="2724" spans="1:6" x14ac:dyDescent="0.3">
      <c r="A2724" s="7" t="str">
        <f>_xlfn.XLOOKUP(ColombiaClientes[[#This Row],[Client]],VpsClientes[Client],VpsClientes[VP],"",0)</f>
        <v>Ludy Torres Benitez</v>
      </c>
      <c r="B2724" s="8" t="s">
        <v>95</v>
      </c>
      <c r="C2724" s="8" t="s">
        <v>237</v>
      </c>
      <c r="D2724" s="8" t="s">
        <v>90</v>
      </c>
      <c r="E2724" s="8" t="s">
        <v>91</v>
      </c>
      <c r="F2724" s="9">
        <v>971</v>
      </c>
    </row>
    <row r="2725" spans="1:6" x14ac:dyDescent="0.3">
      <c r="A2725" s="7" t="str">
        <f>_xlfn.XLOOKUP(ColombiaClientes[[#This Row],[Client]],VpsClientes[Client],VpsClientes[VP],"",0)</f>
        <v>Carlos Beltran Hernandez</v>
      </c>
      <c r="B2725" s="8" t="s">
        <v>102</v>
      </c>
      <c r="C2725" s="8" t="s">
        <v>237</v>
      </c>
      <c r="D2725" s="8" t="s">
        <v>90</v>
      </c>
      <c r="E2725" s="8" t="s">
        <v>91</v>
      </c>
      <c r="F2725" s="9">
        <v>770</v>
      </c>
    </row>
    <row r="2726" spans="1:6" x14ac:dyDescent="0.3">
      <c r="A2726" s="7" t="str">
        <f>_xlfn.XLOOKUP(ColombiaClientes[[#This Row],[Client]],VpsClientes[Client],VpsClientes[VP],"",0)</f>
        <v>Martha Guzman Arango</v>
      </c>
      <c r="B2726" s="8" t="s">
        <v>96</v>
      </c>
      <c r="C2726" s="8" t="s">
        <v>237</v>
      </c>
      <c r="D2726" s="8" t="s">
        <v>90</v>
      </c>
      <c r="E2726" s="8" t="s">
        <v>91</v>
      </c>
      <c r="F2726" s="9">
        <v>681</v>
      </c>
    </row>
    <row r="2727" spans="1:6" x14ac:dyDescent="0.3">
      <c r="A2727" s="7" t="str">
        <f>_xlfn.XLOOKUP(ColombiaClientes[[#This Row],[Client]],VpsClientes[Client],VpsClientes[VP],"",0)</f>
        <v>Moises Saavedra Garcia</v>
      </c>
      <c r="B2727" s="8" t="s">
        <v>99</v>
      </c>
      <c r="C2727" s="8" t="s">
        <v>237</v>
      </c>
      <c r="D2727" s="8" t="s">
        <v>90</v>
      </c>
      <c r="E2727" s="8" t="s">
        <v>91</v>
      </c>
      <c r="F2727" s="9">
        <v>556</v>
      </c>
    </row>
    <row r="2728" spans="1:6" x14ac:dyDescent="0.3">
      <c r="A2728" s="7" t="str">
        <f>_xlfn.XLOOKUP(ColombiaClientes[[#This Row],[Client]],VpsClientes[Client],VpsClientes[VP],"",0)</f>
        <v>Martha Guzman Arango</v>
      </c>
      <c r="B2728" s="8" t="s">
        <v>103</v>
      </c>
      <c r="C2728" s="8" t="s">
        <v>237</v>
      </c>
      <c r="D2728" s="8" t="s">
        <v>90</v>
      </c>
      <c r="E2728" s="8" t="s">
        <v>91</v>
      </c>
      <c r="F2728" s="9">
        <v>441</v>
      </c>
    </row>
    <row r="2729" spans="1:6" x14ac:dyDescent="0.3">
      <c r="A2729" s="7" t="str">
        <f>_xlfn.XLOOKUP(ColombiaClientes[[#This Row],[Client]],VpsClientes[Client],VpsClientes[VP],"",0)</f>
        <v>Carlos Castillo Figueroa</v>
      </c>
      <c r="B2729" s="8" t="s">
        <v>105</v>
      </c>
      <c r="C2729" s="8" t="s">
        <v>237</v>
      </c>
      <c r="D2729" s="8" t="s">
        <v>90</v>
      </c>
      <c r="E2729" s="8" t="s">
        <v>91</v>
      </c>
      <c r="F2729" s="9">
        <v>429</v>
      </c>
    </row>
    <row r="2730" spans="1:6" x14ac:dyDescent="0.3">
      <c r="A2730" s="7" t="str">
        <f>_xlfn.XLOOKUP(ColombiaClientes[[#This Row],[Client]],VpsClientes[Client],VpsClientes[VP],"",0)</f>
        <v>Hector Muraira Garza</v>
      </c>
      <c r="B2730" s="8" t="s">
        <v>137</v>
      </c>
      <c r="C2730" s="8" t="s">
        <v>237</v>
      </c>
      <c r="D2730" s="8" t="s">
        <v>90</v>
      </c>
      <c r="E2730" s="8" t="s">
        <v>91</v>
      </c>
      <c r="F2730" s="9">
        <v>410</v>
      </c>
    </row>
    <row r="2731" spans="1:6" x14ac:dyDescent="0.3">
      <c r="A2731" s="7" t="str">
        <f>_xlfn.XLOOKUP(ColombiaClientes[[#This Row],[Client]],VpsClientes[Client],VpsClientes[VP],"",0)</f>
        <v>Maria Forero Jara</v>
      </c>
      <c r="B2731" s="8" t="s">
        <v>101</v>
      </c>
      <c r="C2731" s="8" t="s">
        <v>237</v>
      </c>
      <c r="D2731" s="8" t="s">
        <v>90</v>
      </c>
      <c r="E2731" s="8" t="s">
        <v>91</v>
      </c>
      <c r="F2731" s="9">
        <v>395</v>
      </c>
    </row>
    <row r="2732" spans="1:6" x14ac:dyDescent="0.3">
      <c r="A2732" s="7" t="str">
        <f>_xlfn.XLOOKUP(ColombiaClientes[[#This Row],[Client]],VpsClientes[Client],VpsClientes[VP],"",0)</f>
        <v>Martha Guzman Arango</v>
      </c>
      <c r="B2732" s="8" t="s">
        <v>124</v>
      </c>
      <c r="C2732" s="8" t="s">
        <v>237</v>
      </c>
      <c r="D2732" s="8" t="s">
        <v>90</v>
      </c>
      <c r="E2732" s="8" t="s">
        <v>91</v>
      </c>
      <c r="F2732" s="9">
        <v>379</v>
      </c>
    </row>
    <row r="2733" spans="1:6" x14ac:dyDescent="0.3">
      <c r="A2733" s="7" t="str">
        <f>_xlfn.XLOOKUP(ColombiaClientes[[#This Row],[Client]],VpsClientes[Client],VpsClientes[VP],"",0)</f>
        <v>Maria Forero Jara</v>
      </c>
      <c r="B2733" s="8" t="s">
        <v>139</v>
      </c>
      <c r="C2733" s="8" t="s">
        <v>237</v>
      </c>
      <c r="D2733" s="8" t="s">
        <v>90</v>
      </c>
      <c r="E2733" s="8" t="s">
        <v>91</v>
      </c>
      <c r="F2733" s="9">
        <v>343</v>
      </c>
    </row>
    <row r="2734" spans="1:6" x14ac:dyDescent="0.3">
      <c r="A2734" s="7" t="str">
        <f>_xlfn.XLOOKUP(ColombiaClientes[[#This Row],[Client]],VpsClientes[Client],VpsClientes[VP],"",0)</f>
        <v>Jhonatan Izquierdo Rico</v>
      </c>
      <c r="B2734" s="8" t="s">
        <v>107</v>
      </c>
      <c r="C2734" s="8" t="s">
        <v>237</v>
      </c>
      <c r="D2734" s="8" t="s">
        <v>90</v>
      </c>
      <c r="E2734" s="8" t="s">
        <v>91</v>
      </c>
      <c r="F2734" s="9">
        <v>308</v>
      </c>
    </row>
    <row r="2735" spans="1:6" x14ac:dyDescent="0.3">
      <c r="A2735" s="7" t="str">
        <f>_xlfn.XLOOKUP(ColombiaClientes[[#This Row],[Client]],VpsClientes[Client],VpsClientes[VP],"",0)</f>
        <v>Martha Guzman Arango</v>
      </c>
      <c r="B2735" s="8" t="s">
        <v>98</v>
      </c>
      <c r="C2735" s="8" t="s">
        <v>237</v>
      </c>
      <c r="D2735" s="8" t="s">
        <v>90</v>
      </c>
      <c r="E2735" s="8" t="s">
        <v>91</v>
      </c>
      <c r="F2735" s="9">
        <v>250</v>
      </c>
    </row>
    <row r="2736" spans="1:6" x14ac:dyDescent="0.3">
      <c r="A2736" s="7" t="str">
        <f>_xlfn.XLOOKUP(ColombiaClientes[[#This Row],[Client]],VpsClientes[Client],VpsClientes[VP],"",0)</f>
        <v>Martha Guzman Arango</v>
      </c>
      <c r="B2736" s="8" t="s">
        <v>100</v>
      </c>
      <c r="C2736" s="8" t="s">
        <v>237</v>
      </c>
      <c r="D2736" s="8" t="s">
        <v>90</v>
      </c>
      <c r="E2736" s="8" t="s">
        <v>91</v>
      </c>
      <c r="F2736" s="9">
        <v>231</v>
      </c>
    </row>
    <row r="2737" spans="1:6" x14ac:dyDescent="0.3">
      <c r="A2737" s="7" t="str">
        <f>_xlfn.XLOOKUP(ColombiaClientes[[#This Row],[Client]],VpsClientes[Client],VpsClientes[VP],"",0)</f>
        <v>Martha Guzman Arango</v>
      </c>
      <c r="B2737" s="8" t="s">
        <v>97</v>
      </c>
      <c r="C2737" s="8" t="s">
        <v>237</v>
      </c>
      <c r="D2737" s="8" t="s">
        <v>90</v>
      </c>
      <c r="E2737" s="8" t="s">
        <v>91</v>
      </c>
      <c r="F2737" s="9">
        <v>224</v>
      </c>
    </row>
    <row r="2738" spans="1:6" x14ac:dyDescent="0.3">
      <c r="A2738" s="7" t="str">
        <f>_xlfn.XLOOKUP(ColombiaClientes[[#This Row],[Client]],VpsClientes[Client],VpsClientes[VP],"",0)</f>
        <v>Juan Granados Castillo</v>
      </c>
      <c r="B2738" s="8" t="s">
        <v>134</v>
      </c>
      <c r="C2738" s="8" t="s">
        <v>237</v>
      </c>
      <c r="D2738" s="8" t="s">
        <v>90</v>
      </c>
      <c r="E2738" s="8" t="s">
        <v>91</v>
      </c>
      <c r="F2738" s="9">
        <v>212</v>
      </c>
    </row>
    <row r="2739" spans="1:6" x14ac:dyDescent="0.3">
      <c r="A2739" s="7" t="str">
        <f>_xlfn.XLOOKUP(ColombiaClientes[[#This Row],[Client]],VpsClientes[Client],VpsClientes[VP],"",0)</f>
        <v>Sandra Romero Zuluaga</v>
      </c>
      <c r="B2739" s="8" t="s">
        <v>113</v>
      </c>
      <c r="C2739" s="8" t="s">
        <v>237</v>
      </c>
      <c r="D2739" s="8" t="s">
        <v>90</v>
      </c>
      <c r="E2739" s="8" t="s">
        <v>91</v>
      </c>
      <c r="F2739" s="9">
        <v>212</v>
      </c>
    </row>
    <row r="2740" spans="1:6" x14ac:dyDescent="0.3">
      <c r="A2740" s="7" t="str">
        <f>_xlfn.XLOOKUP(ColombiaClientes[[#This Row],[Client]],VpsClientes[Client],VpsClientes[VP],"",0)</f>
        <v>Maria Forero Jara</v>
      </c>
      <c r="B2740" s="8" t="s">
        <v>106</v>
      </c>
      <c r="C2740" s="8" t="s">
        <v>237</v>
      </c>
      <c r="D2740" s="8" t="s">
        <v>90</v>
      </c>
      <c r="E2740" s="8" t="s">
        <v>91</v>
      </c>
      <c r="F2740" s="9">
        <v>171</v>
      </c>
    </row>
    <row r="2741" spans="1:6" x14ac:dyDescent="0.3">
      <c r="A2741" s="7" t="str">
        <f>_xlfn.XLOOKUP(ColombiaClientes[[#This Row],[Client]],VpsClientes[Client],VpsClientes[VP],"",0)</f>
        <v>Martha Guzman Arango</v>
      </c>
      <c r="B2741" s="8" t="s">
        <v>118</v>
      </c>
      <c r="C2741" s="8" t="s">
        <v>237</v>
      </c>
      <c r="D2741" s="8" t="s">
        <v>90</v>
      </c>
      <c r="E2741" s="8" t="s">
        <v>91</v>
      </c>
      <c r="F2741" s="9">
        <v>168</v>
      </c>
    </row>
    <row r="2742" spans="1:6" x14ac:dyDescent="0.3">
      <c r="A2742" s="7" t="str">
        <f>_xlfn.XLOOKUP(ColombiaClientes[[#This Row],[Client]],VpsClientes[Client],VpsClientes[VP],"",0)</f>
        <v>Jhonatan Izquierdo Rico</v>
      </c>
      <c r="B2742" s="8" t="s">
        <v>112</v>
      </c>
      <c r="C2742" s="8" t="s">
        <v>237</v>
      </c>
      <c r="D2742" s="8" t="s">
        <v>90</v>
      </c>
      <c r="E2742" s="8" t="s">
        <v>91</v>
      </c>
      <c r="F2742" s="9">
        <v>160</v>
      </c>
    </row>
    <row r="2743" spans="1:6" x14ac:dyDescent="0.3">
      <c r="A2743" s="7" t="str">
        <f>_xlfn.XLOOKUP(ColombiaClientes[[#This Row],[Client]],VpsClientes[Client],VpsClientes[VP],"",0)</f>
        <v>Jhonatan Izquierdo Rico</v>
      </c>
      <c r="B2743" s="8" t="s">
        <v>104</v>
      </c>
      <c r="C2743" s="8" t="s">
        <v>237</v>
      </c>
      <c r="D2743" s="8" t="s">
        <v>90</v>
      </c>
      <c r="E2743" s="8" t="s">
        <v>91</v>
      </c>
      <c r="F2743" s="9">
        <v>157</v>
      </c>
    </row>
    <row r="2744" spans="1:6" x14ac:dyDescent="0.3">
      <c r="A2744" s="7" t="str">
        <f>_xlfn.XLOOKUP(ColombiaClientes[[#This Row],[Client]],VpsClientes[Client],VpsClientes[VP],"",0)</f>
        <v>Martha Guzman Arango</v>
      </c>
      <c r="B2744" s="8" t="s">
        <v>109</v>
      </c>
      <c r="C2744" s="8" t="s">
        <v>237</v>
      </c>
      <c r="D2744" s="8" t="s">
        <v>90</v>
      </c>
      <c r="E2744" s="8" t="s">
        <v>91</v>
      </c>
      <c r="F2744" s="9">
        <v>154</v>
      </c>
    </row>
    <row r="2745" spans="1:6" x14ac:dyDescent="0.3">
      <c r="A2745" s="7" t="str">
        <f>_xlfn.XLOOKUP(ColombiaClientes[[#This Row],[Client]],VpsClientes[Client],VpsClientes[VP],"",0)</f>
        <v>Martha Guzman Arango</v>
      </c>
      <c r="B2745" s="8" t="s">
        <v>114</v>
      </c>
      <c r="C2745" s="8" t="s">
        <v>237</v>
      </c>
      <c r="D2745" s="8" t="s">
        <v>90</v>
      </c>
      <c r="E2745" s="8" t="s">
        <v>91</v>
      </c>
      <c r="F2745" s="9">
        <v>151</v>
      </c>
    </row>
    <row r="2746" spans="1:6" x14ac:dyDescent="0.3">
      <c r="A2746" s="7" t="str">
        <f>_xlfn.XLOOKUP(ColombiaClientes[[#This Row],[Client]],VpsClientes[Client],VpsClientes[VP],"",0)</f>
        <v>Moises Saavedra Garcia</v>
      </c>
      <c r="B2746" s="8" t="s">
        <v>115</v>
      </c>
      <c r="C2746" s="8" t="s">
        <v>237</v>
      </c>
      <c r="D2746" s="8" t="s">
        <v>90</v>
      </c>
      <c r="E2746" s="8" t="s">
        <v>91</v>
      </c>
      <c r="F2746" s="9">
        <v>150</v>
      </c>
    </row>
    <row r="2747" spans="1:6" x14ac:dyDescent="0.3">
      <c r="A2747" s="7" t="str">
        <f>_xlfn.XLOOKUP(ColombiaClientes[[#This Row],[Client]],VpsClientes[Client],VpsClientes[VP],"",0)</f>
        <v>Martha Guzman Arango</v>
      </c>
      <c r="B2747" s="8" t="s">
        <v>135</v>
      </c>
      <c r="C2747" s="8" t="s">
        <v>237</v>
      </c>
      <c r="D2747" s="8" t="s">
        <v>90</v>
      </c>
      <c r="E2747" s="8" t="s">
        <v>91</v>
      </c>
      <c r="F2747" s="9">
        <v>133</v>
      </c>
    </row>
    <row r="2748" spans="1:6" x14ac:dyDescent="0.3">
      <c r="A2748" s="7" t="str">
        <f>_xlfn.XLOOKUP(ColombiaClientes[[#This Row],[Client]],VpsClientes[Client],VpsClientes[VP],"",0)</f>
        <v>Jhonatan Izquierdo Rico</v>
      </c>
      <c r="B2748" s="8" t="s">
        <v>128</v>
      </c>
      <c r="C2748" s="8" t="s">
        <v>237</v>
      </c>
      <c r="D2748" s="8" t="s">
        <v>90</v>
      </c>
      <c r="E2748" s="8" t="s">
        <v>91</v>
      </c>
      <c r="F2748" s="9">
        <v>133</v>
      </c>
    </row>
    <row r="2749" spans="1:6" x14ac:dyDescent="0.3">
      <c r="A2749" s="7" t="str">
        <f>_xlfn.XLOOKUP(ColombiaClientes[[#This Row],[Client]],VpsClientes[Client],VpsClientes[VP],"",0)</f>
        <v>Carlos Beltran Hernandez</v>
      </c>
      <c r="B2749" s="8" t="s">
        <v>119</v>
      </c>
      <c r="C2749" s="8" t="s">
        <v>237</v>
      </c>
      <c r="D2749" s="8" t="s">
        <v>90</v>
      </c>
      <c r="E2749" s="8" t="s">
        <v>91</v>
      </c>
      <c r="F2749" s="9">
        <v>118</v>
      </c>
    </row>
    <row r="2750" spans="1:6" x14ac:dyDescent="0.3">
      <c r="A2750" s="7" t="str">
        <f>_xlfn.XLOOKUP(ColombiaClientes[[#This Row],[Client]],VpsClientes[Client],VpsClientes[VP],"",0)</f>
        <v>Hector Muraira Garza</v>
      </c>
      <c r="B2750" s="8" t="s">
        <v>130</v>
      </c>
      <c r="C2750" s="8" t="s">
        <v>237</v>
      </c>
      <c r="D2750" s="8" t="s">
        <v>90</v>
      </c>
      <c r="E2750" s="8" t="s">
        <v>91</v>
      </c>
      <c r="F2750" s="9">
        <v>94</v>
      </c>
    </row>
    <row r="2751" spans="1:6" x14ac:dyDescent="0.3">
      <c r="A2751" s="7" t="str">
        <f>_xlfn.XLOOKUP(ColombiaClientes[[#This Row],[Client]],VpsClientes[Client],VpsClientes[VP],"",0)</f>
        <v>Maria Forero Jara</v>
      </c>
      <c r="B2751" s="8" t="s">
        <v>108</v>
      </c>
      <c r="C2751" s="8" t="s">
        <v>237</v>
      </c>
      <c r="D2751" s="8" t="s">
        <v>90</v>
      </c>
      <c r="E2751" s="8" t="s">
        <v>91</v>
      </c>
      <c r="F2751" s="9">
        <v>87</v>
      </c>
    </row>
    <row r="2752" spans="1:6" x14ac:dyDescent="0.3">
      <c r="A2752" s="7" t="str">
        <f>_xlfn.XLOOKUP(ColombiaClientes[[#This Row],[Client]],VpsClientes[Client],VpsClientes[VP],"",0)</f>
        <v>Moises Saavedra Garcia</v>
      </c>
      <c r="B2752" s="8" t="s">
        <v>110</v>
      </c>
      <c r="C2752" s="8" t="s">
        <v>237</v>
      </c>
      <c r="D2752" s="8" t="s">
        <v>90</v>
      </c>
      <c r="E2752" s="8" t="s">
        <v>91</v>
      </c>
      <c r="F2752" s="9">
        <v>85</v>
      </c>
    </row>
    <row r="2753" spans="1:6" x14ac:dyDescent="0.3">
      <c r="A2753" s="7" t="str">
        <f>_xlfn.XLOOKUP(ColombiaClientes[[#This Row],[Client]],VpsClientes[Client],VpsClientes[VP],"",0)</f>
        <v>Martha Guzman Arango</v>
      </c>
      <c r="B2753" s="8" t="s">
        <v>122</v>
      </c>
      <c r="C2753" s="8" t="s">
        <v>237</v>
      </c>
      <c r="D2753" s="8" t="s">
        <v>90</v>
      </c>
      <c r="E2753" s="8" t="s">
        <v>91</v>
      </c>
      <c r="F2753" s="9">
        <v>78</v>
      </c>
    </row>
    <row r="2754" spans="1:6" x14ac:dyDescent="0.3">
      <c r="A2754" s="7" t="str">
        <f>_xlfn.XLOOKUP(ColombiaClientes[[#This Row],[Client]],VpsClientes[Client],VpsClientes[VP],"",0)</f>
        <v>Martha Guzman Arango</v>
      </c>
      <c r="B2754" s="8" t="s">
        <v>156</v>
      </c>
      <c r="C2754" s="8" t="s">
        <v>237</v>
      </c>
      <c r="D2754" s="8" t="s">
        <v>90</v>
      </c>
      <c r="E2754" s="8" t="s">
        <v>91</v>
      </c>
      <c r="F2754" s="9">
        <v>73</v>
      </c>
    </row>
    <row r="2755" spans="1:6" x14ac:dyDescent="0.3">
      <c r="A2755" s="7" t="str">
        <f>_xlfn.XLOOKUP(ColombiaClientes[[#This Row],[Client]],VpsClientes[Client],VpsClientes[VP],"",0)</f>
        <v>Jhonatan Izquierdo Rico</v>
      </c>
      <c r="B2755" s="8" t="s">
        <v>138</v>
      </c>
      <c r="C2755" s="8" t="s">
        <v>237</v>
      </c>
      <c r="D2755" s="8" t="s">
        <v>90</v>
      </c>
      <c r="E2755" s="8" t="s">
        <v>91</v>
      </c>
      <c r="F2755" s="9">
        <v>73</v>
      </c>
    </row>
    <row r="2756" spans="1:6" x14ac:dyDescent="0.3">
      <c r="A2756" s="7" t="str">
        <f>_xlfn.XLOOKUP(ColombiaClientes[[#This Row],[Client]],VpsClientes[Client],VpsClientes[VP],"",0)</f>
        <v>Ernesto Rico Zuluaga</v>
      </c>
      <c r="B2756" s="8" t="s">
        <v>116</v>
      </c>
      <c r="C2756" s="8" t="s">
        <v>237</v>
      </c>
      <c r="D2756" s="8" t="s">
        <v>90</v>
      </c>
      <c r="E2756" s="8" t="s">
        <v>91</v>
      </c>
      <c r="F2756" s="9">
        <v>72</v>
      </c>
    </row>
    <row r="2757" spans="1:6" x14ac:dyDescent="0.3">
      <c r="A2757" s="7" t="str">
        <f>_xlfn.XLOOKUP(ColombiaClientes[[#This Row],[Client]],VpsClientes[Client],VpsClientes[VP],"",0)</f>
        <v>Martha Guzman Arango</v>
      </c>
      <c r="B2757" s="8" t="s">
        <v>199</v>
      </c>
      <c r="C2757" s="8" t="s">
        <v>237</v>
      </c>
      <c r="D2757" s="8" t="s">
        <v>90</v>
      </c>
      <c r="E2757" s="8" t="s">
        <v>91</v>
      </c>
      <c r="F2757" s="9">
        <v>67</v>
      </c>
    </row>
    <row r="2758" spans="1:6" x14ac:dyDescent="0.3">
      <c r="A2758" s="7" t="str">
        <f>_xlfn.XLOOKUP(ColombiaClientes[[#This Row],[Client]],VpsClientes[Client],VpsClientes[VP],"",0)</f>
        <v>Martha Guzman Arango</v>
      </c>
      <c r="B2758" s="8" t="s">
        <v>146</v>
      </c>
      <c r="C2758" s="8" t="s">
        <v>237</v>
      </c>
      <c r="D2758" s="8" t="s">
        <v>90</v>
      </c>
      <c r="E2758" s="8" t="s">
        <v>91</v>
      </c>
      <c r="F2758" s="9">
        <v>57</v>
      </c>
    </row>
    <row r="2759" spans="1:6" x14ac:dyDescent="0.3">
      <c r="A2759" s="7" t="str">
        <f>_xlfn.XLOOKUP(ColombiaClientes[[#This Row],[Client]],VpsClientes[Client],VpsClientes[VP],"",0)</f>
        <v>Ernesto Rico Zuluaga</v>
      </c>
      <c r="B2759" s="8" t="s">
        <v>121</v>
      </c>
      <c r="C2759" s="8" t="s">
        <v>237</v>
      </c>
      <c r="D2759" s="8" t="s">
        <v>90</v>
      </c>
      <c r="E2759" s="8" t="s">
        <v>91</v>
      </c>
      <c r="F2759" s="9">
        <v>55</v>
      </c>
    </row>
    <row r="2760" spans="1:6" x14ac:dyDescent="0.3">
      <c r="A2760" s="7" t="str">
        <f>_xlfn.XLOOKUP(ColombiaClientes[[#This Row],[Client]],VpsClientes[Client],VpsClientes[VP],"",0)</f>
        <v>Jhonatan Izquierdo Rico</v>
      </c>
      <c r="B2760" s="8" t="s">
        <v>126</v>
      </c>
      <c r="C2760" s="8" t="s">
        <v>237</v>
      </c>
      <c r="D2760" s="8" t="s">
        <v>90</v>
      </c>
      <c r="E2760" s="8" t="s">
        <v>91</v>
      </c>
      <c r="F2760" s="9">
        <v>47</v>
      </c>
    </row>
    <row r="2761" spans="1:6" x14ac:dyDescent="0.3">
      <c r="A2761" s="7" t="str">
        <f>_xlfn.XLOOKUP(ColombiaClientes[[#This Row],[Client]],VpsClientes[Client],VpsClientes[VP],"",0)</f>
        <v>Hector Muraira Garza</v>
      </c>
      <c r="B2761" s="8" t="s">
        <v>154</v>
      </c>
      <c r="C2761" s="8" t="s">
        <v>237</v>
      </c>
      <c r="D2761" s="8" t="s">
        <v>90</v>
      </c>
      <c r="E2761" s="8" t="s">
        <v>91</v>
      </c>
      <c r="F2761" s="9">
        <v>46</v>
      </c>
    </row>
    <row r="2762" spans="1:6" x14ac:dyDescent="0.3">
      <c r="A2762" s="7" t="str">
        <f>_xlfn.XLOOKUP(ColombiaClientes[[#This Row],[Client]],VpsClientes[Client],VpsClientes[VP],"",0)</f>
        <v>Martha Guzman Arango</v>
      </c>
      <c r="B2762" s="8" t="s">
        <v>143</v>
      </c>
      <c r="C2762" s="8" t="s">
        <v>237</v>
      </c>
      <c r="D2762" s="8" t="s">
        <v>90</v>
      </c>
      <c r="E2762" s="8" t="s">
        <v>91</v>
      </c>
      <c r="F2762" s="9">
        <v>45</v>
      </c>
    </row>
    <row r="2763" spans="1:6" x14ac:dyDescent="0.3">
      <c r="A2763" s="7" t="str">
        <f>_xlfn.XLOOKUP(ColombiaClientes[[#This Row],[Client]],VpsClientes[Client],VpsClientes[VP],"",0)</f>
        <v>Maria Forero Jara</v>
      </c>
      <c r="B2763" s="8" t="s">
        <v>123</v>
      </c>
      <c r="C2763" s="8" t="s">
        <v>237</v>
      </c>
      <c r="D2763" s="8" t="s">
        <v>90</v>
      </c>
      <c r="E2763" s="8" t="s">
        <v>91</v>
      </c>
      <c r="F2763" s="9">
        <v>44</v>
      </c>
    </row>
    <row r="2764" spans="1:6" x14ac:dyDescent="0.3">
      <c r="A2764" s="7" t="str">
        <f>_xlfn.XLOOKUP(ColombiaClientes[[#This Row],[Client]],VpsClientes[Client],VpsClientes[VP],"",0)</f>
        <v>Hector Muraira Garza</v>
      </c>
      <c r="B2764" s="8" t="s">
        <v>140</v>
      </c>
      <c r="C2764" s="8" t="s">
        <v>237</v>
      </c>
      <c r="D2764" s="8" t="s">
        <v>90</v>
      </c>
      <c r="E2764" s="8" t="s">
        <v>91</v>
      </c>
      <c r="F2764" s="9">
        <v>44</v>
      </c>
    </row>
    <row r="2765" spans="1:6" x14ac:dyDescent="0.3">
      <c r="A2765" s="7" t="str">
        <f>_xlfn.XLOOKUP(ColombiaClientes[[#This Row],[Client]],VpsClientes[Client],VpsClientes[VP],"",0)</f>
        <v>Juan Granados Castillo</v>
      </c>
      <c r="B2765" s="8" t="s">
        <v>136</v>
      </c>
      <c r="C2765" s="8" t="s">
        <v>237</v>
      </c>
      <c r="D2765" s="8" t="s">
        <v>90</v>
      </c>
      <c r="E2765" s="8" t="s">
        <v>91</v>
      </c>
      <c r="F2765" s="9">
        <v>43</v>
      </c>
    </row>
    <row r="2766" spans="1:6" x14ac:dyDescent="0.3">
      <c r="A2766" s="7" t="str">
        <f>_xlfn.XLOOKUP(ColombiaClientes[[#This Row],[Client]],VpsClientes[Client],VpsClientes[VP],"",0)</f>
        <v>Martha Guzman Arango</v>
      </c>
      <c r="B2766" s="8" t="s">
        <v>148</v>
      </c>
      <c r="C2766" s="8" t="s">
        <v>237</v>
      </c>
      <c r="D2766" s="8" t="s">
        <v>90</v>
      </c>
      <c r="E2766" s="8" t="s">
        <v>91</v>
      </c>
      <c r="F2766" s="9">
        <v>38</v>
      </c>
    </row>
    <row r="2767" spans="1:6" x14ac:dyDescent="0.3">
      <c r="A2767" s="7" t="str">
        <f>_xlfn.XLOOKUP(ColombiaClientes[[#This Row],[Client]],VpsClientes[Client],VpsClientes[VP],"",0)</f>
        <v>Maria Forero Jara</v>
      </c>
      <c r="B2767" s="8" t="s">
        <v>125</v>
      </c>
      <c r="C2767" s="8" t="s">
        <v>237</v>
      </c>
      <c r="D2767" s="8" t="s">
        <v>90</v>
      </c>
      <c r="E2767" s="8" t="s">
        <v>91</v>
      </c>
      <c r="F2767" s="9">
        <v>33</v>
      </c>
    </row>
    <row r="2768" spans="1:6" x14ac:dyDescent="0.3">
      <c r="A2768" s="7" t="str">
        <f>_xlfn.XLOOKUP(ColombiaClientes[[#This Row],[Client]],VpsClientes[Client],VpsClientes[VP],"",0)</f>
        <v>Moises Saavedra Garcia</v>
      </c>
      <c r="B2768" s="8" t="s">
        <v>150</v>
      </c>
      <c r="C2768" s="8" t="s">
        <v>237</v>
      </c>
      <c r="D2768" s="8" t="s">
        <v>90</v>
      </c>
      <c r="E2768" s="8" t="s">
        <v>91</v>
      </c>
      <c r="F2768" s="9">
        <v>32</v>
      </c>
    </row>
    <row r="2769" spans="1:6" x14ac:dyDescent="0.3">
      <c r="A2769" s="7" t="str">
        <f>_xlfn.XLOOKUP(ColombiaClientes[[#This Row],[Client]],VpsClientes[Client],VpsClientes[VP],"",0)</f>
        <v>Juan Granados Castillo</v>
      </c>
      <c r="B2769" s="8" t="s">
        <v>149</v>
      </c>
      <c r="C2769" s="8" t="s">
        <v>237</v>
      </c>
      <c r="D2769" s="8" t="s">
        <v>90</v>
      </c>
      <c r="E2769" s="8" t="s">
        <v>91</v>
      </c>
      <c r="F2769" s="9">
        <v>30</v>
      </c>
    </row>
    <row r="2770" spans="1:6" x14ac:dyDescent="0.3">
      <c r="A2770" s="7" t="str">
        <f>_xlfn.XLOOKUP(ColombiaClientes[[#This Row],[Client]],VpsClientes[Client],VpsClientes[VP],"",0)</f>
        <v>Martha Guzman Arango</v>
      </c>
      <c r="B2770" s="8" t="s">
        <v>185</v>
      </c>
      <c r="C2770" s="8" t="s">
        <v>237</v>
      </c>
      <c r="D2770" s="8" t="s">
        <v>90</v>
      </c>
      <c r="E2770" s="8" t="s">
        <v>91</v>
      </c>
      <c r="F2770" s="9">
        <v>24</v>
      </c>
    </row>
    <row r="2771" spans="1:6" x14ac:dyDescent="0.3">
      <c r="A2771" s="7" t="str">
        <f>_xlfn.XLOOKUP(ColombiaClientes[[#This Row],[Client]],VpsClientes[Client],VpsClientes[VP],"",0)</f>
        <v>Martha Guzman Arango</v>
      </c>
      <c r="B2771" s="8" t="s">
        <v>166</v>
      </c>
      <c r="C2771" s="8" t="s">
        <v>237</v>
      </c>
      <c r="D2771" s="8" t="s">
        <v>90</v>
      </c>
      <c r="E2771" s="8" t="s">
        <v>91</v>
      </c>
      <c r="F2771" s="9">
        <v>24</v>
      </c>
    </row>
    <row r="2772" spans="1:6" x14ac:dyDescent="0.3">
      <c r="A2772" s="7" t="str">
        <f>_xlfn.XLOOKUP(ColombiaClientes[[#This Row],[Client]],VpsClientes[Client],VpsClientes[VP],"",0)</f>
        <v>Martha Guzman Arango</v>
      </c>
      <c r="B2772" s="8" t="s">
        <v>153</v>
      </c>
      <c r="C2772" s="8" t="s">
        <v>237</v>
      </c>
      <c r="D2772" s="8" t="s">
        <v>90</v>
      </c>
      <c r="E2772" s="8" t="s">
        <v>91</v>
      </c>
      <c r="F2772" s="9">
        <v>22</v>
      </c>
    </row>
    <row r="2773" spans="1:6" x14ac:dyDescent="0.3">
      <c r="A2773" s="7" t="str">
        <f>_xlfn.XLOOKUP(ColombiaClientes[[#This Row],[Client]],VpsClientes[Client],VpsClientes[VP],"",0)</f>
        <v>Juan Granados Castillo</v>
      </c>
      <c r="B2773" s="8" t="s">
        <v>142</v>
      </c>
      <c r="C2773" s="8" t="s">
        <v>237</v>
      </c>
      <c r="D2773" s="8" t="s">
        <v>90</v>
      </c>
      <c r="E2773" s="8" t="s">
        <v>91</v>
      </c>
      <c r="F2773" s="9">
        <v>21</v>
      </c>
    </row>
    <row r="2774" spans="1:6" x14ac:dyDescent="0.3">
      <c r="A2774" s="7" t="str">
        <f>_xlfn.XLOOKUP(ColombiaClientes[[#This Row],[Client]],VpsClientes[Client],VpsClientes[VP],"",0)</f>
        <v>Martha Guzman Arango</v>
      </c>
      <c r="B2774" s="8" t="s">
        <v>168</v>
      </c>
      <c r="C2774" s="8" t="s">
        <v>237</v>
      </c>
      <c r="D2774" s="8" t="s">
        <v>90</v>
      </c>
      <c r="E2774" s="8" t="s">
        <v>91</v>
      </c>
      <c r="F2774" s="9">
        <v>20</v>
      </c>
    </row>
    <row r="2775" spans="1:6" x14ac:dyDescent="0.3">
      <c r="A2775" s="7" t="str">
        <f>_xlfn.XLOOKUP(ColombiaClientes[[#This Row],[Client]],VpsClientes[Client],VpsClientes[VP],"",0)</f>
        <v>Moises Saavedra Garcia</v>
      </c>
      <c r="B2775" s="8" t="s">
        <v>120</v>
      </c>
      <c r="C2775" s="8" t="s">
        <v>237</v>
      </c>
      <c r="D2775" s="8" t="s">
        <v>90</v>
      </c>
      <c r="E2775" s="8" t="s">
        <v>91</v>
      </c>
      <c r="F2775" s="9">
        <v>20</v>
      </c>
    </row>
    <row r="2776" spans="1:6" x14ac:dyDescent="0.3">
      <c r="A2776" s="7" t="str">
        <f>_xlfn.XLOOKUP(ColombiaClientes[[#This Row],[Client]],VpsClientes[Client],VpsClientes[VP],"",0)</f>
        <v>Martha Guzman Arango</v>
      </c>
      <c r="B2776" s="8" t="s">
        <v>165</v>
      </c>
      <c r="C2776" s="8" t="s">
        <v>237</v>
      </c>
      <c r="D2776" s="8" t="s">
        <v>90</v>
      </c>
      <c r="E2776" s="8" t="s">
        <v>91</v>
      </c>
      <c r="F2776" s="9">
        <v>17</v>
      </c>
    </row>
    <row r="2777" spans="1:6" x14ac:dyDescent="0.3">
      <c r="A2777" s="7" t="str">
        <f>_xlfn.XLOOKUP(ColombiaClientes[[#This Row],[Client]],VpsClientes[Client],VpsClientes[VP],"",0)</f>
        <v>Jhonatan Izquierdo Rico</v>
      </c>
      <c r="B2777" s="8" t="s">
        <v>157</v>
      </c>
      <c r="C2777" s="8" t="s">
        <v>237</v>
      </c>
      <c r="D2777" s="8" t="s">
        <v>90</v>
      </c>
      <c r="E2777" s="8" t="s">
        <v>91</v>
      </c>
      <c r="F2777" s="9">
        <v>16</v>
      </c>
    </row>
    <row r="2778" spans="1:6" x14ac:dyDescent="0.3">
      <c r="A2778" s="7" t="str">
        <f>_xlfn.XLOOKUP(ColombiaClientes[[#This Row],[Client]],VpsClientes[Client],VpsClientes[VP],"",0)</f>
        <v>Martha Guzman Arango</v>
      </c>
      <c r="B2778" s="8" t="s">
        <v>145</v>
      </c>
      <c r="C2778" s="8" t="s">
        <v>237</v>
      </c>
      <c r="D2778" s="8" t="s">
        <v>90</v>
      </c>
      <c r="E2778" s="8" t="s">
        <v>91</v>
      </c>
      <c r="F2778" s="9">
        <v>15</v>
      </c>
    </row>
    <row r="2779" spans="1:6" x14ac:dyDescent="0.3">
      <c r="A2779" s="7" t="str">
        <f>_xlfn.XLOOKUP(ColombiaClientes[[#This Row],[Client]],VpsClientes[Client],VpsClientes[VP],"",0)</f>
        <v>Moises Saavedra Garcia</v>
      </c>
      <c r="B2779" s="8" t="s">
        <v>172</v>
      </c>
      <c r="C2779" s="8" t="s">
        <v>237</v>
      </c>
      <c r="D2779" s="8" t="s">
        <v>90</v>
      </c>
      <c r="E2779" s="8" t="s">
        <v>91</v>
      </c>
      <c r="F2779" s="9">
        <v>14</v>
      </c>
    </row>
    <row r="2780" spans="1:6" x14ac:dyDescent="0.3">
      <c r="A2780" s="7" t="str">
        <f>_xlfn.XLOOKUP(ColombiaClientes[[#This Row],[Client]],VpsClientes[Client],VpsClientes[VP],"",0)</f>
        <v>Martha Guzman Arango</v>
      </c>
      <c r="B2780" s="8" t="s">
        <v>171</v>
      </c>
      <c r="C2780" s="8" t="s">
        <v>237</v>
      </c>
      <c r="D2780" s="8" t="s">
        <v>90</v>
      </c>
      <c r="E2780" s="8" t="s">
        <v>91</v>
      </c>
      <c r="F2780" s="9">
        <v>14</v>
      </c>
    </row>
    <row r="2781" spans="1:6" x14ac:dyDescent="0.3">
      <c r="A2781" s="7" t="str">
        <f>_xlfn.XLOOKUP(ColombiaClientes[[#This Row],[Client]],VpsClientes[Client],VpsClientes[VP],"",0)</f>
        <v>Jhonatan Izquierdo Rico</v>
      </c>
      <c r="B2781" s="8" t="s">
        <v>117</v>
      </c>
      <c r="C2781" s="8" t="s">
        <v>237</v>
      </c>
      <c r="D2781" s="8" t="s">
        <v>90</v>
      </c>
      <c r="E2781" s="8" t="s">
        <v>91</v>
      </c>
      <c r="F2781" s="9">
        <v>14</v>
      </c>
    </row>
    <row r="2782" spans="1:6" x14ac:dyDescent="0.3">
      <c r="A2782" s="7" t="str">
        <f>_xlfn.XLOOKUP(ColombiaClientes[[#This Row],[Client]],VpsClientes[Client],VpsClientes[VP],"",0)</f>
        <v>Martha Guzman Arango</v>
      </c>
      <c r="B2782" s="8" t="s">
        <v>183</v>
      </c>
      <c r="C2782" s="8" t="s">
        <v>237</v>
      </c>
      <c r="D2782" s="8" t="s">
        <v>90</v>
      </c>
      <c r="E2782" s="8" t="s">
        <v>91</v>
      </c>
      <c r="F2782" s="9">
        <v>12</v>
      </c>
    </row>
    <row r="2783" spans="1:6" x14ac:dyDescent="0.3">
      <c r="A2783" s="7" t="str">
        <f>_xlfn.XLOOKUP(ColombiaClientes[[#This Row],[Client]],VpsClientes[Client],VpsClientes[VP],"",0)</f>
        <v>Maria Forero Jara</v>
      </c>
      <c r="B2783" s="8" t="s">
        <v>144</v>
      </c>
      <c r="C2783" s="8" t="s">
        <v>237</v>
      </c>
      <c r="D2783" s="8" t="s">
        <v>90</v>
      </c>
      <c r="E2783" s="8" t="s">
        <v>91</v>
      </c>
      <c r="F2783" s="9">
        <v>10</v>
      </c>
    </row>
    <row r="2784" spans="1:6" x14ac:dyDescent="0.3">
      <c r="A2784" s="7" t="str">
        <f>_xlfn.XLOOKUP(ColombiaClientes[[#This Row],[Client]],VpsClientes[Client],VpsClientes[VP],"",0)</f>
        <v>Martha Guzman Arango</v>
      </c>
      <c r="B2784" s="8" t="s">
        <v>188</v>
      </c>
      <c r="C2784" s="8" t="s">
        <v>237</v>
      </c>
      <c r="D2784" s="8" t="s">
        <v>90</v>
      </c>
      <c r="E2784" s="8" t="s">
        <v>91</v>
      </c>
      <c r="F2784" s="9">
        <v>8</v>
      </c>
    </row>
    <row r="2785" spans="1:6" x14ac:dyDescent="0.3">
      <c r="A2785" s="7" t="str">
        <f>_xlfn.XLOOKUP(ColombiaClientes[[#This Row],[Client]],VpsClientes[Client],VpsClientes[VP],"",0)</f>
        <v>Carlos Beltran Hernandez</v>
      </c>
      <c r="B2785" s="8" t="s">
        <v>151</v>
      </c>
      <c r="C2785" s="8" t="s">
        <v>237</v>
      </c>
      <c r="D2785" s="8" t="s">
        <v>90</v>
      </c>
      <c r="E2785" s="8" t="s">
        <v>91</v>
      </c>
      <c r="F2785" s="9">
        <v>8</v>
      </c>
    </row>
    <row r="2786" spans="1:6" x14ac:dyDescent="0.3">
      <c r="A2786" s="7" t="str">
        <f>_xlfn.XLOOKUP(ColombiaClientes[[#This Row],[Client]],VpsClientes[Client],VpsClientes[VP],"",0)</f>
        <v>Martha Guzman Arango</v>
      </c>
      <c r="B2786" s="8" t="s">
        <v>162</v>
      </c>
      <c r="C2786" s="8" t="s">
        <v>237</v>
      </c>
      <c r="D2786" s="8" t="s">
        <v>90</v>
      </c>
      <c r="E2786" s="8" t="s">
        <v>91</v>
      </c>
      <c r="F2786" s="9">
        <v>7</v>
      </c>
    </row>
    <row r="2787" spans="1:6" x14ac:dyDescent="0.3">
      <c r="A2787" s="7" t="str">
        <f>_xlfn.XLOOKUP(ColombiaClientes[[#This Row],[Client]],VpsClientes[Client],VpsClientes[VP],"",0)</f>
        <v>Hector Muraira Garza</v>
      </c>
      <c r="B2787" s="8" t="s">
        <v>167</v>
      </c>
      <c r="C2787" s="8" t="s">
        <v>237</v>
      </c>
      <c r="D2787" s="8" t="s">
        <v>90</v>
      </c>
      <c r="E2787" s="8" t="s">
        <v>91</v>
      </c>
      <c r="F2787" s="9">
        <v>7</v>
      </c>
    </row>
    <row r="2788" spans="1:6" x14ac:dyDescent="0.3">
      <c r="A2788" s="7" t="str">
        <f>_xlfn.XLOOKUP(ColombiaClientes[[#This Row],[Client]],VpsClientes[Client],VpsClientes[VP],"",0)</f>
        <v>Maria Forero Jara</v>
      </c>
      <c r="B2788" s="8" t="s">
        <v>182</v>
      </c>
      <c r="C2788" s="8" t="s">
        <v>237</v>
      </c>
      <c r="D2788" s="8" t="s">
        <v>90</v>
      </c>
      <c r="E2788" s="8" t="s">
        <v>91</v>
      </c>
      <c r="F2788" s="9">
        <v>6</v>
      </c>
    </row>
    <row r="2789" spans="1:6" x14ac:dyDescent="0.3">
      <c r="A2789" s="7" t="str">
        <f>_xlfn.XLOOKUP(ColombiaClientes[[#This Row],[Client]],VpsClientes[Client],VpsClientes[VP],"",0)</f>
        <v>Martha Guzman Arango</v>
      </c>
      <c r="B2789" s="8" t="s">
        <v>174</v>
      </c>
      <c r="C2789" s="8" t="s">
        <v>237</v>
      </c>
      <c r="D2789" s="8" t="s">
        <v>90</v>
      </c>
      <c r="E2789" s="8" t="s">
        <v>91</v>
      </c>
      <c r="F2789" s="9">
        <v>6</v>
      </c>
    </row>
    <row r="2790" spans="1:6" x14ac:dyDescent="0.3">
      <c r="A2790" s="7" t="str">
        <f>_xlfn.XLOOKUP(ColombiaClientes[[#This Row],[Client]],VpsClientes[Client],VpsClientes[VP],"",0)</f>
        <v>Maria Forero Jara</v>
      </c>
      <c r="B2790" s="8" t="s">
        <v>163</v>
      </c>
      <c r="C2790" s="8" t="s">
        <v>237</v>
      </c>
      <c r="D2790" s="8" t="s">
        <v>90</v>
      </c>
      <c r="E2790" s="8" t="s">
        <v>91</v>
      </c>
      <c r="F2790" s="9">
        <v>6</v>
      </c>
    </row>
    <row r="2791" spans="1:6" x14ac:dyDescent="0.3">
      <c r="A2791" s="7" t="str">
        <f>_xlfn.XLOOKUP(ColombiaClientes[[#This Row],[Client]],VpsClientes[Client],VpsClientes[VP],"",0)</f>
        <v>Martha Guzman Arango</v>
      </c>
      <c r="B2791" s="8" t="s">
        <v>170</v>
      </c>
      <c r="C2791" s="8" t="s">
        <v>237</v>
      </c>
      <c r="D2791" s="8" t="s">
        <v>90</v>
      </c>
      <c r="E2791" s="8" t="s">
        <v>91</v>
      </c>
      <c r="F2791" s="9">
        <v>5</v>
      </c>
    </row>
    <row r="2792" spans="1:6" x14ac:dyDescent="0.3">
      <c r="A2792" s="7" t="str">
        <f>_xlfn.XLOOKUP(ColombiaClientes[[#This Row],[Client]],VpsClientes[Client],VpsClientes[VP],"",0)</f>
        <v>Maria Forero Jara</v>
      </c>
      <c r="B2792" s="8" t="s">
        <v>179</v>
      </c>
      <c r="C2792" s="8" t="s">
        <v>237</v>
      </c>
      <c r="D2792" s="8" t="s">
        <v>90</v>
      </c>
      <c r="E2792" s="8" t="s">
        <v>91</v>
      </c>
      <c r="F2792" s="9">
        <v>5</v>
      </c>
    </row>
    <row r="2793" spans="1:6" x14ac:dyDescent="0.3">
      <c r="A2793" s="7" t="str">
        <f>_xlfn.XLOOKUP(ColombiaClientes[[#This Row],[Client]],VpsClientes[Client],VpsClientes[VP],"",0)</f>
        <v>Moises Saavedra Garcia</v>
      </c>
      <c r="B2793" s="8" t="s">
        <v>190</v>
      </c>
      <c r="C2793" s="8" t="s">
        <v>237</v>
      </c>
      <c r="D2793" s="8" t="s">
        <v>90</v>
      </c>
      <c r="E2793" s="8" t="s">
        <v>91</v>
      </c>
      <c r="F2793" s="9">
        <v>5</v>
      </c>
    </row>
    <row r="2794" spans="1:6" x14ac:dyDescent="0.3">
      <c r="A2794" s="7" t="str">
        <f>_xlfn.XLOOKUP(ColombiaClientes[[#This Row],[Client]],VpsClientes[Client],VpsClientes[VP],"",0)</f>
        <v>Jhonatan Izquierdo Rico</v>
      </c>
      <c r="B2794" s="8" t="s">
        <v>196</v>
      </c>
      <c r="C2794" s="8" t="s">
        <v>237</v>
      </c>
      <c r="D2794" s="8" t="s">
        <v>90</v>
      </c>
      <c r="E2794" s="8" t="s">
        <v>91</v>
      </c>
      <c r="F2794" s="9">
        <v>4</v>
      </c>
    </row>
    <row r="2795" spans="1:6" x14ac:dyDescent="0.3">
      <c r="A2795" s="7" t="str">
        <f>_xlfn.XLOOKUP(ColombiaClientes[[#This Row],[Client]],VpsClientes[Client],VpsClientes[VP],"",0)</f>
        <v>Martha Guzman Arango</v>
      </c>
      <c r="B2795" s="8" t="s">
        <v>152</v>
      </c>
      <c r="C2795" s="8" t="s">
        <v>237</v>
      </c>
      <c r="D2795" s="8" t="s">
        <v>90</v>
      </c>
      <c r="E2795" s="8" t="s">
        <v>91</v>
      </c>
      <c r="F2795" s="9">
        <v>4</v>
      </c>
    </row>
    <row r="2796" spans="1:6" x14ac:dyDescent="0.3">
      <c r="A2796" s="7" t="str">
        <f>_xlfn.XLOOKUP(ColombiaClientes[[#This Row],[Client]],VpsClientes[Client],VpsClientes[VP],"",0)</f>
        <v>Martha Guzman Arango</v>
      </c>
      <c r="B2796" s="8" t="s">
        <v>169</v>
      </c>
      <c r="C2796" s="8" t="s">
        <v>237</v>
      </c>
      <c r="D2796" s="8" t="s">
        <v>90</v>
      </c>
      <c r="E2796" s="8" t="s">
        <v>91</v>
      </c>
      <c r="F2796" s="9">
        <v>4</v>
      </c>
    </row>
    <row r="2797" spans="1:6" x14ac:dyDescent="0.3">
      <c r="A2797" s="7" t="str">
        <f>_xlfn.XLOOKUP(ColombiaClientes[[#This Row],[Client]],VpsClientes[Client],VpsClientes[VP],"",0)</f>
        <v>Maria Forero Jara</v>
      </c>
      <c r="B2797" s="8" t="s">
        <v>111</v>
      </c>
      <c r="C2797" s="8" t="s">
        <v>237</v>
      </c>
      <c r="D2797" s="8" t="s">
        <v>90</v>
      </c>
      <c r="E2797" s="8" t="s">
        <v>91</v>
      </c>
      <c r="F2797" s="9">
        <v>4</v>
      </c>
    </row>
    <row r="2798" spans="1:6" x14ac:dyDescent="0.3">
      <c r="A2798" s="7" t="str">
        <f>_xlfn.XLOOKUP(ColombiaClientes[[#This Row],[Client]],VpsClientes[Client],VpsClientes[VP],"",0)</f>
        <v>Martha Guzman Arango</v>
      </c>
      <c r="B2798" s="8" t="s">
        <v>131</v>
      </c>
      <c r="C2798" s="8" t="s">
        <v>237</v>
      </c>
      <c r="D2798" s="8" t="s">
        <v>90</v>
      </c>
      <c r="E2798" s="8" t="s">
        <v>91</v>
      </c>
      <c r="F2798" s="9">
        <v>3</v>
      </c>
    </row>
    <row r="2799" spans="1:6" x14ac:dyDescent="0.3">
      <c r="A2799" s="7" t="str">
        <f>_xlfn.XLOOKUP(ColombiaClientes[[#This Row],[Client]],VpsClientes[Client],VpsClientes[VP],"",0)</f>
        <v>Jhonatan Izquierdo Rico</v>
      </c>
      <c r="B2799" s="8" t="s">
        <v>129</v>
      </c>
      <c r="C2799" s="8" t="s">
        <v>237</v>
      </c>
      <c r="D2799" s="8" t="s">
        <v>90</v>
      </c>
      <c r="E2799" s="8" t="s">
        <v>91</v>
      </c>
      <c r="F2799" s="9">
        <v>3</v>
      </c>
    </row>
    <row r="2800" spans="1:6" x14ac:dyDescent="0.3">
      <c r="A2800" s="7" t="str">
        <f>_xlfn.XLOOKUP(ColombiaClientes[[#This Row],[Client]],VpsClientes[Client],VpsClientes[VP],"",0)</f>
        <v>Moises Saavedra Garcia</v>
      </c>
      <c r="B2800" s="8" t="s">
        <v>187</v>
      </c>
      <c r="C2800" s="8" t="s">
        <v>237</v>
      </c>
      <c r="D2800" s="8" t="s">
        <v>90</v>
      </c>
      <c r="E2800" s="8" t="s">
        <v>91</v>
      </c>
      <c r="F2800" s="9">
        <v>2</v>
      </c>
    </row>
    <row r="2801" spans="1:6" x14ac:dyDescent="0.3">
      <c r="A2801" s="7" t="str">
        <f>_xlfn.XLOOKUP(ColombiaClientes[[#This Row],[Client]],VpsClientes[Client],VpsClientes[VP],"",0)</f>
        <v>Moises Saavedra Garcia</v>
      </c>
      <c r="B2801" s="8" t="s">
        <v>175</v>
      </c>
      <c r="C2801" s="8" t="s">
        <v>237</v>
      </c>
      <c r="D2801" s="8" t="s">
        <v>90</v>
      </c>
      <c r="E2801" s="8" t="s">
        <v>91</v>
      </c>
      <c r="F2801" s="9">
        <v>1</v>
      </c>
    </row>
    <row r="2802" spans="1:6" x14ac:dyDescent="0.3">
      <c r="A2802" s="7" t="str">
        <f>_xlfn.XLOOKUP(ColombiaClientes[[#This Row],[Client]],VpsClientes[Client],VpsClientes[VP],"",0)</f>
        <v>Maria Forero Jara</v>
      </c>
      <c r="B2802" s="8" t="s">
        <v>161</v>
      </c>
      <c r="C2802" s="8" t="s">
        <v>237</v>
      </c>
      <c r="D2802" s="8" t="s">
        <v>90</v>
      </c>
      <c r="E2802" s="8" t="s">
        <v>91</v>
      </c>
      <c r="F2802" s="9">
        <v>1</v>
      </c>
    </row>
    <row r="2803" spans="1:6" x14ac:dyDescent="0.3">
      <c r="A2803" s="7" t="str">
        <f>_xlfn.XLOOKUP(ColombiaClientes[[#This Row],[Client]],VpsClientes[Client],VpsClientes[VP],"",0)</f>
        <v>Hector Muraira Garza</v>
      </c>
      <c r="B2803" s="8" t="s">
        <v>164</v>
      </c>
      <c r="C2803" s="8" t="s">
        <v>237</v>
      </c>
      <c r="D2803" s="8" t="s">
        <v>90</v>
      </c>
      <c r="E2803" s="8" t="s">
        <v>91</v>
      </c>
      <c r="F2803" s="9">
        <v>1</v>
      </c>
    </row>
    <row r="2804" spans="1:6" x14ac:dyDescent="0.3">
      <c r="A2804" s="7" t="str">
        <f>_xlfn.XLOOKUP(ColombiaClientes[[#This Row],[Client]],VpsClientes[Client],VpsClientes[VP],"",0)</f>
        <v>Martha Guzman Arango</v>
      </c>
      <c r="B2804" s="8" t="s">
        <v>155</v>
      </c>
      <c r="C2804" s="8" t="s">
        <v>237</v>
      </c>
      <c r="D2804" s="8" t="s">
        <v>90</v>
      </c>
      <c r="E2804" s="8" t="s">
        <v>91</v>
      </c>
      <c r="F2804" s="9">
        <v>0</v>
      </c>
    </row>
    <row r="2805" spans="1:6" x14ac:dyDescent="0.3">
      <c r="A2805" s="7" t="str">
        <f>_xlfn.XLOOKUP(ColombiaClientes[[#This Row],[Client]],VpsClientes[Client],VpsClientes[VP],"",0)</f>
        <v>Martha Guzman Arango</v>
      </c>
      <c r="B2805" s="8" t="s">
        <v>186</v>
      </c>
      <c r="C2805" s="8" t="s">
        <v>237</v>
      </c>
      <c r="D2805" s="8" t="s">
        <v>90</v>
      </c>
      <c r="E2805" s="8" t="s">
        <v>91</v>
      </c>
      <c r="F2805" s="9">
        <v>0</v>
      </c>
    </row>
    <row r="2806" spans="1:6" x14ac:dyDescent="0.3">
      <c r="A2806" s="7" t="str">
        <f>_xlfn.XLOOKUP(ColombiaClientes[[#This Row],[Client]],VpsClientes[Client],VpsClientes[VP],"",0)</f>
        <v>Maria Forero Jara</v>
      </c>
      <c r="B2806" s="8" t="s">
        <v>198</v>
      </c>
      <c r="C2806" s="8" t="s">
        <v>237</v>
      </c>
      <c r="D2806" s="8" t="s">
        <v>90</v>
      </c>
      <c r="E2806" s="8" t="s">
        <v>91</v>
      </c>
      <c r="F2806" s="9">
        <v>0</v>
      </c>
    </row>
    <row r="2807" spans="1:6" x14ac:dyDescent="0.3">
      <c r="A2807" s="7" t="str">
        <f>_xlfn.XLOOKUP(ColombiaClientes[[#This Row],[Client]],VpsClientes[Client],VpsClientes[VP],"",0)</f>
        <v>Jhonatan Izquierdo Rico</v>
      </c>
      <c r="B2807" s="8" t="s">
        <v>197</v>
      </c>
      <c r="C2807" s="8" t="s">
        <v>237</v>
      </c>
      <c r="D2807" s="8" t="s">
        <v>90</v>
      </c>
      <c r="E2807" s="8" t="s">
        <v>91</v>
      </c>
      <c r="F2807" s="9">
        <v>0</v>
      </c>
    </row>
    <row r="2808" spans="1:6" x14ac:dyDescent="0.3">
      <c r="A2808" s="7" t="str">
        <f>_xlfn.XLOOKUP(ColombiaClientes[[#This Row],[Client]],VpsClientes[Client],VpsClientes[VP],"",0)</f>
        <v>Carlos Beltran Hernandez</v>
      </c>
      <c r="B2808" s="165" t="s">
        <v>94</v>
      </c>
      <c r="C2808" t="s">
        <v>237</v>
      </c>
      <c r="D2808" t="s">
        <v>90</v>
      </c>
      <c r="E2808" t="s">
        <v>206</v>
      </c>
      <c r="F2808" s="167">
        <v>8843</v>
      </c>
    </row>
    <row r="2809" spans="1:6" x14ac:dyDescent="0.3">
      <c r="A2809" s="7" t="str">
        <f>_xlfn.XLOOKUP(ColombiaClientes[[#This Row],[Client]],VpsClientes[Client],VpsClientes[VP],"",0)</f>
        <v>Carlos Beltran Hernandez</v>
      </c>
      <c r="B2809" s="165" t="s">
        <v>93</v>
      </c>
      <c r="C2809" s="166" t="s">
        <v>237</v>
      </c>
      <c r="D2809" s="171" t="s">
        <v>90</v>
      </c>
      <c r="E2809" s="166" t="s">
        <v>206</v>
      </c>
      <c r="F2809" s="167">
        <v>5512</v>
      </c>
    </row>
    <row r="2810" spans="1:6" x14ac:dyDescent="0.3">
      <c r="A2810" s="7" t="str">
        <f>_xlfn.XLOOKUP(ColombiaClientes[[#This Row],[Client]],VpsClientes[Client],VpsClientes[VP],"",0)</f>
        <v>Carlos Beltran Hernandez</v>
      </c>
      <c r="B2810" s="165" t="s">
        <v>102</v>
      </c>
      <c r="C2810" s="166" t="s">
        <v>237</v>
      </c>
      <c r="D2810" s="171" t="s">
        <v>90</v>
      </c>
      <c r="E2810" s="166" t="s">
        <v>206</v>
      </c>
      <c r="F2810" s="167">
        <v>5484</v>
      </c>
    </row>
    <row r="2811" spans="1:6" x14ac:dyDescent="0.3">
      <c r="A2811" s="7" t="str">
        <f>_xlfn.XLOOKUP(ColombiaClientes[[#This Row],[Client]],VpsClientes[Client],VpsClientes[VP],"",0)</f>
        <v>Jhonatan Izquierdo Rico</v>
      </c>
      <c r="B2811" s="165" t="s">
        <v>104</v>
      </c>
      <c r="C2811" s="166" t="s">
        <v>237</v>
      </c>
      <c r="D2811" s="171" t="s">
        <v>90</v>
      </c>
      <c r="E2811" s="166" t="s">
        <v>206</v>
      </c>
      <c r="F2811" s="167">
        <v>4720</v>
      </c>
    </row>
    <row r="2812" spans="1:6" x14ac:dyDescent="0.3">
      <c r="A2812" s="7" t="str">
        <f>_xlfn.XLOOKUP(ColombiaClientes[[#This Row],[Client]],VpsClientes[Client],VpsClientes[VP],"",0)</f>
        <v>Moises Saavedra Garcia</v>
      </c>
      <c r="B2812" s="165" t="s">
        <v>99</v>
      </c>
      <c r="C2812" s="166" t="s">
        <v>237</v>
      </c>
      <c r="D2812" s="171" t="s">
        <v>90</v>
      </c>
      <c r="E2812" s="166" t="s">
        <v>206</v>
      </c>
      <c r="F2812" s="167">
        <v>4400</v>
      </c>
    </row>
    <row r="2813" spans="1:6" x14ac:dyDescent="0.3">
      <c r="A2813" s="7" t="str">
        <f>_xlfn.XLOOKUP(ColombiaClientes[[#This Row],[Client]],VpsClientes[Client],VpsClientes[VP],"",0)</f>
        <v>Carlos Castillo Figueroa</v>
      </c>
      <c r="B2813" s="165" t="s">
        <v>105</v>
      </c>
      <c r="C2813" s="166" t="s">
        <v>237</v>
      </c>
      <c r="D2813" s="171" t="s">
        <v>90</v>
      </c>
      <c r="E2813" s="166" t="s">
        <v>206</v>
      </c>
      <c r="F2813" s="167">
        <v>4013</v>
      </c>
    </row>
    <row r="2814" spans="1:6" x14ac:dyDescent="0.3">
      <c r="A2814" s="7" t="str">
        <f>_xlfn.XLOOKUP(ColombiaClientes[[#This Row],[Client]],VpsClientes[Client],VpsClientes[VP],"",0)</f>
        <v>Jhonatan Izquierdo Rico</v>
      </c>
      <c r="B2814" s="165" t="s">
        <v>128</v>
      </c>
      <c r="C2814" s="166" t="s">
        <v>237</v>
      </c>
      <c r="D2814" s="171" t="s">
        <v>90</v>
      </c>
      <c r="E2814" s="166" t="s">
        <v>206</v>
      </c>
      <c r="F2814" s="167">
        <v>3897</v>
      </c>
    </row>
    <row r="2815" spans="1:6" x14ac:dyDescent="0.3">
      <c r="A2815" s="7" t="str">
        <f>_xlfn.XLOOKUP(ColombiaClientes[[#This Row],[Client]],VpsClientes[Client],VpsClientes[VP],"",0)</f>
        <v>Martha Guzman Arango</v>
      </c>
      <c r="B2815" s="165" t="s">
        <v>96</v>
      </c>
      <c r="C2815" s="166" t="s">
        <v>237</v>
      </c>
      <c r="D2815" s="171" t="s">
        <v>90</v>
      </c>
      <c r="E2815" s="166" t="s">
        <v>206</v>
      </c>
      <c r="F2815" s="167">
        <v>3737</v>
      </c>
    </row>
    <row r="2816" spans="1:6" x14ac:dyDescent="0.3">
      <c r="A2816" s="7" t="str">
        <f>_xlfn.XLOOKUP(ColombiaClientes[[#This Row],[Client]],VpsClientes[Client],VpsClientes[VP],"",0)</f>
        <v>Sandra Romero Zuluaga</v>
      </c>
      <c r="B2816" s="165" t="s">
        <v>113</v>
      </c>
      <c r="C2816" s="166" t="s">
        <v>237</v>
      </c>
      <c r="D2816" s="171" t="s">
        <v>90</v>
      </c>
      <c r="E2816" s="166" t="s">
        <v>206</v>
      </c>
      <c r="F2816" s="167">
        <v>3331</v>
      </c>
    </row>
    <row r="2817" spans="1:6" x14ac:dyDescent="0.3">
      <c r="A2817" s="7" t="str">
        <f>_xlfn.XLOOKUP(ColombiaClientes[[#This Row],[Client]],VpsClientes[Client],VpsClientes[VP],"",0)</f>
        <v>Jhonatan Izquierdo Rico</v>
      </c>
      <c r="B2817" s="165" t="s">
        <v>107</v>
      </c>
      <c r="C2817" s="166" t="s">
        <v>237</v>
      </c>
      <c r="D2817" s="171" t="s">
        <v>90</v>
      </c>
      <c r="E2817" s="166" t="s">
        <v>206</v>
      </c>
      <c r="F2817" s="167">
        <v>3295</v>
      </c>
    </row>
    <row r="2818" spans="1:6" x14ac:dyDescent="0.3">
      <c r="A2818" s="7" t="str">
        <f>_xlfn.XLOOKUP(ColombiaClientes[[#This Row],[Client]],VpsClientes[Client],VpsClientes[VP],"",0)</f>
        <v>Martha Guzman Arango</v>
      </c>
      <c r="B2818" s="165" t="s">
        <v>100</v>
      </c>
      <c r="C2818" s="166" t="s">
        <v>237</v>
      </c>
      <c r="D2818" s="171" t="s">
        <v>90</v>
      </c>
      <c r="E2818" s="166" t="s">
        <v>206</v>
      </c>
      <c r="F2818" s="167">
        <v>3274</v>
      </c>
    </row>
    <row r="2819" spans="1:6" x14ac:dyDescent="0.3">
      <c r="A2819" s="7" t="str">
        <f>_xlfn.XLOOKUP(ColombiaClientes[[#This Row],[Client]],VpsClientes[Client],VpsClientes[VP],"",0)</f>
        <v>Maria Forero Jara</v>
      </c>
      <c r="B2819" s="165" t="s">
        <v>101</v>
      </c>
      <c r="C2819" s="166" t="s">
        <v>237</v>
      </c>
      <c r="D2819" s="171" t="s">
        <v>90</v>
      </c>
      <c r="E2819" s="166" t="s">
        <v>206</v>
      </c>
      <c r="F2819" s="167">
        <v>3054</v>
      </c>
    </row>
    <row r="2820" spans="1:6" x14ac:dyDescent="0.3">
      <c r="A2820" s="7" t="str">
        <f>_xlfn.XLOOKUP(ColombiaClientes[[#This Row],[Client]],VpsClientes[Client],VpsClientes[VP],"",0)</f>
        <v>Hector Muraira Garza</v>
      </c>
      <c r="B2820" s="165" t="s">
        <v>137</v>
      </c>
      <c r="C2820" s="166" t="s">
        <v>237</v>
      </c>
      <c r="D2820" s="171" t="s">
        <v>90</v>
      </c>
      <c r="E2820" s="166" t="s">
        <v>206</v>
      </c>
      <c r="F2820" s="167">
        <v>2775</v>
      </c>
    </row>
    <row r="2821" spans="1:6" x14ac:dyDescent="0.3">
      <c r="A2821" s="7" t="str">
        <f>_xlfn.XLOOKUP(ColombiaClientes[[#This Row],[Client]],VpsClientes[Client],VpsClientes[VP],"",0)</f>
        <v>Martha Guzman Arango</v>
      </c>
      <c r="B2821" s="165" t="s">
        <v>98</v>
      </c>
      <c r="C2821" s="166" t="s">
        <v>237</v>
      </c>
      <c r="D2821" s="171" t="s">
        <v>90</v>
      </c>
      <c r="E2821" s="166" t="s">
        <v>206</v>
      </c>
      <c r="F2821" s="167">
        <v>2772</v>
      </c>
    </row>
    <row r="2822" spans="1:6" x14ac:dyDescent="0.3">
      <c r="A2822" s="7" t="str">
        <f>_xlfn.XLOOKUP(ColombiaClientes[[#This Row],[Client]],VpsClientes[Client],VpsClientes[VP],"",0)</f>
        <v>Ludy Torres Benitez</v>
      </c>
      <c r="B2822" s="165" t="s">
        <v>95</v>
      </c>
      <c r="C2822" s="166" t="s">
        <v>237</v>
      </c>
      <c r="D2822" s="171" t="s">
        <v>90</v>
      </c>
      <c r="E2822" s="166" t="s">
        <v>206</v>
      </c>
      <c r="F2822" s="167">
        <v>2679</v>
      </c>
    </row>
    <row r="2823" spans="1:6" x14ac:dyDescent="0.3">
      <c r="A2823" s="7" t="str">
        <f>_xlfn.XLOOKUP(ColombiaClientes[[#This Row],[Client]],VpsClientes[Client],VpsClientes[VP],"",0)</f>
        <v>Martha Guzman Arango</v>
      </c>
      <c r="B2823" s="165" t="s">
        <v>103</v>
      </c>
      <c r="C2823" s="166" t="s">
        <v>237</v>
      </c>
      <c r="D2823" s="171" t="s">
        <v>90</v>
      </c>
      <c r="E2823" s="166" t="s">
        <v>206</v>
      </c>
      <c r="F2823" s="167">
        <v>2218</v>
      </c>
    </row>
    <row r="2824" spans="1:6" x14ac:dyDescent="0.3">
      <c r="A2824" s="7" t="str">
        <f>_xlfn.XLOOKUP(ColombiaClientes[[#This Row],[Client]],VpsClientes[Client],VpsClientes[VP],"",0)</f>
        <v>Martha Guzman Arango</v>
      </c>
      <c r="B2824" s="165" t="s">
        <v>97</v>
      </c>
      <c r="C2824" s="166" t="s">
        <v>237</v>
      </c>
      <c r="D2824" s="171" t="s">
        <v>90</v>
      </c>
      <c r="E2824" s="166" t="s">
        <v>206</v>
      </c>
      <c r="F2824" s="167">
        <v>2003</v>
      </c>
    </row>
    <row r="2825" spans="1:6" x14ac:dyDescent="0.3">
      <c r="A2825" s="7" t="str">
        <f>_xlfn.XLOOKUP(ColombiaClientes[[#This Row],[Client]],VpsClientes[Client],VpsClientes[VP],"",0)</f>
        <v>Martha Guzman Arango</v>
      </c>
      <c r="B2825" s="165" t="s">
        <v>122</v>
      </c>
      <c r="C2825" s="166" t="s">
        <v>237</v>
      </c>
      <c r="D2825" s="171" t="s">
        <v>90</v>
      </c>
      <c r="E2825" s="166" t="s">
        <v>206</v>
      </c>
      <c r="F2825" s="167">
        <v>1824</v>
      </c>
    </row>
    <row r="2826" spans="1:6" x14ac:dyDescent="0.3">
      <c r="A2826" s="7" t="str">
        <f>_xlfn.XLOOKUP(ColombiaClientes[[#This Row],[Client]],VpsClientes[Client],VpsClientes[VP],"",0)</f>
        <v>Maria Forero Jara</v>
      </c>
      <c r="B2826" s="165" t="s">
        <v>125</v>
      </c>
      <c r="C2826" s="166" t="s">
        <v>237</v>
      </c>
      <c r="D2826" s="171" t="s">
        <v>90</v>
      </c>
      <c r="E2826" s="166" t="s">
        <v>206</v>
      </c>
      <c r="F2826" s="167">
        <v>1767</v>
      </c>
    </row>
    <row r="2827" spans="1:6" x14ac:dyDescent="0.3">
      <c r="A2827" s="7" t="str">
        <f>_xlfn.XLOOKUP(ColombiaClientes[[#This Row],[Client]],VpsClientes[Client],VpsClientes[VP],"",0)</f>
        <v>Jhonatan Izquierdo Rico</v>
      </c>
      <c r="B2827" s="165" t="s">
        <v>112</v>
      </c>
      <c r="C2827" s="166" t="s">
        <v>237</v>
      </c>
      <c r="D2827" s="171" t="s">
        <v>90</v>
      </c>
      <c r="E2827" s="166" t="s">
        <v>206</v>
      </c>
      <c r="F2827" s="167">
        <v>1491</v>
      </c>
    </row>
    <row r="2828" spans="1:6" x14ac:dyDescent="0.3">
      <c r="A2828" s="7" t="str">
        <f>_xlfn.XLOOKUP(ColombiaClientes[[#This Row],[Client]],VpsClientes[Client],VpsClientes[VP],"",0)</f>
        <v>Martha Guzman Arango</v>
      </c>
      <c r="B2828" s="165" t="s">
        <v>114</v>
      </c>
      <c r="C2828" s="166" t="s">
        <v>237</v>
      </c>
      <c r="D2828" s="171" t="s">
        <v>90</v>
      </c>
      <c r="E2828" s="166" t="s">
        <v>206</v>
      </c>
      <c r="F2828" s="167">
        <v>1316</v>
      </c>
    </row>
    <row r="2829" spans="1:6" x14ac:dyDescent="0.3">
      <c r="A2829" s="7" t="str">
        <f>_xlfn.XLOOKUP(ColombiaClientes[[#This Row],[Client]],VpsClientes[Client],VpsClientes[VP],"",0)</f>
        <v>Maria Forero Jara</v>
      </c>
      <c r="B2829" s="165" t="s">
        <v>108</v>
      </c>
      <c r="C2829" s="166" t="s">
        <v>237</v>
      </c>
      <c r="D2829" s="171" t="s">
        <v>90</v>
      </c>
      <c r="E2829" s="166" t="s">
        <v>206</v>
      </c>
      <c r="F2829" s="167">
        <v>1066</v>
      </c>
    </row>
    <row r="2830" spans="1:6" x14ac:dyDescent="0.3">
      <c r="A2830" s="7" t="str">
        <f>_xlfn.XLOOKUP(ColombiaClientes[[#This Row],[Client]],VpsClientes[Client],VpsClientes[VP],"",0)</f>
        <v>Carlos Beltran Hernandez</v>
      </c>
      <c r="B2830" s="165" t="s">
        <v>119</v>
      </c>
      <c r="C2830" s="166" t="s">
        <v>237</v>
      </c>
      <c r="D2830" s="171" t="s">
        <v>90</v>
      </c>
      <c r="E2830" s="166" t="s">
        <v>206</v>
      </c>
      <c r="F2830" s="167">
        <v>1042</v>
      </c>
    </row>
    <row r="2831" spans="1:6" x14ac:dyDescent="0.3">
      <c r="A2831" s="7" t="str">
        <f>_xlfn.XLOOKUP(ColombiaClientes[[#This Row],[Client]],VpsClientes[Client],VpsClientes[VP],"",0)</f>
        <v>Maria Forero Jara</v>
      </c>
      <c r="B2831" s="165" t="s">
        <v>106</v>
      </c>
      <c r="C2831" s="166" t="s">
        <v>237</v>
      </c>
      <c r="D2831" s="171" t="s">
        <v>90</v>
      </c>
      <c r="E2831" s="166" t="s">
        <v>206</v>
      </c>
      <c r="F2831" s="167">
        <v>999</v>
      </c>
    </row>
    <row r="2832" spans="1:6" x14ac:dyDescent="0.3">
      <c r="A2832" s="7" t="str">
        <f>_xlfn.XLOOKUP(ColombiaClientes[[#This Row],[Client]],VpsClientes[Client],VpsClientes[VP],"",0)</f>
        <v>Maria Forero Jara</v>
      </c>
      <c r="B2832" s="165" t="s">
        <v>139</v>
      </c>
      <c r="C2832" s="166" t="s">
        <v>237</v>
      </c>
      <c r="D2832" s="171" t="s">
        <v>90</v>
      </c>
      <c r="E2832" s="166" t="s">
        <v>206</v>
      </c>
      <c r="F2832" s="167">
        <v>982</v>
      </c>
    </row>
    <row r="2833" spans="1:6" x14ac:dyDescent="0.3">
      <c r="A2833" s="7" t="str">
        <f>_xlfn.XLOOKUP(ColombiaClientes[[#This Row],[Client]],VpsClientes[Client],VpsClientes[VP],"",0)</f>
        <v>Juan Granados Castillo</v>
      </c>
      <c r="B2833" s="165" t="s">
        <v>136</v>
      </c>
      <c r="C2833" s="166" t="s">
        <v>237</v>
      </c>
      <c r="D2833" s="171" t="s">
        <v>90</v>
      </c>
      <c r="E2833" s="166" t="s">
        <v>206</v>
      </c>
      <c r="F2833" s="167">
        <v>890</v>
      </c>
    </row>
    <row r="2834" spans="1:6" x14ac:dyDescent="0.3">
      <c r="A2834" s="7" t="str">
        <f>_xlfn.XLOOKUP(ColombiaClientes[[#This Row],[Client]],VpsClientes[Client],VpsClientes[VP],"",0)</f>
        <v>Martha Guzman Arango</v>
      </c>
      <c r="B2834" s="165" t="s">
        <v>135</v>
      </c>
      <c r="C2834" s="166" t="s">
        <v>237</v>
      </c>
      <c r="D2834" s="171" t="s">
        <v>90</v>
      </c>
      <c r="E2834" s="166" t="s">
        <v>206</v>
      </c>
      <c r="F2834" s="167">
        <v>835</v>
      </c>
    </row>
    <row r="2835" spans="1:6" x14ac:dyDescent="0.3">
      <c r="A2835" s="7" t="str">
        <f>_xlfn.XLOOKUP(ColombiaClientes[[#This Row],[Client]],VpsClientes[Client],VpsClientes[VP],"",0)</f>
        <v>Ernesto Rico Zuluaga</v>
      </c>
      <c r="B2835" s="165" t="s">
        <v>116</v>
      </c>
      <c r="C2835" s="166" t="s">
        <v>237</v>
      </c>
      <c r="D2835" s="171" t="s">
        <v>90</v>
      </c>
      <c r="E2835" s="166" t="s">
        <v>206</v>
      </c>
      <c r="F2835" s="167">
        <v>794</v>
      </c>
    </row>
    <row r="2836" spans="1:6" x14ac:dyDescent="0.3">
      <c r="A2836" s="7" t="str">
        <f>_xlfn.XLOOKUP(ColombiaClientes[[#This Row],[Client]],VpsClientes[Client],VpsClientes[VP],"",0)</f>
        <v>Martha Guzman Arango</v>
      </c>
      <c r="B2836" s="165" t="s">
        <v>118</v>
      </c>
      <c r="C2836" s="166" t="s">
        <v>237</v>
      </c>
      <c r="D2836" s="171" t="s">
        <v>90</v>
      </c>
      <c r="E2836" s="166" t="s">
        <v>206</v>
      </c>
      <c r="F2836" s="167">
        <v>694</v>
      </c>
    </row>
    <row r="2837" spans="1:6" x14ac:dyDescent="0.3">
      <c r="A2837" s="7" t="str">
        <f>_xlfn.XLOOKUP(ColombiaClientes[[#This Row],[Client]],VpsClientes[Client],VpsClientes[VP],"",0)</f>
        <v>Martha Guzman Arango</v>
      </c>
      <c r="B2837" s="165" t="s">
        <v>143</v>
      </c>
      <c r="C2837" s="166" t="s">
        <v>237</v>
      </c>
      <c r="D2837" s="171" t="s">
        <v>90</v>
      </c>
      <c r="E2837" s="166" t="s">
        <v>206</v>
      </c>
      <c r="F2837" s="167">
        <v>632</v>
      </c>
    </row>
    <row r="2838" spans="1:6" x14ac:dyDescent="0.3">
      <c r="A2838" s="7" t="str">
        <f>_xlfn.XLOOKUP(ColombiaClientes[[#This Row],[Client]],VpsClientes[Client],VpsClientes[VP],"",0)</f>
        <v>Maria Forero Jara</v>
      </c>
      <c r="B2838" s="165" t="s">
        <v>123</v>
      </c>
      <c r="C2838" s="166" t="s">
        <v>237</v>
      </c>
      <c r="D2838" s="171" t="s">
        <v>90</v>
      </c>
      <c r="E2838" s="166" t="s">
        <v>206</v>
      </c>
      <c r="F2838" s="167">
        <v>600</v>
      </c>
    </row>
    <row r="2839" spans="1:6" x14ac:dyDescent="0.3">
      <c r="A2839" s="7" t="str">
        <f>_xlfn.XLOOKUP(ColombiaClientes[[#This Row],[Client]],VpsClientes[Client],VpsClientes[VP],"",0)</f>
        <v>Martha Guzman Arango</v>
      </c>
      <c r="B2839" s="165" t="s">
        <v>109</v>
      </c>
      <c r="C2839" s="166" t="s">
        <v>237</v>
      </c>
      <c r="D2839" s="171" t="s">
        <v>90</v>
      </c>
      <c r="E2839" s="166" t="s">
        <v>206</v>
      </c>
      <c r="F2839" s="167">
        <v>560</v>
      </c>
    </row>
    <row r="2840" spans="1:6" x14ac:dyDescent="0.3">
      <c r="A2840" s="7" t="str">
        <f>_xlfn.XLOOKUP(ColombiaClientes[[#This Row],[Client]],VpsClientes[Client],VpsClientes[VP],"",0)</f>
        <v>Hector Muraira Garza</v>
      </c>
      <c r="B2840" s="165" t="s">
        <v>130</v>
      </c>
      <c r="C2840" s="166" t="s">
        <v>237</v>
      </c>
      <c r="D2840" s="171" t="s">
        <v>90</v>
      </c>
      <c r="E2840" s="166" t="s">
        <v>206</v>
      </c>
      <c r="F2840" s="167">
        <v>560</v>
      </c>
    </row>
    <row r="2841" spans="1:6" x14ac:dyDescent="0.3">
      <c r="A2841" s="7" t="str">
        <f>_xlfn.XLOOKUP(ColombiaClientes[[#This Row],[Client]],VpsClientes[Client],VpsClientes[VP],"",0)</f>
        <v>Moises Saavedra Garcia</v>
      </c>
      <c r="B2841" s="165" t="s">
        <v>150</v>
      </c>
      <c r="C2841" s="166" t="s">
        <v>237</v>
      </c>
      <c r="D2841" s="171" t="s">
        <v>90</v>
      </c>
      <c r="E2841" s="166" t="s">
        <v>206</v>
      </c>
      <c r="F2841" s="167">
        <v>544</v>
      </c>
    </row>
    <row r="2842" spans="1:6" x14ac:dyDescent="0.3">
      <c r="A2842" s="7" t="str">
        <f>_xlfn.XLOOKUP(ColombiaClientes[[#This Row],[Client]],VpsClientes[Client],VpsClientes[VP],"",0)</f>
        <v>Martha Guzman Arango</v>
      </c>
      <c r="B2842" s="165" t="s">
        <v>166</v>
      </c>
      <c r="C2842" s="166" t="s">
        <v>237</v>
      </c>
      <c r="D2842" s="171" t="s">
        <v>90</v>
      </c>
      <c r="E2842" s="166" t="s">
        <v>206</v>
      </c>
      <c r="F2842" s="167">
        <v>473</v>
      </c>
    </row>
    <row r="2843" spans="1:6" x14ac:dyDescent="0.3">
      <c r="A2843" s="7" t="str">
        <f>_xlfn.XLOOKUP(ColombiaClientes[[#This Row],[Client]],VpsClientes[Client],VpsClientes[VP],"",0)</f>
        <v>Ernesto Rico Zuluaga</v>
      </c>
      <c r="B2843" s="165" t="s">
        <v>121</v>
      </c>
      <c r="C2843" s="166" t="s">
        <v>237</v>
      </c>
      <c r="D2843" s="171" t="s">
        <v>90</v>
      </c>
      <c r="E2843" s="166" t="s">
        <v>206</v>
      </c>
      <c r="F2843" s="167">
        <v>467</v>
      </c>
    </row>
    <row r="2844" spans="1:6" x14ac:dyDescent="0.3">
      <c r="A2844" s="7" t="str">
        <f>_xlfn.XLOOKUP(ColombiaClientes[[#This Row],[Client]],VpsClientes[Client],VpsClientes[VP],"",0)</f>
        <v>Jhonatan Izquierdo Rico</v>
      </c>
      <c r="B2844" s="165" t="s">
        <v>126</v>
      </c>
      <c r="C2844" s="166" t="s">
        <v>237</v>
      </c>
      <c r="D2844" s="171" t="s">
        <v>90</v>
      </c>
      <c r="E2844" s="166" t="s">
        <v>206</v>
      </c>
      <c r="F2844" s="167">
        <v>444</v>
      </c>
    </row>
    <row r="2845" spans="1:6" x14ac:dyDescent="0.3">
      <c r="A2845" s="7" t="str">
        <f>_xlfn.XLOOKUP(ColombiaClientes[[#This Row],[Client]],VpsClientes[Client],VpsClientes[VP],"",0)</f>
        <v>Moises Saavedra Garcia</v>
      </c>
      <c r="B2845" s="165" t="s">
        <v>115</v>
      </c>
      <c r="C2845" s="166" t="s">
        <v>237</v>
      </c>
      <c r="D2845" s="171" t="s">
        <v>90</v>
      </c>
      <c r="E2845" s="166" t="s">
        <v>206</v>
      </c>
      <c r="F2845" s="167">
        <v>442</v>
      </c>
    </row>
    <row r="2846" spans="1:6" x14ac:dyDescent="0.3">
      <c r="A2846" s="7" t="str">
        <f>_xlfn.XLOOKUP(ColombiaClientes[[#This Row],[Client]],VpsClientes[Client],VpsClientes[VP],"",0)</f>
        <v>Martha Guzman Arango</v>
      </c>
      <c r="B2846" s="165" t="s">
        <v>199</v>
      </c>
      <c r="C2846" s="166" t="s">
        <v>237</v>
      </c>
      <c r="D2846" s="171" t="s">
        <v>90</v>
      </c>
      <c r="E2846" s="166" t="s">
        <v>206</v>
      </c>
      <c r="F2846" s="167">
        <v>421</v>
      </c>
    </row>
    <row r="2847" spans="1:6" x14ac:dyDescent="0.3">
      <c r="A2847" s="7" t="str">
        <f>_xlfn.XLOOKUP(ColombiaClientes[[#This Row],[Client]],VpsClientes[Client],VpsClientes[VP],"",0)</f>
        <v>Moises Saavedra Garcia</v>
      </c>
      <c r="B2847" s="165" t="s">
        <v>120</v>
      </c>
      <c r="C2847" s="166" t="s">
        <v>237</v>
      </c>
      <c r="D2847" s="171" t="s">
        <v>90</v>
      </c>
      <c r="E2847" s="166" t="s">
        <v>206</v>
      </c>
      <c r="F2847" s="167">
        <v>409</v>
      </c>
    </row>
    <row r="2848" spans="1:6" x14ac:dyDescent="0.3">
      <c r="A2848" s="7" t="str">
        <f>_xlfn.XLOOKUP(ColombiaClientes[[#This Row],[Client]],VpsClientes[Client],VpsClientes[VP],"",0)</f>
        <v>Moises Saavedra Garcia</v>
      </c>
      <c r="B2848" s="165" t="s">
        <v>172</v>
      </c>
      <c r="C2848" s="166" t="s">
        <v>237</v>
      </c>
      <c r="D2848" s="171" t="s">
        <v>90</v>
      </c>
      <c r="E2848" s="166" t="s">
        <v>206</v>
      </c>
      <c r="F2848" s="167">
        <v>383</v>
      </c>
    </row>
    <row r="2849" spans="1:6" x14ac:dyDescent="0.3">
      <c r="A2849" s="7" t="str">
        <f>_xlfn.XLOOKUP(ColombiaClientes[[#This Row],[Client]],VpsClientes[Client],VpsClientes[VP],"",0)</f>
        <v>Carlos Beltran Hernandez</v>
      </c>
      <c r="B2849" s="165" t="s">
        <v>173</v>
      </c>
      <c r="C2849" s="166" t="s">
        <v>237</v>
      </c>
      <c r="D2849" s="171" t="s">
        <v>90</v>
      </c>
      <c r="E2849" s="166" t="s">
        <v>206</v>
      </c>
      <c r="F2849" s="167">
        <v>367</v>
      </c>
    </row>
    <row r="2850" spans="1:6" x14ac:dyDescent="0.3">
      <c r="A2850" s="7" t="str">
        <f>_xlfn.XLOOKUP(ColombiaClientes[[#This Row],[Client]],VpsClientes[Client],VpsClientes[VP],"",0)</f>
        <v>Jhonatan Izquierdo Rico</v>
      </c>
      <c r="B2850" s="165" t="s">
        <v>117</v>
      </c>
      <c r="C2850" s="166" t="s">
        <v>237</v>
      </c>
      <c r="D2850" s="171" t="s">
        <v>90</v>
      </c>
      <c r="E2850" s="166" t="s">
        <v>206</v>
      </c>
      <c r="F2850" s="167">
        <v>357</v>
      </c>
    </row>
    <row r="2851" spans="1:6" x14ac:dyDescent="0.3">
      <c r="A2851" s="7" t="str">
        <f>_xlfn.XLOOKUP(ColombiaClientes[[#This Row],[Client]],VpsClientes[Client],VpsClientes[VP],"",0)</f>
        <v>Martha Guzman Arango</v>
      </c>
      <c r="B2851" s="165" t="s">
        <v>124</v>
      </c>
      <c r="C2851" s="166" t="s">
        <v>237</v>
      </c>
      <c r="D2851" s="171" t="s">
        <v>90</v>
      </c>
      <c r="E2851" s="166" t="s">
        <v>206</v>
      </c>
      <c r="F2851" s="167">
        <v>332</v>
      </c>
    </row>
    <row r="2852" spans="1:6" x14ac:dyDescent="0.3">
      <c r="A2852" s="7" t="str">
        <f>_xlfn.XLOOKUP(ColombiaClientes[[#This Row],[Client]],VpsClientes[Client],VpsClientes[VP],"",0)</f>
        <v>Martha Guzman Arango</v>
      </c>
      <c r="B2852" s="165" t="s">
        <v>146</v>
      </c>
      <c r="C2852" s="166" t="s">
        <v>237</v>
      </c>
      <c r="D2852" s="171" t="s">
        <v>90</v>
      </c>
      <c r="E2852" s="166" t="s">
        <v>206</v>
      </c>
      <c r="F2852" s="167">
        <v>260</v>
      </c>
    </row>
    <row r="2853" spans="1:6" x14ac:dyDescent="0.3">
      <c r="A2853" s="7" t="str">
        <f>_xlfn.XLOOKUP(ColombiaClientes[[#This Row],[Client]],VpsClientes[Client],VpsClientes[VP],"",0)</f>
        <v>Jhonatan Izquierdo Rico</v>
      </c>
      <c r="B2853" s="165" t="s">
        <v>129</v>
      </c>
      <c r="C2853" s="166" t="s">
        <v>237</v>
      </c>
      <c r="D2853" s="171" t="s">
        <v>90</v>
      </c>
      <c r="E2853" s="166" t="s">
        <v>206</v>
      </c>
      <c r="F2853" s="167">
        <v>257</v>
      </c>
    </row>
    <row r="2854" spans="1:6" x14ac:dyDescent="0.3">
      <c r="A2854" s="7" t="str">
        <f>_xlfn.XLOOKUP(ColombiaClientes[[#This Row],[Client]],VpsClientes[Client],VpsClientes[VP],"",0)</f>
        <v>Juan Granados Castillo</v>
      </c>
      <c r="B2854" s="165" t="s">
        <v>134</v>
      </c>
      <c r="C2854" s="166" t="s">
        <v>237</v>
      </c>
      <c r="D2854" s="171" t="s">
        <v>90</v>
      </c>
      <c r="E2854" s="166" t="s">
        <v>206</v>
      </c>
      <c r="F2854" s="167">
        <v>253</v>
      </c>
    </row>
    <row r="2855" spans="1:6" x14ac:dyDescent="0.3">
      <c r="A2855" s="7" t="str">
        <f>_xlfn.XLOOKUP(ColombiaClientes[[#This Row],[Client]],VpsClientes[Client],VpsClientes[VP],"",0)</f>
        <v>Jhonatan Izquierdo Rico</v>
      </c>
      <c r="B2855" s="165" t="s">
        <v>138</v>
      </c>
      <c r="C2855" s="166" t="s">
        <v>237</v>
      </c>
      <c r="D2855" s="171" t="s">
        <v>90</v>
      </c>
      <c r="E2855" s="166" t="s">
        <v>206</v>
      </c>
      <c r="F2855" s="167">
        <v>252</v>
      </c>
    </row>
    <row r="2856" spans="1:6" x14ac:dyDescent="0.3">
      <c r="A2856" s="7" t="str">
        <f>_xlfn.XLOOKUP(ColombiaClientes[[#This Row],[Client]],VpsClientes[Client],VpsClientes[VP],"",0)</f>
        <v>Jhonatan Izquierdo Rico</v>
      </c>
      <c r="B2856" s="165" t="s">
        <v>157</v>
      </c>
      <c r="C2856" s="166" t="s">
        <v>237</v>
      </c>
      <c r="D2856" s="171" t="s">
        <v>90</v>
      </c>
      <c r="E2856" s="166" t="s">
        <v>206</v>
      </c>
      <c r="F2856" s="167">
        <v>246</v>
      </c>
    </row>
    <row r="2857" spans="1:6" x14ac:dyDescent="0.3">
      <c r="A2857" s="7" t="str">
        <f>_xlfn.XLOOKUP(ColombiaClientes[[#This Row],[Client]],VpsClientes[Client],VpsClientes[VP],"",0)</f>
        <v>Hector Muraira Garza</v>
      </c>
      <c r="B2857" s="165" t="s">
        <v>154</v>
      </c>
      <c r="C2857" s="166" t="s">
        <v>237</v>
      </c>
      <c r="D2857" s="171" t="s">
        <v>90</v>
      </c>
      <c r="E2857" s="166" t="s">
        <v>206</v>
      </c>
      <c r="F2857" s="167">
        <v>228</v>
      </c>
    </row>
    <row r="2858" spans="1:6" x14ac:dyDescent="0.3">
      <c r="A2858" s="7" t="str">
        <f>_xlfn.XLOOKUP(ColombiaClientes[[#This Row],[Client]],VpsClientes[Client],VpsClientes[VP],"",0)</f>
        <v>Maria Forero Jara</v>
      </c>
      <c r="B2858" s="165" t="s">
        <v>111</v>
      </c>
      <c r="C2858" s="166" t="s">
        <v>237</v>
      </c>
      <c r="D2858" s="171" t="s">
        <v>90</v>
      </c>
      <c r="E2858" s="166" t="s">
        <v>206</v>
      </c>
      <c r="F2858" s="167">
        <v>202</v>
      </c>
    </row>
    <row r="2859" spans="1:6" x14ac:dyDescent="0.3">
      <c r="A2859" s="7" t="str">
        <f>_xlfn.XLOOKUP(ColombiaClientes[[#This Row],[Client]],VpsClientes[Client],VpsClientes[VP],"",0)</f>
        <v>Martha Guzman Arango</v>
      </c>
      <c r="B2859" s="165" t="s">
        <v>153</v>
      </c>
      <c r="C2859" s="166" t="s">
        <v>237</v>
      </c>
      <c r="D2859" s="171" t="s">
        <v>90</v>
      </c>
      <c r="E2859" s="166" t="s">
        <v>206</v>
      </c>
      <c r="F2859" s="167">
        <v>198</v>
      </c>
    </row>
    <row r="2860" spans="1:6" x14ac:dyDescent="0.3">
      <c r="A2860" s="7" t="str">
        <f>_xlfn.XLOOKUP(ColombiaClientes[[#This Row],[Client]],VpsClientes[Client],VpsClientes[VP],"",0)</f>
        <v>Martha Guzman Arango</v>
      </c>
      <c r="B2860" s="165" t="s">
        <v>162</v>
      </c>
      <c r="C2860" s="166" t="s">
        <v>237</v>
      </c>
      <c r="D2860" s="171" t="s">
        <v>90</v>
      </c>
      <c r="E2860" s="166" t="s">
        <v>206</v>
      </c>
      <c r="F2860" s="167">
        <v>192</v>
      </c>
    </row>
    <row r="2861" spans="1:6" x14ac:dyDescent="0.3">
      <c r="A2861" s="7" t="str">
        <f>_xlfn.XLOOKUP(ColombiaClientes[[#This Row],[Client]],VpsClientes[Client],VpsClientes[VP],"",0)</f>
        <v>Martha Guzman Arango</v>
      </c>
      <c r="B2861" s="165" t="s">
        <v>156</v>
      </c>
      <c r="C2861" s="166" t="s">
        <v>237</v>
      </c>
      <c r="D2861" s="171" t="s">
        <v>90</v>
      </c>
      <c r="E2861" s="166" t="s">
        <v>206</v>
      </c>
      <c r="F2861" s="167">
        <v>186</v>
      </c>
    </row>
    <row r="2862" spans="1:6" x14ac:dyDescent="0.3">
      <c r="A2862" s="7" t="str">
        <f>_xlfn.XLOOKUP(ColombiaClientes[[#This Row],[Client]],VpsClientes[Client],VpsClientes[VP],"",0)</f>
        <v>Martha Guzman Arango</v>
      </c>
      <c r="B2862" s="165" t="s">
        <v>148</v>
      </c>
      <c r="C2862" s="166" t="s">
        <v>237</v>
      </c>
      <c r="D2862" s="171" t="s">
        <v>90</v>
      </c>
      <c r="E2862" s="166" t="s">
        <v>206</v>
      </c>
      <c r="F2862" s="167">
        <v>176</v>
      </c>
    </row>
    <row r="2863" spans="1:6" x14ac:dyDescent="0.3">
      <c r="A2863" s="7" t="str">
        <f>_xlfn.XLOOKUP(ColombiaClientes[[#This Row],[Client]],VpsClientes[Client],VpsClientes[VP],"",0)</f>
        <v>Martha Guzman Arango</v>
      </c>
      <c r="B2863" s="165" t="s">
        <v>145</v>
      </c>
      <c r="C2863" s="166" t="s">
        <v>237</v>
      </c>
      <c r="D2863" s="171" t="s">
        <v>90</v>
      </c>
      <c r="E2863" s="166" t="s">
        <v>206</v>
      </c>
      <c r="F2863" s="167">
        <v>174</v>
      </c>
    </row>
    <row r="2864" spans="1:6" x14ac:dyDescent="0.3">
      <c r="A2864" s="7" t="str">
        <f>_xlfn.XLOOKUP(ColombiaClientes[[#This Row],[Client]],VpsClientes[Client],VpsClientes[VP],"",0)</f>
        <v>Martha Guzman Arango</v>
      </c>
      <c r="B2864" s="165" t="s">
        <v>152</v>
      </c>
      <c r="C2864" s="166" t="s">
        <v>237</v>
      </c>
      <c r="D2864" s="171" t="s">
        <v>90</v>
      </c>
      <c r="E2864" s="166" t="s">
        <v>206</v>
      </c>
      <c r="F2864" s="167">
        <v>168</v>
      </c>
    </row>
    <row r="2865" spans="1:6" x14ac:dyDescent="0.3">
      <c r="A2865" s="7" t="str">
        <f>_xlfn.XLOOKUP(ColombiaClientes[[#This Row],[Client]],VpsClientes[Client],VpsClientes[VP],"",0)</f>
        <v>Maria Forero Jara</v>
      </c>
      <c r="B2865" s="165" t="s">
        <v>182</v>
      </c>
      <c r="C2865" s="166" t="s">
        <v>237</v>
      </c>
      <c r="D2865" s="171" t="s">
        <v>90</v>
      </c>
      <c r="E2865" s="166" t="s">
        <v>206</v>
      </c>
      <c r="F2865" s="167">
        <v>164</v>
      </c>
    </row>
    <row r="2866" spans="1:6" x14ac:dyDescent="0.3">
      <c r="A2866" s="7" t="str">
        <f>_xlfn.XLOOKUP(ColombiaClientes[[#This Row],[Client]],VpsClientes[Client],VpsClientes[VP],"",0)</f>
        <v>Moises Saavedra Garcia</v>
      </c>
      <c r="B2866" s="165" t="s">
        <v>190</v>
      </c>
      <c r="C2866" s="166" t="s">
        <v>237</v>
      </c>
      <c r="D2866" s="171" t="s">
        <v>90</v>
      </c>
      <c r="E2866" s="166" t="s">
        <v>206</v>
      </c>
      <c r="F2866" s="167">
        <v>164</v>
      </c>
    </row>
    <row r="2867" spans="1:6" x14ac:dyDescent="0.3">
      <c r="A2867" s="7" t="str">
        <f>_xlfn.XLOOKUP(ColombiaClientes[[#This Row],[Client]],VpsClientes[Client],VpsClientes[VP],"",0)</f>
        <v>Juan Granados Castillo</v>
      </c>
      <c r="B2867" s="165" t="s">
        <v>142</v>
      </c>
      <c r="C2867" s="166" t="s">
        <v>237</v>
      </c>
      <c r="D2867" s="171" t="s">
        <v>90</v>
      </c>
      <c r="E2867" s="166" t="s">
        <v>206</v>
      </c>
      <c r="F2867" s="167">
        <v>160</v>
      </c>
    </row>
    <row r="2868" spans="1:6" x14ac:dyDescent="0.3">
      <c r="A2868" s="7" t="str">
        <f>_xlfn.XLOOKUP(ColombiaClientes[[#This Row],[Client]],VpsClientes[Client],VpsClientes[VP],"",0)</f>
        <v>Martha Guzman Arango</v>
      </c>
      <c r="B2868" s="165" t="s">
        <v>168</v>
      </c>
      <c r="C2868" s="166" t="s">
        <v>237</v>
      </c>
      <c r="D2868" s="171" t="s">
        <v>90</v>
      </c>
      <c r="E2868" s="166" t="s">
        <v>206</v>
      </c>
      <c r="F2868" s="167">
        <v>150</v>
      </c>
    </row>
    <row r="2869" spans="1:6" x14ac:dyDescent="0.3">
      <c r="A2869" s="7" t="str">
        <f>_xlfn.XLOOKUP(ColombiaClientes[[#This Row],[Client]],VpsClientes[Client],VpsClientes[VP],"",0)</f>
        <v>Moises Saavedra Garcia</v>
      </c>
      <c r="B2869" s="165" t="s">
        <v>110</v>
      </c>
      <c r="C2869" s="166" t="s">
        <v>237</v>
      </c>
      <c r="D2869" s="171" t="s">
        <v>90</v>
      </c>
      <c r="E2869" s="166" t="s">
        <v>206</v>
      </c>
      <c r="F2869" s="167">
        <v>137</v>
      </c>
    </row>
    <row r="2870" spans="1:6" x14ac:dyDescent="0.3">
      <c r="A2870" s="7" t="str">
        <f>_xlfn.XLOOKUP(ColombiaClientes[[#This Row],[Client]],VpsClientes[Client],VpsClientes[VP],"",0)</f>
        <v>Maria Forero Jara</v>
      </c>
      <c r="B2870" s="165" t="s">
        <v>179</v>
      </c>
      <c r="C2870" s="166" t="s">
        <v>237</v>
      </c>
      <c r="D2870" s="171" t="s">
        <v>90</v>
      </c>
      <c r="E2870" s="166" t="s">
        <v>206</v>
      </c>
      <c r="F2870" s="167">
        <v>131</v>
      </c>
    </row>
    <row r="2871" spans="1:6" x14ac:dyDescent="0.3">
      <c r="A2871" s="7" t="str">
        <f>_xlfn.XLOOKUP(ColombiaClientes[[#This Row],[Client]],VpsClientes[Client],VpsClientes[VP],"",0)</f>
        <v>Martha Guzman Arango</v>
      </c>
      <c r="B2871" s="165" t="s">
        <v>171</v>
      </c>
      <c r="C2871" s="166" t="s">
        <v>237</v>
      </c>
      <c r="D2871" s="171" t="s">
        <v>90</v>
      </c>
      <c r="E2871" s="166" t="s">
        <v>206</v>
      </c>
      <c r="F2871" s="167">
        <v>107</v>
      </c>
    </row>
    <row r="2872" spans="1:6" x14ac:dyDescent="0.3">
      <c r="A2872" s="7" t="str">
        <f>_xlfn.XLOOKUP(ColombiaClientes[[#This Row],[Client]],VpsClientes[Client],VpsClientes[VP],"",0)</f>
        <v>Martha Guzman Arango</v>
      </c>
      <c r="B2872" s="165" t="s">
        <v>169</v>
      </c>
      <c r="C2872" s="166" t="s">
        <v>237</v>
      </c>
      <c r="D2872" s="171" t="s">
        <v>90</v>
      </c>
      <c r="E2872" s="166" t="s">
        <v>206</v>
      </c>
      <c r="F2872" s="167">
        <v>104</v>
      </c>
    </row>
    <row r="2873" spans="1:6" x14ac:dyDescent="0.3">
      <c r="A2873" s="7" t="str">
        <f>_xlfn.XLOOKUP(ColombiaClientes[[#This Row],[Client]],VpsClientes[Client],VpsClientes[VP],"",0)</f>
        <v>Maria Forero Jara</v>
      </c>
      <c r="B2873" s="165" t="s">
        <v>163</v>
      </c>
      <c r="C2873" s="166" t="s">
        <v>237</v>
      </c>
      <c r="D2873" s="171" t="s">
        <v>90</v>
      </c>
      <c r="E2873" s="166" t="s">
        <v>206</v>
      </c>
      <c r="F2873" s="167">
        <v>95</v>
      </c>
    </row>
    <row r="2874" spans="1:6" x14ac:dyDescent="0.3">
      <c r="A2874" s="7" t="str">
        <f>_xlfn.XLOOKUP(ColombiaClientes[[#This Row],[Client]],VpsClientes[Client],VpsClientes[VP],"",0)</f>
        <v>Maria Forero Jara</v>
      </c>
      <c r="B2874" s="165" t="s">
        <v>198</v>
      </c>
      <c r="C2874" s="166" t="s">
        <v>237</v>
      </c>
      <c r="D2874" s="171" t="s">
        <v>90</v>
      </c>
      <c r="E2874" s="166" t="s">
        <v>206</v>
      </c>
      <c r="F2874" s="167">
        <v>93</v>
      </c>
    </row>
    <row r="2875" spans="1:6" x14ac:dyDescent="0.3">
      <c r="A2875" s="7" t="str">
        <f>_xlfn.XLOOKUP(ColombiaClientes[[#This Row],[Client]],VpsClientes[Client],VpsClientes[VP],"",0)</f>
        <v>Martha Guzman Arango</v>
      </c>
      <c r="B2875" s="165" t="s">
        <v>170</v>
      </c>
      <c r="C2875" s="166" t="s">
        <v>237</v>
      </c>
      <c r="D2875" s="171" t="s">
        <v>90</v>
      </c>
      <c r="E2875" s="166" t="s">
        <v>206</v>
      </c>
      <c r="F2875" s="167">
        <v>78</v>
      </c>
    </row>
    <row r="2876" spans="1:6" x14ac:dyDescent="0.3">
      <c r="A2876" s="7" t="str">
        <f>_xlfn.XLOOKUP(ColombiaClientes[[#This Row],[Client]],VpsClientes[Client],VpsClientes[VP],"",0)</f>
        <v>Martha Guzman Arango</v>
      </c>
      <c r="B2876" s="165" t="s">
        <v>185</v>
      </c>
      <c r="C2876" s="166" t="s">
        <v>237</v>
      </c>
      <c r="D2876" s="171" t="s">
        <v>90</v>
      </c>
      <c r="E2876" s="166" t="s">
        <v>206</v>
      </c>
      <c r="F2876" s="167">
        <v>72</v>
      </c>
    </row>
    <row r="2877" spans="1:6" x14ac:dyDescent="0.3">
      <c r="A2877" s="7" t="str">
        <f>_xlfn.XLOOKUP(ColombiaClientes[[#This Row],[Client]],VpsClientes[Client],VpsClientes[VP],"",0)</f>
        <v>Carlos Beltran Hernandez</v>
      </c>
      <c r="B2877" s="165" t="s">
        <v>151</v>
      </c>
      <c r="C2877" s="166" t="s">
        <v>237</v>
      </c>
      <c r="D2877" s="171" t="s">
        <v>90</v>
      </c>
      <c r="E2877" s="166" t="s">
        <v>206</v>
      </c>
      <c r="F2877" s="167">
        <v>71</v>
      </c>
    </row>
    <row r="2878" spans="1:6" x14ac:dyDescent="0.3">
      <c r="A2878" s="7" t="str">
        <f>_xlfn.XLOOKUP(ColombiaClientes[[#This Row],[Client]],VpsClientes[Client],VpsClientes[VP],"",0)</f>
        <v>Martha Guzman Arango</v>
      </c>
      <c r="B2878" s="165" t="s">
        <v>174</v>
      </c>
      <c r="C2878" s="166" t="s">
        <v>237</v>
      </c>
      <c r="D2878" s="171" t="s">
        <v>90</v>
      </c>
      <c r="E2878" s="166" t="s">
        <v>206</v>
      </c>
      <c r="F2878" s="167">
        <v>71</v>
      </c>
    </row>
    <row r="2879" spans="1:6" x14ac:dyDescent="0.3">
      <c r="A2879" s="7" t="str">
        <f>_xlfn.XLOOKUP(ColombiaClientes[[#This Row],[Client]],VpsClientes[Client],VpsClientes[VP],"",0)</f>
        <v>Martha Guzman Arango</v>
      </c>
      <c r="B2879" s="165" t="s">
        <v>186</v>
      </c>
      <c r="C2879" s="166" t="s">
        <v>237</v>
      </c>
      <c r="D2879" s="171" t="s">
        <v>90</v>
      </c>
      <c r="E2879" s="166" t="s">
        <v>206</v>
      </c>
      <c r="F2879" s="167">
        <v>68</v>
      </c>
    </row>
    <row r="2880" spans="1:6" x14ac:dyDescent="0.3">
      <c r="A2880" s="7" t="str">
        <f>_xlfn.XLOOKUP(ColombiaClientes[[#This Row],[Client]],VpsClientes[Client],VpsClientes[VP],"",0)</f>
        <v>Juan Granados Castillo</v>
      </c>
      <c r="B2880" s="165" t="s">
        <v>149</v>
      </c>
      <c r="C2880" s="166" t="s">
        <v>237</v>
      </c>
      <c r="D2880" s="171" t="s">
        <v>90</v>
      </c>
      <c r="E2880" s="166" t="s">
        <v>206</v>
      </c>
      <c r="F2880" s="167">
        <v>57</v>
      </c>
    </row>
    <row r="2881" spans="1:6" x14ac:dyDescent="0.3">
      <c r="A2881" s="7" t="str">
        <f>_xlfn.XLOOKUP(ColombiaClientes[[#This Row],[Client]],VpsClientes[Client],VpsClientes[VP],"",0)</f>
        <v>Hector Muraira Garza</v>
      </c>
      <c r="B2881" s="165" t="s">
        <v>140</v>
      </c>
      <c r="C2881" s="166" t="s">
        <v>237</v>
      </c>
      <c r="D2881" s="171" t="s">
        <v>90</v>
      </c>
      <c r="E2881" s="166" t="s">
        <v>206</v>
      </c>
      <c r="F2881" s="167">
        <v>57</v>
      </c>
    </row>
    <row r="2882" spans="1:6" x14ac:dyDescent="0.3">
      <c r="A2882" s="7" t="str">
        <f>_xlfn.XLOOKUP(ColombiaClientes[[#This Row],[Client]],VpsClientes[Client],VpsClientes[VP],"",0)</f>
        <v>Moises Saavedra Garcia</v>
      </c>
      <c r="B2882" s="165" t="s">
        <v>187</v>
      </c>
      <c r="C2882" s="166" t="s">
        <v>237</v>
      </c>
      <c r="D2882" s="171" t="s">
        <v>90</v>
      </c>
      <c r="E2882" s="166" t="s">
        <v>206</v>
      </c>
      <c r="F2882" s="167">
        <v>51</v>
      </c>
    </row>
    <row r="2883" spans="1:6" x14ac:dyDescent="0.3">
      <c r="A2883" s="7" t="str">
        <f>_xlfn.XLOOKUP(ColombiaClientes[[#This Row],[Client]],VpsClientes[Client],VpsClientes[VP],"",0)</f>
        <v>Maria Forero Jara</v>
      </c>
      <c r="B2883" s="165" t="s">
        <v>144</v>
      </c>
      <c r="C2883" s="166" t="s">
        <v>237</v>
      </c>
      <c r="D2883" s="171" t="s">
        <v>90</v>
      </c>
      <c r="E2883" s="166" t="s">
        <v>206</v>
      </c>
      <c r="F2883" s="167">
        <v>49</v>
      </c>
    </row>
    <row r="2884" spans="1:6" x14ac:dyDescent="0.3">
      <c r="A2884" s="7" t="str">
        <f>_xlfn.XLOOKUP(ColombiaClientes[[#This Row],[Client]],VpsClientes[Client],VpsClientes[VP],"",0)</f>
        <v>Jhonatan Izquierdo Rico</v>
      </c>
      <c r="B2884" s="165" t="s">
        <v>197</v>
      </c>
      <c r="C2884" s="166" t="s">
        <v>237</v>
      </c>
      <c r="D2884" s="171" t="s">
        <v>90</v>
      </c>
      <c r="E2884" s="166" t="s">
        <v>206</v>
      </c>
      <c r="F2884" s="167">
        <v>48</v>
      </c>
    </row>
    <row r="2885" spans="1:6" x14ac:dyDescent="0.3">
      <c r="A2885" s="7" t="str">
        <f>_xlfn.XLOOKUP(ColombiaClientes[[#This Row],[Client]],VpsClientes[Client],VpsClientes[VP],"",0)</f>
        <v>Martha Guzman Arango</v>
      </c>
      <c r="B2885" s="165" t="s">
        <v>183</v>
      </c>
      <c r="C2885" s="166" t="s">
        <v>237</v>
      </c>
      <c r="D2885" s="171" t="s">
        <v>90</v>
      </c>
      <c r="E2885" s="166" t="s">
        <v>206</v>
      </c>
      <c r="F2885" s="167">
        <v>43</v>
      </c>
    </row>
    <row r="2886" spans="1:6" x14ac:dyDescent="0.3">
      <c r="A2886" s="7" t="str">
        <f>_xlfn.XLOOKUP(ColombiaClientes[[#This Row],[Client]],VpsClientes[Client],VpsClientes[VP],"",0)</f>
        <v>Maria Forero Jara</v>
      </c>
      <c r="B2886" s="165" t="s">
        <v>161</v>
      </c>
      <c r="C2886" s="166" t="s">
        <v>237</v>
      </c>
      <c r="D2886" s="171" t="s">
        <v>90</v>
      </c>
      <c r="E2886" s="166" t="s">
        <v>206</v>
      </c>
      <c r="F2886" s="167">
        <v>39</v>
      </c>
    </row>
    <row r="2887" spans="1:6" x14ac:dyDescent="0.3">
      <c r="A2887" s="7" t="str">
        <f>_xlfn.XLOOKUP(ColombiaClientes[[#This Row],[Client]],VpsClientes[Client],VpsClientes[VP],"",0)</f>
        <v>Hector Muraira Garza</v>
      </c>
      <c r="B2887" s="165" t="s">
        <v>164</v>
      </c>
      <c r="C2887" s="166" t="s">
        <v>237</v>
      </c>
      <c r="D2887" s="171" t="s">
        <v>90</v>
      </c>
      <c r="E2887" s="166" t="s">
        <v>206</v>
      </c>
      <c r="F2887" s="167">
        <v>32</v>
      </c>
    </row>
    <row r="2888" spans="1:6" x14ac:dyDescent="0.3">
      <c r="A2888" s="7" t="str">
        <f>_xlfn.XLOOKUP(ColombiaClientes[[#This Row],[Client]],VpsClientes[Client],VpsClientes[VP],"",0)</f>
        <v>Hector Muraira Garza</v>
      </c>
      <c r="B2888" s="165" t="s">
        <v>132</v>
      </c>
      <c r="C2888" s="166" t="s">
        <v>237</v>
      </c>
      <c r="D2888" s="171" t="s">
        <v>90</v>
      </c>
      <c r="E2888" s="166" t="s">
        <v>206</v>
      </c>
      <c r="F2888" s="167">
        <v>28</v>
      </c>
    </row>
    <row r="2889" spans="1:6" x14ac:dyDescent="0.3">
      <c r="A2889" s="7" t="str">
        <f>_xlfn.XLOOKUP(ColombiaClientes[[#This Row],[Client]],VpsClientes[Client],VpsClientes[VP],"",0)</f>
        <v>Jhonatan Izquierdo Rico</v>
      </c>
      <c r="B2889" s="165" t="s">
        <v>200</v>
      </c>
      <c r="C2889" s="166" t="s">
        <v>237</v>
      </c>
      <c r="D2889" s="171" t="s">
        <v>90</v>
      </c>
      <c r="E2889" s="166" t="s">
        <v>206</v>
      </c>
      <c r="F2889" s="167">
        <v>28</v>
      </c>
    </row>
    <row r="2890" spans="1:6" x14ac:dyDescent="0.3">
      <c r="A2890" s="7" t="str">
        <f>_xlfn.XLOOKUP(ColombiaClientes[[#This Row],[Client]],VpsClientes[Client],VpsClientes[VP],"",0)</f>
        <v>Carlos Beltran Hernandez</v>
      </c>
      <c r="B2890" s="165" t="s">
        <v>158</v>
      </c>
      <c r="C2890" s="166" t="s">
        <v>237</v>
      </c>
      <c r="D2890" s="171" t="s">
        <v>90</v>
      </c>
      <c r="E2890" s="166" t="s">
        <v>206</v>
      </c>
      <c r="F2890" s="167">
        <v>28</v>
      </c>
    </row>
    <row r="2891" spans="1:6" x14ac:dyDescent="0.3">
      <c r="A2891" s="7" t="str">
        <f>_xlfn.XLOOKUP(ColombiaClientes[[#This Row],[Client]],VpsClientes[Client],VpsClientes[VP],"",0)</f>
        <v>Martha Guzman Arango</v>
      </c>
      <c r="B2891" s="165" t="s">
        <v>165</v>
      </c>
      <c r="C2891" s="166" t="s">
        <v>237</v>
      </c>
      <c r="D2891" s="171" t="s">
        <v>90</v>
      </c>
      <c r="E2891" s="166" t="s">
        <v>206</v>
      </c>
      <c r="F2891" s="167">
        <v>27</v>
      </c>
    </row>
    <row r="2892" spans="1:6" x14ac:dyDescent="0.3">
      <c r="A2892" s="7" t="str">
        <f>_xlfn.XLOOKUP(ColombiaClientes[[#This Row],[Client]],VpsClientes[Client],VpsClientes[VP],"",0)</f>
        <v>Martha Guzman Arango</v>
      </c>
      <c r="B2892" s="165" t="s">
        <v>155</v>
      </c>
      <c r="C2892" s="166" t="s">
        <v>237</v>
      </c>
      <c r="D2892" s="171" t="s">
        <v>90</v>
      </c>
      <c r="E2892" s="166" t="s">
        <v>206</v>
      </c>
      <c r="F2892" s="167">
        <v>22</v>
      </c>
    </row>
    <row r="2893" spans="1:6" x14ac:dyDescent="0.3">
      <c r="A2893" s="7" t="str">
        <f>_xlfn.XLOOKUP(ColombiaClientes[[#This Row],[Client]],VpsClientes[Client],VpsClientes[VP],"",0)</f>
        <v>Martha Guzman Arango</v>
      </c>
      <c r="B2893" s="165" t="s">
        <v>131</v>
      </c>
      <c r="C2893" s="166" t="s">
        <v>237</v>
      </c>
      <c r="D2893" s="171" t="s">
        <v>90</v>
      </c>
      <c r="E2893" s="166" t="s">
        <v>206</v>
      </c>
      <c r="F2893" s="167">
        <v>22</v>
      </c>
    </row>
    <row r="2894" spans="1:6" x14ac:dyDescent="0.3">
      <c r="A2894" s="7" t="str">
        <f>_xlfn.XLOOKUP(ColombiaClientes[[#This Row],[Client]],VpsClientes[Client],VpsClientes[VP],"",0)</f>
        <v>Martha Guzman Arango</v>
      </c>
      <c r="B2894" s="165" t="s">
        <v>176</v>
      </c>
      <c r="C2894" s="166" t="s">
        <v>237</v>
      </c>
      <c r="D2894" s="171" t="s">
        <v>90</v>
      </c>
      <c r="E2894" s="166" t="s">
        <v>206</v>
      </c>
      <c r="F2894" s="167">
        <v>21</v>
      </c>
    </row>
    <row r="2895" spans="1:6" x14ac:dyDescent="0.3">
      <c r="A2895" s="7" t="str">
        <f>_xlfn.XLOOKUP(ColombiaClientes[[#This Row],[Client]],VpsClientes[Client],VpsClientes[VP],"",0)</f>
        <v>Hector Muraira Garza</v>
      </c>
      <c r="B2895" s="165" t="s">
        <v>167</v>
      </c>
      <c r="C2895" s="166" t="s">
        <v>237</v>
      </c>
      <c r="D2895" s="171" t="s">
        <v>90</v>
      </c>
      <c r="E2895" s="166" t="s">
        <v>206</v>
      </c>
      <c r="F2895" s="167">
        <v>13</v>
      </c>
    </row>
    <row r="2896" spans="1:6" x14ac:dyDescent="0.3">
      <c r="A2896" s="7" t="str">
        <f>_xlfn.XLOOKUP(ColombiaClientes[[#This Row],[Client]],VpsClientes[Client],VpsClientes[VP],"",0)</f>
        <v>Martha Guzman Arango</v>
      </c>
      <c r="B2896" s="165" t="s">
        <v>188</v>
      </c>
      <c r="C2896" s="166" t="s">
        <v>237</v>
      </c>
      <c r="D2896" s="171" t="s">
        <v>90</v>
      </c>
      <c r="E2896" s="166" t="s">
        <v>206</v>
      </c>
      <c r="F2896" s="167">
        <v>8</v>
      </c>
    </row>
    <row r="2897" spans="1:6" x14ac:dyDescent="0.3">
      <c r="A2897" s="7" t="str">
        <f>_xlfn.XLOOKUP(ColombiaClientes[[#This Row],[Client]],VpsClientes[Client],VpsClientes[VP],"",0)</f>
        <v>Moises Saavedra Garcia</v>
      </c>
      <c r="B2897" s="165" t="s">
        <v>175</v>
      </c>
      <c r="C2897" s="166" t="s">
        <v>237</v>
      </c>
      <c r="D2897" s="171" t="s">
        <v>90</v>
      </c>
      <c r="E2897" s="166" t="s">
        <v>206</v>
      </c>
      <c r="F2897" s="167">
        <v>1</v>
      </c>
    </row>
    <row r="2898" spans="1:6" x14ac:dyDescent="0.3">
      <c r="A2898" s="7" t="str">
        <f>_xlfn.XLOOKUP(ColombiaClientes[[#This Row],[Client]],VpsClientes[Client],VpsClientes[VP],"",0)</f>
        <v>Jhonatan Izquierdo Rico</v>
      </c>
      <c r="B2898" s="165" t="s">
        <v>159</v>
      </c>
      <c r="C2898" s="166" t="s">
        <v>237</v>
      </c>
      <c r="D2898" s="171" t="s">
        <v>90</v>
      </c>
      <c r="E2898" s="166" t="s">
        <v>206</v>
      </c>
      <c r="F2898" s="167">
        <v>0</v>
      </c>
    </row>
    <row r="2899" spans="1:6" x14ac:dyDescent="0.3">
      <c r="A2899" s="7" t="str">
        <f>_xlfn.XLOOKUP(ColombiaClientes[[#This Row],[Client]],VpsClientes[Client],VpsClientes[VP],"",0)</f>
        <v>Jhonatan Izquierdo Rico</v>
      </c>
      <c r="B2899" s="165" t="s">
        <v>196</v>
      </c>
      <c r="C2899" s="166" t="s">
        <v>237</v>
      </c>
      <c r="D2899" s="171" t="s">
        <v>90</v>
      </c>
      <c r="E2899" s="166" t="s">
        <v>206</v>
      </c>
      <c r="F2899" s="167">
        <v>0</v>
      </c>
    </row>
    <row r="2900" spans="1:6" x14ac:dyDescent="0.3">
      <c r="A2900" s="7" t="str">
        <f>_xlfn.XLOOKUP(ColombiaClientes[[#This Row],[Client]],VpsClientes[Client],VpsClientes[VP],"",0)</f>
        <v>Martha Guzman Arango</v>
      </c>
      <c r="B2900" s="165" t="s">
        <v>180</v>
      </c>
      <c r="C2900" s="166" t="s">
        <v>237</v>
      </c>
      <c r="D2900" s="171" t="s">
        <v>90</v>
      </c>
      <c r="E2900" s="166" t="s">
        <v>206</v>
      </c>
      <c r="F2900" s="167">
        <v>0</v>
      </c>
    </row>
    <row r="2901" spans="1:6" x14ac:dyDescent="0.3">
      <c r="A2901" s="7" t="str">
        <f>_xlfn.XLOOKUP(ColombiaClientes[[#This Row],[Client]],VpsClientes[Client],VpsClientes[VP],"",0)</f>
        <v>Martha Guzman Arango</v>
      </c>
      <c r="B2901" s="165" t="s">
        <v>189</v>
      </c>
      <c r="C2901" s="166" t="s">
        <v>237</v>
      </c>
      <c r="D2901" s="171" t="s">
        <v>90</v>
      </c>
      <c r="E2901" s="166" t="s">
        <v>206</v>
      </c>
      <c r="F2901" s="167">
        <v>0</v>
      </c>
    </row>
    <row r="2902" spans="1:6" x14ac:dyDescent="0.3">
      <c r="A2902" s="7" t="str">
        <f>_xlfn.XLOOKUP(ColombiaClientes[[#This Row],[Client]],VpsClientes[Client],VpsClientes[VP],"",0)</f>
        <v>Moises Saavedra Garcia</v>
      </c>
      <c r="B2902" s="171" t="s">
        <v>99</v>
      </c>
      <c r="C2902" t="s">
        <v>237</v>
      </c>
      <c r="D2902" t="s">
        <v>219</v>
      </c>
      <c r="E2902" t="s">
        <v>91</v>
      </c>
      <c r="F2902" s="173">
        <v>6660</v>
      </c>
    </row>
    <row r="2903" spans="1:6" x14ac:dyDescent="0.3">
      <c r="A2903" s="7" t="str">
        <f>_xlfn.XLOOKUP(ColombiaClientes[[#This Row],[Client]],VpsClientes[Client],VpsClientes[VP],"",0)</f>
        <v>Carlos Beltran Hernandez</v>
      </c>
      <c r="B2903" s="171" t="s">
        <v>94</v>
      </c>
      <c r="C2903" s="172" t="s">
        <v>237</v>
      </c>
      <c r="D2903" s="172" t="s">
        <v>219</v>
      </c>
      <c r="E2903" s="172" t="s">
        <v>91</v>
      </c>
      <c r="F2903" s="173">
        <v>5214</v>
      </c>
    </row>
    <row r="2904" spans="1:6" x14ac:dyDescent="0.3">
      <c r="A2904" s="7" t="str">
        <f>_xlfn.XLOOKUP(ColombiaClientes[[#This Row],[Client]],VpsClientes[Client],VpsClientes[VP],"",0)</f>
        <v>Carlos Beltran Hernandez</v>
      </c>
      <c r="B2904" s="171" t="s">
        <v>93</v>
      </c>
      <c r="C2904" s="172" t="s">
        <v>237</v>
      </c>
      <c r="D2904" s="172" t="s">
        <v>219</v>
      </c>
      <c r="E2904" s="172" t="s">
        <v>91</v>
      </c>
      <c r="F2904" s="173">
        <v>4574</v>
      </c>
    </row>
    <row r="2905" spans="1:6" x14ac:dyDescent="0.3">
      <c r="A2905" s="7" t="str">
        <f>_xlfn.XLOOKUP(ColombiaClientes[[#This Row],[Client]],VpsClientes[Client],VpsClientes[VP],"",0)</f>
        <v>Martha Guzman Arango</v>
      </c>
      <c r="B2905" s="171" t="s">
        <v>96</v>
      </c>
      <c r="C2905" s="172" t="s">
        <v>237</v>
      </c>
      <c r="D2905" s="172" t="s">
        <v>219</v>
      </c>
      <c r="E2905" s="172" t="s">
        <v>91</v>
      </c>
      <c r="F2905" s="173">
        <v>4171</v>
      </c>
    </row>
    <row r="2906" spans="1:6" x14ac:dyDescent="0.3">
      <c r="A2906" s="7" t="str">
        <f>_xlfn.XLOOKUP(ColombiaClientes[[#This Row],[Client]],VpsClientes[Client],VpsClientes[VP],"",0)</f>
        <v>Martha Guzman Arango</v>
      </c>
      <c r="B2906" s="171" t="s">
        <v>103</v>
      </c>
      <c r="C2906" s="172" t="s">
        <v>237</v>
      </c>
      <c r="D2906" s="172" t="s">
        <v>219</v>
      </c>
      <c r="E2906" s="172" t="s">
        <v>91</v>
      </c>
      <c r="F2906" s="173">
        <v>3942</v>
      </c>
    </row>
    <row r="2907" spans="1:6" x14ac:dyDescent="0.3">
      <c r="A2907" s="7" t="str">
        <f>_xlfn.XLOOKUP(ColombiaClientes[[#This Row],[Client]],VpsClientes[Client],VpsClientes[VP],"",0)</f>
        <v>Martha Guzman Arango</v>
      </c>
      <c r="B2907" s="171" t="s">
        <v>98</v>
      </c>
      <c r="C2907" s="172" t="s">
        <v>237</v>
      </c>
      <c r="D2907" s="172" t="s">
        <v>219</v>
      </c>
      <c r="E2907" s="172" t="s">
        <v>91</v>
      </c>
      <c r="F2907" s="173">
        <v>3175</v>
      </c>
    </row>
    <row r="2908" spans="1:6" x14ac:dyDescent="0.3">
      <c r="A2908" s="7" t="str">
        <f>_xlfn.XLOOKUP(ColombiaClientes[[#This Row],[Client]],VpsClientes[Client],VpsClientes[VP],"",0)</f>
        <v>Jhonatan Izquierdo Rico</v>
      </c>
      <c r="B2908" s="171" t="s">
        <v>104</v>
      </c>
      <c r="C2908" s="172" t="s">
        <v>237</v>
      </c>
      <c r="D2908" s="172" t="s">
        <v>219</v>
      </c>
      <c r="E2908" s="172" t="s">
        <v>91</v>
      </c>
      <c r="F2908" s="173">
        <v>2541</v>
      </c>
    </row>
    <row r="2909" spans="1:6" x14ac:dyDescent="0.3">
      <c r="A2909" s="7" t="str">
        <f>_xlfn.XLOOKUP(ColombiaClientes[[#This Row],[Client]],VpsClientes[Client],VpsClientes[VP],"",0)</f>
        <v>Carlos Beltran Hernandez</v>
      </c>
      <c r="B2909" s="171" t="s">
        <v>102</v>
      </c>
      <c r="C2909" s="172" t="s">
        <v>237</v>
      </c>
      <c r="D2909" s="172" t="s">
        <v>219</v>
      </c>
      <c r="E2909" s="172" t="s">
        <v>91</v>
      </c>
      <c r="F2909" s="173">
        <v>2423</v>
      </c>
    </row>
    <row r="2910" spans="1:6" x14ac:dyDescent="0.3">
      <c r="A2910" s="7" t="str">
        <f>_xlfn.XLOOKUP(ColombiaClientes[[#This Row],[Client]],VpsClientes[Client],VpsClientes[VP],"",0)</f>
        <v>Jhonatan Izquierdo Rico</v>
      </c>
      <c r="B2910" s="171" t="s">
        <v>128</v>
      </c>
      <c r="C2910" s="172" t="s">
        <v>237</v>
      </c>
      <c r="D2910" s="172" t="s">
        <v>219</v>
      </c>
      <c r="E2910" s="172" t="s">
        <v>91</v>
      </c>
      <c r="F2910" s="173">
        <v>2192</v>
      </c>
    </row>
    <row r="2911" spans="1:6" x14ac:dyDescent="0.3">
      <c r="A2911" s="7" t="str">
        <f>_xlfn.XLOOKUP(ColombiaClientes[[#This Row],[Client]],VpsClientes[Client],VpsClientes[VP],"",0)</f>
        <v>Maria Forero Jara</v>
      </c>
      <c r="B2911" s="171" t="s">
        <v>108</v>
      </c>
      <c r="C2911" s="172" t="s">
        <v>237</v>
      </c>
      <c r="D2911" s="172" t="s">
        <v>219</v>
      </c>
      <c r="E2911" s="172" t="s">
        <v>91</v>
      </c>
      <c r="F2911" s="173">
        <v>2011</v>
      </c>
    </row>
    <row r="2912" spans="1:6" x14ac:dyDescent="0.3">
      <c r="A2912" s="7" t="str">
        <f>_xlfn.XLOOKUP(ColombiaClientes[[#This Row],[Client]],VpsClientes[Client],VpsClientes[VP],"",0)</f>
        <v>Maria Forero Jara</v>
      </c>
      <c r="B2912" s="171" t="s">
        <v>101</v>
      </c>
      <c r="C2912" s="172" t="s">
        <v>237</v>
      </c>
      <c r="D2912" s="172" t="s">
        <v>219</v>
      </c>
      <c r="E2912" s="172" t="s">
        <v>91</v>
      </c>
      <c r="F2912" s="173">
        <v>1311</v>
      </c>
    </row>
    <row r="2913" spans="1:6" x14ac:dyDescent="0.3">
      <c r="A2913" s="7" t="str">
        <f>_xlfn.XLOOKUP(ColombiaClientes[[#This Row],[Client]],VpsClientes[Client],VpsClientes[VP],"",0)</f>
        <v>Maria Forero Jara</v>
      </c>
      <c r="B2913" s="171" t="s">
        <v>125</v>
      </c>
      <c r="C2913" s="172" t="s">
        <v>237</v>
      </c>
      <c r="D2913" s="172" t="s">
        <v>219</v>
      </c>
      <c r="E2913" s="172" t="s">
        <v>91</v>
      </c>
      <c r="F2913" s="173">
        <v>1234</v>
      </c>
    </row>
    <row r="2914" spans="1:6" x14ac:dyDescent="0.3">
      <c r="A2914" s="7" t="str">
        <f>_xlfn.XLOOKUP(ColombiaClientes[[#This Row],[Client]],VpsClientes[Client],VpsClientes[VP],"",0)</f>
        <v>Maria Forero Jara</v>
      </c>
      <c r="B2914" s="171" t="s">
        <v>123</v>
      </c>
      <c r="C2914" s="172" t="s">
        <v>237</v>
      </c>
      <c r="D2914" s="172" t="s">
        <v>219</v>
      </c>
      <c r="E2914" s="172" t="s">
        <v>91</v>
      </c>
      <c r="F2914" s="173">
        <v>1071</v>
      </c>
    </row>
    <row r="2915" spans="1:6" x14ac:dyDescent="0.3">
      <c r="A2915" s="7" t="str">
        <f>_xlfn.XLOOKUP(ColombiaClientes[[#This Row],[Client]],VpsClientes[Client],VpsClientes[VP],"",0)</f>
        <v>Jhonatan Izquierdo Rico</v>
      </c>
      <c r="B2915" s="171" t="s">
        <v>107</v>
      </c>
      <c r="C2915" s="172" t="s">
        <v>237</v>
      </c>
      <c r="D2915" s="172" t="s">
        <v>219</v>
      </c>
      <c r="E2915" s="172" t="s">
        <v>91</v>
      </c>
      <c r="F2915" s="173">
        <v>1066</v>
      </c>
    </row>
    <row r="2916" spans="1:6" x14ac:dyDescent="0.3">
      <c r="A2916" s="7" t="str">
        <f>_xlfn.XLOOKUP(ColombiaClientes[[#This Row],[Client]],VpsClientes[Client],VpsClientes[VP],"",0)</f>
        <v>Jhonatan Izquierdo Rico</v>
      </c>
      <c r="B2916" s="171" t="s">
        <v>112</v>
      </c>
      <c r="C2916" s="172" t="s">
        <v>237</v>
      </c>
      <c r="D2916" s="172" t="s">
        <v>219</v>
      </c>
      <c r="E2916" s="172" t="s">
        <v>91</v>
      </c>
      <c r="F2916" s="173">
        <v>1019</v>
      </c>
    </row>
    <row r="2917" spans="1:6" x14ac:dyDescent="0.3">
      <c r="A2917" s="7" t="str">
        <f>_xlfn.XLOOKUP(ColombiaClientes[[#This Row],[Client]],VpsClientes[Client],VpsClientes[VP],"",0)</f>
        <v>Martha Guzman Arango</v>
      </c>
      <c r="B2917" s="171" t="s">
        <v>100</v>
      </c>
      <c r="C2917" s="172" t="s">
        <v>237</v>
      </c>
      <c r="D2917" s="172" t="s">
        <v>219</v>
      </c>
      <c r="E2917" s="172" t="s">
        <v>91</v>
      </c>
      <c r="F2917" s="173">
        <v>961</v>
      </c>
    </row>
    <row r="2918" spans="1:6" x14ac:dyDescent="0.3">
      <c r="A2918" s="7" t="str">
        <f>_xlfn.XLOOKUP(ColombiaClientes[[#This Row],[Client]],VpsClientes[Client],VpsClientes[VP],"",0)</f>
        <v>Sandra Romero Zuluaga</v>
      </c>
      <c r="B2918" s="171" t="s">
        <v>113</v>
      </c>
      <c r="C2918" s="172" t="s">
        <v>237</v>
      </c>
      <c r="D2918" s="172" t="s">
        <v>219</v>
      </c>
      <c r="E2918" s="172" t="s">
        <v>91</v>
      </c>
      <c r="F2918" s="173">
        <v>867</v>
      </c>
    </row>
    <row r="2919" spans="1:6" x14ac:dyDescent="0.3">
      <c r="A2919" s="7" t="str">
        <f>_xlfn.XLOOKUP(ColombiaClientes[[#This Row],[Client]],VpsClientes[Client],VpsClientes[VP],"",0)</f>
        <v>Carlos Castillo Figueroa</v>
      </c>
      <c r="B2919" s="171" t="s">
        <v>105</v>
      </c>
      <c r="C2919" s="172" t="s">
        <v>237</v>
      </c>
      <c r="D2919" s="172" t="s">
        <v>219</v>
      </c>
      <c r="E2919" s="172" t="s">
        <v>91</v>
      </c>
      <c r="F2919" s="173">
        <v>838</v>
      </c>
    </row>
    <row r="2920" spans="1:6" x14ac:dyDescent="0.3">
      <c r="A2920" s="7" t="str">
        <f>_xlfn.XLOOKUP(ColombiaClientes[[#This Row],[Client]],VpsClientes[Client],VpsClientes[VP],"",0)</f>
        <v>Ludy Torres Benitez</v>
      </c>
      <c r="B2920" s="171" t="s">
        <v>95</v>
      </c>
      <c r="C2920" s="172" t="s">
        <v>237</v>
      </c>
      <c r="D2920" s="172" t="s">
        <v>219</v>
      </c>
      <c r="E2920" s="172" t="s">
        <v>91</v>
      </c>
      <c r="F2920" s="173">
        <v>827</v>
      </c>
    </row>
    <row r="2921" spans="1:6" x14ac:dyDescent="0.3">
      <c r="A2921" s="7" t="str">
        <f>_xlfn.XLOOKUP(ColombiaClientes[[#This Row],[Client]],VpsClientes[Client],VpsClientes[VP],"",0)</f>
        <v>Hector Muraira Garza</v>
      </c>
      <c r="B2921" s="171" t="s">
        <v>137</v>
      </c>
      <c r="C2921" s="172" t="s">
        <v>237</v>
      </c>
      <c r="D2921" s="172" t="s">
        <v>219</v>
      </c>
      <c r="E2921" s="172" t="s">
        <v>91</v>
      </c>
      <c r="F2921" s="173">
        <v>693</v>
      </c>
    </row>
    <row r="2922" spans="1:6" x14ac:dyDescent="0.3">
      <c r="A2922" s="7" t="str">
        <f>_xlfn.XLOOKUP(ColombiaClientes[[#This Row],[Client]],VpsClientes[Client],VpsClientes[VP],"",0)</f>
        <v>Juan Granados Castillo</v>
      </c>
      <c r="B2922" s="171" t="s">
        <v>136</v>
      </c>
      <c r="C2922" s="172" t="s">
        <v>237</v>
      </c>
      <c r="D2922" s="172" t="s">
        <v>219</v>
      </c>
      <c r="E2922" s="172" t="s">
        <v>91</v>
      </c>
      <c r="F2922" s="173">
        <v>671</v>
      </c>
    </row>
    <row r="2923" spans="1:6" x14ac:dyDescent="0.3">
      <c r="A2923" s="7" t="str">
        <f>_xlfn.XLOOKUP(ColombiaClientes[[#This Row],[Client]],VpsClientes[Client],VpsClientes[VP],"",0)</f>
        <v>Martha Guzman Arango</v>
      </c>
      <c r="B2923" s="171" t="s">
        <v>122</v>
      </c>
      <c r="C2923" s="172" t="s">
        <v>237</v>
      </c>
      <c r="D2923" s="172" t="s">
        <v>219</v>
      </c>
      <c r="E2923" s="172" t="s">
        <v>91</v>
      </c>
      <c r="F2923" s="173">
        <v>626</v>
      </c>
    </row>
    <row r="2924" spans="1:6" x14ac:dyDescent="0.3">
      <c r="A2924" s="7" t="str">
        <f>_xlfn.XLOOKUP(ColombiaClientes[[#This Row],[Client]],VpsClientes[Client],VpsClientes[VP],"",0)</f>
        <v>Ernesto Rico Zuluaga</v>
      </c>
      <c r="B2924" s="171" t="s">
        <v>116</v>
      </c>
      <c r="C2924" s="172" t="s">
        <v>237</v>
      </c>
      <c r="D2924" s="172" t="s">
        <v>219</v>
      </c>
      <c r="E2924" s="172" t="s">
        <v>91</v>
      </c>
      <c r="F2924" s="173">
        <v>621</v>
      </c>
    </row>
    <row r="2925" spans="1:6" x14ac:dyDescent="0.3">
      <c r="A2925" s="7" t="str">
        <f>_xlfn.XLOOKUP(ColombiaClientes[[#This Row],[Client]],VpsClientes[Client],VpsClientes[VP],"",0)</f>
        <v>Martha Guzman Arango</v>
      </c>
      <c r="B2925" s="171" t="s">
        <v>97</v>
      </c>
      <c r="C2925" s="172" t="s">
        <v>237</v>
      </c>
      <c r="D2925" s="172" t="s">
        <v>219</v>
      </c>
      <c r="E2925" s="172" t="s">
        <v>91</v>
      </c>
      <c r="F2925" s="173">
        <v>585</v>
      </c>
    </row>
    <row r="2926" spans="1:6" x14ac:dyDescent="0.3">
      <c r="A2926" s="7" t="str">
        <f>_xlfn.XLOOKUP(ColombiaClientes[[#This Row],[Client]],VpsClientes[Client],VpsClientes[VP],"",0)</f>
        <v>Martha Guzman Arango</v>
      </c>
      <c r="B2926" s="171" t="s">
        <v>109</v>
      </c>
      <c r="C2926" s="172" t="s">
        <v>237</v>
      </c>
      <c r="D2926" s="172" t="s">
        <v>219</v>
      </c>
      <c r="E2926" s="172" t="s">
        <v>91</v>
      </c>
      <c r="F2926" s="173">
        <v>563</v>
      </c>
    </row>
    <row r="2927" spans="1:6" x14ac:dyDescent="0.3">
      <c r="A2927" s="7" t="str">
        <f>_xlfn.XLOOKUP(ColombiaClientes[[#This Row],[Client]],VpsClientes[Client],VpsClientes[VP],"",0)</f>
        <v>Ernesto Rico Zuluaga</v>
      </c>
      <c r="B2927" s="171" t="s">
        <v>121</v>
      </c>
      <c r="C2927" s="172" t="s">
        <v>237</v>
      </c>
      <c r="D2927" s="172" t="s">
        <v>219</v>
      </c>
      <c r="E2927" s="172" t="s">
        <v>91</v>
      </c>
      <c r="F2927" s="173">
        <v>533</v>
      </c>
    </row>
    <row r="2928" spans="1:6" x14ac:dyDescent="0.3">
      <c r="A2928" s="7" t="str">
        <f>_xlfn.XLOOKUP(ColombiaClientes[[#This Row],[Client]],VpsClientes[Client],VpsClientes[VP],"",0)</f>
        <v>Maria Forero Jara</v>
      </c>
      <c r="B2928" s="171" t="s">
        <v>106</v>
      </c>
      <c r="C2928" s="172" t="s">
        <v>237</v>
      </c>
      <c r="D2928" s="172" t="s">
        <v>219</v>
      </c>
      <c r="E2928" s="172" t="s">
        <v>91</v>
      </c>
      <c r="F2928" s="173">
        <v>397</v>
      </c>
    </row>
    <row r="2929" spans="1:6" x14ac:dyDescent="0.3">
      <c r="A2929" s="7" t="str">
        <f>_xlfn.XLOOKUP(ColombiaClientes[[#This Row],[Client]],VpsClientes[Client],VpsClientes[VP],"",0)</f>
        <v>Moises Saavedra Garcia</v>
      </c>
      <c r="B2929" s="171" t="s">
        <v>120</v>
      </c>
      <c r="C2929" s="172" t="s">
        <v>237</v>
      </c>
      <c r="D2929" s="172" t="s">
        <v>219</v>
      </c>
      <c r="E2929" s="172" t="s">
        <v>91</v>
      </c>
      <c r="F2929" s="173">
        <v>380</v>
      </c>
    </row>
    <row r="2930" spans="1:6" x14ac:dyDescent="0.3">
      <c r="A2930" s="7" t="str">
        <f>_xlfn.XLOOKUP(ColombiaClientes[[#This Row],[Client]],VpsClientes[Client],VpsClientes[VP],"",0)</f>
        <v>Martha Guzman Arango</v>
      </c>
      <c r="B2930" s="171" t="s">
        <v>114</v>
      </c>
      <c r="C2930" s="172" t="s">
        <v>237</v>
      </c>
      <c r="D2930" s="172" t="s">
        <v>219</v>
      </c>
      <c r="E2930" s="172" t="s">
        <v>91</v>
      </c>
      <c r="F2930" s="173">
        <v>380</v>
      </c>
    </row>
    <row r="2931" spans="1:6" x14ac:dyDescent="0.3">
      <c r="A2931" s="7" t="str">
        <f>_xlfn.XLOOKUP(ColombiaClientes[[#This Row],[Client]],VpsClientes[Client],VpsClientes[VP],"",0)</f>
        <v>Jhonatan Izquierdo Rico</v>
      </c>
      <c r="B2931" s="171" t="s">
        <v>126</v>
      </c>
      <c r="C2931" s="172" t="s">
        <v>237</v>
      </c>
      <c r="D2931" s="172" t="s">
        <v>219</v>
      </c>
      <c r="E2931" s="172" t="s">
        <v>91</v>
      </c>
      <c r="F2931" s="173">
        <v>358</v>
      </c>
    </row>
    <row r="2932" spans="1:6" x14ac:dyDescent="0.3">
      <c r="A2932" s="7" t="str">
        <f>_xlfn.XLOOKUP(ColombiaClientes[[#This Row],[Client]],VpsClientes[Client],VpsClientes[VP],"",0)</f>
        <v>Moises Saavedra Garcia</v>
      </c>
      <c r="B2932" s="171" t="s">
        <v>115</v>
      </c>
      <c r="C2932" s="172" t="s">
        <v>237</v>
      </c>
      <c r="D2932" s="172" t="s">
        <v>219</v>
      </c>
      <c r="E2932" s="172" t="s">
        <v>91</v>
      </c>
      <c r="F2932" s="173">
        <v>325</v>
      </c>
    </row>
    <row r="2933" spans="1:6" x14ac:dyDescent="0.3">
      <c r="A2933" s="7" t="str">
        <f>_xlfn.XLOOKUP(ColombiaClientes[[#This Row],[Client]],VpsClientes[Client],VpsClientes[VP],"",0)</f>
        <v>Hector Muraira Garza</v>
      </c>
      <c r="B2933" s="171" t="s">
        <v>130</v>
      </c>
      <c r="C2933" s="172" t="s">
        <v>237</v>
      </c>
      <c r="D2933" s="172" t="s">
        <v>219</v>
      </c>
      <c r="E2933" s="172" t="s">
        <v>91</v>
      </c>
      <c r="F2933" s="173">
        <v>321</v>
      </c>
    </row>
    <row r="2934" spans="1:6" x14ac:dyDescent="0.3">
      <c r="A2934" s="7" t="str">
        <f>_xlfn.XLOOKUP(ColombiaClientes[[#This Row],[Client]],VpsClientes[Client],VpsClientes[VP],"",0)</f>
        <v>Carlos Beltran Hernandez</v>
      </c>
      <c r="B2934" s="171" t="s">
        <v>119</v>
      </c>
      <c r="C2934" s="172" t="s">
        <v>237</v>
      </c>
      <c r="D2934" s="172" t="s">
        <v>219</v>
      </c>
      <c r="E2934" s="172" t="s">
        <v>91</v>
      </c>
      <c r="F2934" s="173">
        <v>304</v>
      </c>
    </row>
    <row r="2935" spans="1:6" x14ac:dyDescent="0.3">
      <c r="A2935" s="7" t="str">
        <f>_xlfn.XLOOKUP(ColombiaClientes[[#This Row],[Client]],VpsClientes[Client],VpsClientes[VP],"",0)</f>
        <v>Martha Guzman Arango</v>
      </c>
      <c r="B2935" s="171" t="s">
        <v>143</v>
      </c>
      <c r="C2935" s="172" t="s">
        <v>237</v>
      </c>
      <c r="D2935" s="172" t="s">
        <v>219</v>
      </c>
      <c r="E2935" s="172" t="s">
        <v>91</v>
      </c>
      <c r="F2935" s="173">
        <v>275</v>
      </c>
    </row>
    <row r="2936" spans="1:6" x14ac:dyDescent="0.3">
      <c r="A2936" s="7" t="str">
        <f>_xlfn.XLOOKUP(ColombiaClientes[[#This Row],[Client]],VpsClientes[Client],VpsClientes[VP],"",0)</f>
        <v>Moises Saavedra Garcia</v>
      </c>
      <c r="B2936" s="171" t="s">
        <v>110</v>
      </c>
      <c r="C2936" s="172" t="s">
        <v>237</v>
      </c>
      <c r="D2936" s="172" t="s">
        <v>219</v>
      </c>
      <c r="E2936" s="172" t="s">
        <v>91</v>
      </c>
      <c r="F2936" s="173">
        <v>252</v>
      </c>
    </row>
    <row r="2937" spans="1:6" x14ac:dyDescent="0.3">
      <c r="A2937" s="7" t="str">
        <f>_xlfn.XLOOKUP(ColombiaClientes[[#This Row],[Client]],VpsClientes[Client],VpsClientes[VP],"",0)</f>
        <v>Martha Guzman Arango</v>
      </c>
      <c r="B2937" s="171" t="s">
        <v>135</v>
      </c>
      <c r="C2937" s="172" t="s">
        <v>237</v>
      </c>
      <c r="D2937" s="172" t="s">
        <v>219</v>
      </c>
      <c r="E2937" s="172" t="s">
        <v>91</v>
      </c>
      <c r="F2937" s="173">
        <v>223</v>
      </c>
    </row>
    <row r="2938" spans="1:6" x14ac:dyDescent="0.3">
      <c r="A2938" s="7" t="str">
        <f>_xlfn.XLOOKUP(ColombiaClientes[[#This Row],[Client]],VpsClientes[Client],VpsClientes[VP],"",0)</f>
        <v>Moises Saavedra Garcia</v>
      </c>
      <c r="B2938" s="171" t="s">
        <v>150</v>
      </c>
      <c r="C2938" s="172" t="s">
        <v>237</v>
      </c>
      <c r="D2938" s="172" t="s">
        <v>219</v>
      </c>
      <c r="E2938" s="172" t="s">
        <v>91</v>
      </c>
      <c r="F2938" s="173">
        <v>223</v>
      </c>
    </row>
    <row r="2939" spans="1:6" x14ac:dyDescent="0.3">
      <c r="A2939" s="7" t="str">
        <f>_xlfn.XLOOKUP(ColombiaClientes[[#This Row],[Client]],VpsClientes[Client],VpsClientes[VP],"",0)</f>
        <v>Juan Granados Castillo</v>
      </c>
      <c r="B2939" s="171" t="s">
        <v>134</v>
      </c>
      <c r="C2939" s="172" t="s">
        <v>237</v>
      </c>
      <c r="D2939" s="172" t="s">
        <v>219</v>
      </c>
      <c r="E2939" s="172" t="s">
        <v>91</v>
      </c>
      <c r="F2939" s="173">
        <v>212</v>
      </c>
    </row>
    <row r="2940" spans="1:6" x14ac:dyDescent="0.3">
      <c r="A2940" s="7" t="str">
        <f>_xlfn.XLOOKUP(ColombiaClientes[[#This Row],[Client]],VpsClientes[Client],VpsClientes[VP],"",0)</f>
        <v>Martha Guzman Arango</v>
      </c>
      <c r="B2940" s="171" t="s">
        <v>152</v>
      </c>
      <c r="C2940" s="172" t="s">
        <v>237</v>
      </c>
      <c r="D2940" s="172" t="s">
        <v>219</v>
      </c>
      <c r="E2940" s="172" t="s">
        <v>91</v>
      </c>
      <c r="F2940" s="173">
        <v>211</v>
      </c>
    </row>
    <row r="2941" spans="1:6" x14ac:dyDescent="0.3">
      <c r="A2941" s="7" t="str">
        <f>_xlfn.XLOOKUP(ColombiaClientes[[#This Row],[Client]],VpsClientes[Client],VpsClientes[VP],"",0)</f>
        <v>Martha Guzman Arango</v>
      </c>
      <c r="B2941" s="171" t="s">
        <v>145</v>
      </c>
      <c r="C2941" s="172" t="s">
        <v>237</v>
      </c>
      <c r="D2941" s="172" t="s">
        <v>219</v>
      </c>
      <c r="E2941" s="172" t="s">
        <v>91</v>
      </c>
      <c r="F2941" s="173">
        <v>203</v>
      </c>
    </row>
    <row r="2942" spans="1:6" x14ac:dyDescent="0.3">
      <c r="A2942" s="7" t="str">
        <f>_xlfn.XLOOKUP(ColombiaClientes[[#This Row],[Client]],VpsClientes[Client],VpsClientes[VP],"",0)</f>
        <v>Martha Guzman Arango</v>
      </c>
      <c r="B2942" s="171" t="s">
        <v>185</v>
      </c>
      <c r="C2942" s="172" t="s">
        <v>237</v>
      </c>
      <c r="D2942" s="172" t="s">
        <v>219</v>
      </c>
      <c r="E2942" s="172" t="s">
        <v>91</v>
      </c>
      <c r="F2942" s="173">
        <v>202</v>
      </c>
    </row>
    <row r="2943" spans="1:6" x14ac:dyDescent="0.3">
      <c r="A2943" s="7" t="str">
        <f>_xlfn.XLOOKUP(ColombiaClientes[[#This Row],[Client]],VpsClientes[Client],VpsClientes[VP],"",0)</f>
        <v>Martha Guzman Arango</v>
      </c>
      <c r="B2943" s="171" t="s">
        <v>118</v>
      </c>
      <c r="C2943" s="172" t="s">
        <v>237</v>
      </c>
      <c r="D2943" s="172" t="s">
        <v>219</v>
      </c>
      <c r="E2943" s="172" t="s">
        <v>91</v>
      </c>
      <c r="F2943" s="173">
        <v>171</v>
      </c>
    </row>
    <row r="2944" spans="1:6" x14ac:dyDescent="0.3">
      <c r="A2944" s="7" t="str">
        <f>_xlfn.XLOOKUP(ColombiaClientes[[#This Row],[Client]],VpsClientes[Client],VpsClientes[VP],"",0)</f>
        <v>Martha Guzman Arango</v>
      </c>
      <c r="B2944" s="171" t="s">
        <v>156</v>
      </c>
      <c r="C2944" s="172" t="s">
        <v>237</v>
      </c>
      <c r="D2944" s="172" t="s">
        <v>219</v>
      </c>
      <c r="E2944" s="172" t="s">
        <v>91</v>
      </c>
      <c r="F2944" s="173">
        <v>162</v>
      </c>
    </row>
    <row r="2945" spans="1:6" x14ac:dyDescent="0.3">
      <c r="A2945" s="7" t="str">
        <f>_xlfn.XLOOKUP(ColombiaClientes[[#This Row],[Client]],VpsClientes[Client],VpsClientes[VP],"",0)</f>
        <v>Jhonatan Izquierdo Rico</v>
      </c>
      <c r="B2945" s="171" t="s">
        <v>117</v>
      </c>
      <c r="C2945" s="172" t="s">
        <v>237</v>
      </c>
      <c r="D2945" s="172" t="s">
        <v>219</v>
      </c>
      <c r="E2945" s="172" t="s">
        <v>91</v>
      </c>
      <c r="F2945" s="173">
        <v>153</v>
      </c>
    </row>
    <row r="2946" spans="1:6" x14ac:dyDescent="0.3">
      <c r="A2946" s="7" t="str">
        <f>_xlfn.XLOOKUP(ColombiaClientes[[#This Row],[Client]],VpsClientes[Client],VpsClientes[VP],"",0)</f>
        <v>Martha Guzman Arango</v>
      </c>
      <c r="B2946" s="171" t="s">
        <v>153</v>
      </c>
      <c r="C2946" s="172" t="s">
        <v>237</v>
      </c>
      <c r="D2946" s="172" t="s">
        <v>219</v>
      </c>
      <c r="E2946" s="172" t="s">
        <v>91</v>
      </c>
      <c r="F2946" s="173">
        <v>142</v>
      </c>
    </row>
    <row r="2947" spans="1:6" x14ac:dyDescent="0.3">
      <c r="A2947" s="7" t="str">
        <f>_xlfn.XLOOKUP(ColombiaClientes[[#This Row],[Client]],VpsClientes[Client],VpsClientes[VP],"",0)</f>
        <v>Jhonatan Izquierdo Rico</v>
      </c>
      <c r="B2947" s="171" t="s">
        <v>138</v>
      </c>
      <c r="C2947" s="172" t="s">
        <v>237</v>
      </c>
      <c r="D2947" s="172" t="s">
        <v>219</v>
      </c>
      <c r="E2947" s="172" t="s">
        <v>91</v>
      </c>
      <c r="F2947" s="173">
        <v>138</v>
      </c>
    </row>
    <row r="2948" spans="1:6" x14ac:dyDescent="0.3">
      <c r="A2948" s="7" t="str">
        <f>_xlfn.XLOOKUP(ColombiaClientes[[#This Row],[Client]],VpsClientes[Client],VpsClientes[VP],"",0)</f>
        <v>Martha Guzman Arango</v>
      </c>
      <c r="B2948" s="171" t="s">
        <v>124</v>
      </c>
      <c r="C2948" s="172" t="s">
        <v>237</v>
      </c>
      <c r="D2948" s="172" t="s">
        <v>219</v>
      </c>
      <c r="E2948" s="172" t="s">
        <v>91</v>
      </c>
      <c r="F2948" s="173">
        <v>137</v>
      </c>
    </row>
    <row r="2949" spans="1:6" x14ac:dyDescent="0.3">
      <c r="A2949" s="7" t="str">
        <f>_xlfn.XLOOKUP(ColombiaClientes[[#This Row],[Client]],VpsClientes[Client],VpsClientes[VP],"",0)</f>
        <v>Martha Guzman Arango</v>
      </c>
      <c r="B2949" s="171" t="s">
        <v>166</v>
      </c>
      <c r="C2949" s="172" t="s">
        <v>237</v>
      </c>
      <c r="D2949" s="172" t="s">
        <v>219</v>
      </c>
      <c r="E2949" s="172" t="s">
        <v>91</v>
      </c>
      <c r="F2949" s="173">
        <v>129</v>
      </c>
    </row>
    <row r="2950" spans="1:6" x14ac:dyDescent="0.3">
      <c r="A2950" s="7" t="str">
        <f>_xlfn.XLOOKUP(ColombiaClientes[[#This Row],[Client]],VpsClientes[Client],VpsClientes[VP],"",0)</f>
        <v>Maria Forero Jara</v>
      </c>
      <c r="B2950" s="171" t="s">
        <v>163</v>
      </c>
      <c r="C2950" s="172" t="s">
        <v>237</v>
      </c>
      <c r="D2950" s="172" t="s">
        <v>219</v>
      </c>
      <c r="E2950" s="172" t="s">
        <v>91</v>
      </c>
      <c r="F2950" s="173">
        <v>116</v>
      </c>
    </row>
    <row r="2951" spans="1:6" x14ac:dyDescent="0.3">
      <c r="A2951" s="7" t="str">
        <f>_xlfn.XLOOKUP(ColombiaClientes[[#This Row],[Client]],VpsClientes[Client],VpsClientes[VP],"",0)</f>
        <v>Hector Muraira Garza</v>
      </c>
      <c r="B2951" s="171" t="s">
        <v>140</v>
      </c>
      <c r="C2951" s="172" t="s">
        <v>237</v>
      </c>
      <c r="D2951" s="172" t="s">
        <v>219</v>
      </c>
      <c r="E2951" s="172" t="s">
        <v>91</v>
      </c>
      <c r="F2951" s="173">
        <v>116</v>
      </c>
    </row>
    <row r="2952" spans="1:6" x14ac:dyDescent="0.3">
      <c r="A2952" s="7" t="str">
        <f>_xlfn.XLOOKUP(ColombiaClientes[[#This Row],[Client]],VpsClientes[Client],VpsClientes[VP],"",0)</f>
        <v>Hector Muraira Garza</v>
      </c>
      <c r="B2952" s="171" t="s">
        <v>154</v>
      </c>
      <c r="C2952" s="172" t="s">
        <v>237</v>
      </c>
      <c r="D2952" s="172" t="s">
        <v>219</v>
      </c>
      <c r="E2952" s="172" t="s">
        <v>91</v>
      </c>
      <c r="F2952" s="173">
        <v>111</v>
      </c>
    </row>
    <row r="2953" spans="1:6" x14ac:dyDescent="0.3">
      <c r="A2953" s="7" t="str">
        <f>_xlfn.XLOOKUP(ColombiaClientes[[#This Row],[Client]],VpsClientes[Client],VpsClientes[VP],"",0)</f>
        <v>Martha Guzman Arango</v>
      </c>
      <c r="B2953" s="171" t="s">
        <v>146</v>
      </c>
      <c r="C2953" s="172" t="s">
        <v>237</v>
      </c>
      <c r="D2953" s="172" t="s">
        <v>219</v>
      </c>
      <c r="E2953" s="172" t="s">
        <v>91</v>
      </c>
      <c r="F2953" s="173">
        <v>104</v>
      </c>
    </row>
    <row r="2954" spans="1:6" x14ac:dyDescent="0.3">
      <c r="A2954" s="7" t="str">
        <f>_xlfn.XLOOKUP(ColombiaClientes[[#This Row],[Client]],VpsClientes[Client],VpsClientes[VP],"",0)</f>
        <v>Jhonatan Izquierdo Rico</v>
      </c>
      <c r="B2954" s="171" t="s">
        <v>157</v>
      </c>
      <c r="C2954" s="172" t="s">
        <v>237</v>
      </c>
      <c r="D2954" s="172" t="s">
        <v>219</v>
      </c>
      <c r="E2954" s="172" t="s">
        <v>91</v>
      </c>
      <c r="F2954" s="173">
        <v>102</v>
      </c>
    </row>
    <row r="2955" spans="1:6" x14ac:dyDescent="0.3">
      <c r="A2955" s="7" t="str">
        <f>_xlfn.XLOOKUP(ColombiaClientes[[#This Row],[Client]],VpsClientes[Client],VpsClientes[VP],"",0)</f>
        <v>Martha Guzman Arango</v>
      </c>
      <c r="B2955" s="171" t="s">
        <v>199</v>
      </c>
      <c r="C2955" s="172" t="s">
        <v>237</v>
      </c>
      <c r="D2955" s="172" t="s">
        <v>219</v>
      </c>
      <c r="E2955" s="172" t="s">
        <v>91</v>
      </c>
      <c r="F2955" s="173">
        <v>89</v>
      </c>
    </row>
    <row r="2956" spans="1:6" x14ac:dyDescent="0.3">
      <c r="A2956" s="7" t="str">
        <f>_xlfn.XLOOKUP(ColombiaClientes[[#This Row],[Client]],VpsClientes[Client],VpsClientes[VP],"",0)</f>
        <v>Moises Saavedra Garcia</v>
      </c>
      <c r="B2956" s="171" t="s">
        <v>172</v>
      </c>
      <c r="C2956" s="172" t="s">
        <v>237</v>
      </c>
      <c r="D2956" s="172" t="s">
        <v>219</v>
      </c>
      <c r="E2956" s="172" t="s">
        <v>91</v>
      </c>
      <c r="F2956" s="173">
        <v>69</v>
      </c>
    </row>
    <row r="2957" spans="1:6" x14ac:dyDescent="0.3">
      <c r="A2957" s="7" t="str">
        <f>_xlfn.XLOOKUP(ColombiaClientes[[#This Row],[Client]],VpsClientes[Client],VpsClientes[VP],"",0)</f>
        <v>Maria Forero Jara</v>
      </c>
      <c r="B2957" s="171" t="s">
        <v>111</v>
      </c>
      <c r="C2957" s="172" t="s">
        <v>237</v>
      </c>
      <c r="D2957" s="172" t="s">
        <v>219</v>
      </c>
      <c r="E2957" s="172" t="s">
        <v>91</v>
      </c>
      <c r="F2957" s="173">
        <v>67</v>
      </c>
    </row>
    <row r="2958" spans="1:6" x14ac:dyDescent="0.3">
      <c r="A2958" s="7" t="str">
        <f>_xlfn.XLOOKUP(ColombiaClientes[[#This Row],[Client]],VpsClientes[Client],VpsClientes[VP],"",0)</f>
        <v>Martha Guzman Arango</v>
      </c>
      <c r="B2958" s="171" t="s">
        <v>148</v>
      </c>
      <c r="C2958" s="172" t="s">
        <v>237</v>
      </c>
      <c r="D2958" s="172" t="s">
        <v>219</v>
      </c>
      <c r="E2958" s="172" t="s">
        <v>91</v>
      </c>
      <c r="F2958" s="173">
        <v>54</v>
      </c>
    </row>
    <row r="2959" spans="1:6" x14ac:dyDescent="0.3">
      <c r="A2959" s="7" t="str">
        <f>_xlfn.XLOOKUP(ColombiaClientes[[#This Row],[Client]],VpsClientes[Client],VpsClientes[VP],"",0)</f>
        <v>Martha Guzman Arango</v>
      </c>
      <c r="B2959" s="171" t="s">
        <v>171</v>
      </c>
      <c r="C2959" s="172" t="s">
        <v>237</v>
      </c>
      <c r="D2959" s="172" t="s">
        <v>219</v>
      </c>
      <c r="E2959" s="172" t="s">
        <v>91</v>
      </c>
      <c r="F2959" s="173">
        <v>51</v>
      </c>
    </row>
    <row r="2960" spans="1:6" x14ac:dyDescent="0.3">
      <c r="A2960" s="7" t="str">
        <f>_xlfn.XLOOKUP(ColombiaClientes[[#This Row],[Client]],VpsClientes[Client],VpsClientes[VP],"",0)</f>
        <v>Moises Saavedra Garcia</v>
      </c>
      <c r="B2960" s="171" t="s">
        <v>190</v>
      </c>
      <c r="C2960" s="172" t="s">
        <v>237</v>
      </c>
      <c r="D2960" s="172" t="s">
        <v>219</v>
      </c>
      <c r="E2960" s="172" t="s">
        <v>91</v>
      </c>
      <c r="F2960" s="173">
        <v>43</v>
      </c>
    </row>
    <row r="2961" spans="1:6" x14ac:dyDescent="0.3">
      <c r="A2961" s="7" t="str">
        <f>_xlfn.XLOOKUP(ColombiaClientes[[#This Row],[Client]],VpsClientes[Client],VpsClientes[VP],"",0)</f>
        <v>Jhonatan Izquierdo Rico</v>
      </c>
      <c r="B2961" s="171" t="s">
        <v>129</v>
      </c>
      <c r="C2961" s="172" t="s">
        <v>237</v>
      </c>
      <c r="D2961" s="172" t="s">
        <v>219</v>
      </c>
      <c r="E2961" s="172" t="s">
        <v>91</v>
      </c>
      <c r="F2961" s="173">
        <v>41</v>
      </c>
    </row>
    <row r="2962" spans="1:6" x14ac:dyDescent="0.3">
      <c r="A2962" s="7" t="str">
        <f>_xlfn.XLOOKUP(ColombiaClientes[[#This Row],[Client]],VpsClientes[Client],VpsClientes[VP],"",0)</f>
        <v>Carlos Beltran Hernandez</v>
      </c>
      <c r="B2962" s="171" t="s">
        <v>173</v>
      </c>
      <c r="C2962" s="172" t="s">
        <v>237</v>
      </c>
      <c r="D2962" s="172" t="s">
        <v>219</v>
      </c>
      <c r="E2962" s="172" t="s">
        <v>91</v>
      </c>
      <c r="F2962" s="173">
        <v>40</v>
      </c>
    </row>
    <row r="2963" spans="1:6" x14ac:dyDescent="0.3">
      <c r="A2963" s="7" t="str">
        <f>_xlfn.XLOOKUP(ColombiaClientes[[#This Row],[Client]],VpsClientes[Client],VpsClientes[VP],"",0)</f>
        <v>Martha Guzman Arango</v>
      </c>
      <c r="B2963" s="171" t="s">
        <v>162</v>
      </c>
      <c r="C2963" s="172" t="s">
        <v>237</v>
      </c>
      <c r="D2963" s="172" t="s">
        <v>219</v>
      </c>
      <c r="E2963" s="172" t="s">
        <v>91</v>
      </c>
      <c r="F2963" s="173">
        <v>35</v>
      </c>
    </row>
    <row r="2964" spans="1:6" x14ac:dyDescent="0.3">
      <c r="A2964" s="7" t="str">
        <f>_xlfn.XLOOKUP(ColombiaClientes[[#This Row],[Client]],VpsClientes[Client],VpsClientes[VP],"",0)</f>
        <v>Martha Guzman Arango</v>
      </c>
      <c r="B2964" s="171" t="s">
        <v>168</v>
      </c>
      <c r="C2964" s="172" t="s">
        <v>237</v>
      </c>
      <c r="D2964" s="172" t="s">
        <v>219</v>
      </c>
      <c r="E2964" s="172" t="s">
        <v>91</v>
      </c>
      <c r="F2964" s="173">
        <v>33</v>
      </c>
    </row>
    <row r="2965" spans="1:6" x14ac:dyDescent="0.3">
      <c r="A2965" s="7" t="str">
        <f>_xlfn.XLOOKUP(ColombiaClientes[[#This Row],[Client]],VpsClientes[Client],VpsClientes[VP],"",0)</f>
        <v>Maria Forero Jara</v>
      </c>
      <c r="B2965" s="171" t="s">
        <v>198</v>
      </c>
      <c r="C2965" s="172" t="s">
        <v>237</v>
      </c>
      <c r="D2965" s="172" t="s">
        <v>219</v>
      </c>
      <c r="E2965" s="172" t="s">
        <v>91</v>
      </c>
      <c r="F2965" s="173">
        <v>30</v>
      </c>
    </row>
    <row r="2966" spans="1:6" x14ac:dyDescent="0.3">
      <c r="A2966" s="7" t="str">
        <f>_xlfn.XLOOKUP(ColombiaClientes[[#This Row],[Client]],VpsClientes[Client],VpsClientes[VP],"",0)</f>
        <v>Jhonatan Izquierdo Rico</v>
      </c>
      <c r="B2966" s="171" t="s">
        <v>197</v>
      </c>
      <c r="C2966" s="172" t="s">
        <v>237</v>
      </c>
      <c r="D2966" s="172" t="s">
        <v>219</v>
      </c>
      <c r="E2966" s="172" t="s">
        <v>91</v>
      </c>
      <c r="F2966" s="173">
        <v>21</v>
      </c>
    </row>
    <row r="2967" spans="1:6" x14ac:dyDescent="0.3">
      <c r="A2967" s="7" t="str">
        <f>_xlfn.XLOOKUP(ColombiaClientes[[#This Row],[Client]],VpsClientes[Client],VpsClientes[VP],"",0)</f>
        <v>Martha Guzman Arango</v>
      </c>
      <c r="B2967" s="171" t="s">
        <v>155</v>
      </c>
      <c r="C2967" s="172" t="s">
        <v>237</v>
      </c>
      <c r="D2967" s="172" t="s">
        <v>219</v>
      </c>
      <c r="E2967" s="172" t="s">
        <v>91</v>
      </c>
      <c r="F2967" s="173">
        <v>18</v>
      </c>
    </row>
    <row r="2968" spans="1:6" x14ac:dyDescent="0.3">
      <c r="A2968" s="7" t="str">
        <f>_xlfn.XLOOKUP(ColombiaClientes[[#This Row],[Client]],VpsClientes[Client],VpsClientes[VP],"",0)</f>
        <v>Martha Guzman Arango</v>
      </c>
      <c r="B2968" s="171" t="s">
        <v>176</v>
      </c>
      <c r="C2968" s="172" t="s">
        <v>237</v>
      </c>
      <c r="D2968" s="172" t="s">
        <v>219</v>
      </c>
      <c r="E2968" s="172" t="s">
        <v>91</v>
      </c>
      <c r="F2968" s="173">
        <v>18</v>
      </c>
    </row>
    <row r="2969" spans="1:6" x14ac:dyDescent="0.3">
      <c r="A2969" s="7" t="str">
        <f>_xlfn.XLOOKUP(ColombiaClientes[[#This Row],[Client]],VpsClientes[Client],VpsClientes[VP],"",0)</f>
        <v>Martha Guzman Arango</v>
      </c>
      <c r="B2969" s="171" t="s">
        <v>183</v>
      </c>
      <c r="C2969" s="172" t="s">
        <v>237</v>
      </c>
      <c r="D2969" s="172" t="s">
        <v>219</v>
      </c>
      <c r="E2969" s="172" t="s">
        <v>91</v>
      </c>
      <c r="F2969" s="173">
        <v>17</v>
      </c>
    </row>
    <row r="2970" spans="1:6" x14ac:dyDescent="0.3">
      <c r="A2970" s="7" t="str">
        <f>_xlfn.XLOOKUP(ColombiaClientes[[#This Row],[Client]],VpsClientes[Client],VpsClientes[VP],"",0)</f>
        <v>Martha Guzman Arango</v>
      </c>
      <c r="B2970" s="171" t="s">
        <v>174</v>
      </c>
      <c r="C2970" s="172" t="s">
        <v>237</v>
      </c>
      <c r="D2970" s="172" t="s">
        <v>219</v>
      </c>
      <c r="E2970" s="172" t="s">
        <v>91</v>
      </c>
      <c r="F2970" s="173">
        <v>17</v>
      </c>
    </row>
    <row r="2971" spans="1:6" x14ac:dyDescent="0.3">
      <c r="A2971" s="7" t="str">
        <f>_xlfn.XLOOKUP(ColombiaClientes[[#This Row],[Client]],VpsClientes[Client],VpsClientes[VP],"",0)</f>
        <v>Juan Granados Castillo</v>
      </c>
      <c r="B2971" s="171" t="s">
        <v>142</v>
      </c>
      <c r="C2971" s="172" t="s">
        <v>237</v>
      </c>
      <c r="D2971" s="172" t="s">
        <v>219</v>
      </c>
      <c r="E2971" s="172" t="s">
        <v>91</v>
      </c>
      <c r="F2971" s="173">
        <v>15</v>
      </c>
    </row>
    <row r="2972" spans="1:6" x14ac:dyDescent="0.3">
      <c r="A2972" s="7" t="str">
        <f>_xlfn.XLOOKUP(ColombiaClientes[[#This Row],[Client]],VpsClientes[Client],VpsClientes[VP],"",0)</f>
        <v>Martha Guzman Arango</v>
      </c>
      <c r="B2972" s="171" t="s">
        <v>170</v>
      </c>
      <c r="C2972" s="172" t="s">
        <v>237</v>
      </c>
      <c r="D2972" s="172" t="s">
        <v>219</v>
      </c>
      <c r="E2972" s="172" t="s">
        <v>91</v>
      </c>
      <c r="F2972" s="173">
        <v>15</v>
      </c>
    </row>
    <row r="2973" spans="1:6" x14ac:dyDescent="0.3">
      <c r="A2973" s="7" t="str">
        <f>_xlfn.XLOOKUP(ColombiaClientes[[#This Row],[Client]],VpsClientes[Client],VpsClientes[VP],"",0)</f>
        <v>Maria Forero Jara</v>
      </c>
      <c r="B2973" s="171" t="s">
        <v>182</v>
      </c>
      <c r="C2973" s="172" t="s">
        <v>237</v>
      </c>
      <c r="D2973" s="172" t="s">
        <v>219</v>
      </c>
      <c r="E2973" s="172" t="s">
        <v>91</v>
      </c>
      <c r="F2973" s="173">
        <v>13</v>
      </c>
    </row>
    <row r="2974" spans="1:6" x14ac:dyDescent="0.3">
      <c r="A2974" s="7" t="str">
        <f>_xlfn.XLOOKUP(ColombiaClientes[[#This Row],[Client]],VpsClientes[Client],VpsClientes[VP],"",0)</f>
        <v>Maria Forero Jara</v>
      </c>
      <c r="B2974" s="171" t="s">
        <v>144</v>
      </c>
      <c r="C2974" s="172" t="s">
        <v>237</v>
      </c>
      <c r="D2974" s="172" t="s">
        <v>219</v>
      </c>
      <c r="E2974" s="172" t="s">
        <v>91</v>
      </c>
      <c r="F2974" s="173">
        <v>10</v>
      </c>
    </row>
    <row r="2975" spans="1:6" x14ac:dyDescent="0.3">
      <c r="A2975" s="7" t="str">
        <f>_xlfn.XLOOKUP(ColombiaClientes[[#This Row],[Client]],VpsClientes[Client],VpsClientes[VP],"",0)</f>
        <v>Moises Saavedra Garcia</v>
      </c>
      <c r="B2975" s="171" t="s">
        <v>187</v>
      </c>
      <c r="C2975" s="172" t="s">
        <v>237</v>
      </c>
      <c r="D2975" s="172" t="s">
        <v>219</v>
      </c>
      <c r="E2975" s="172" t="s">
        <v>91</v>
      </c>
      <c r="F2975" s="173">
        <v>9</v>
      </c>
    </row>
    <row r="2976" spans="1:6" x14ac:dyDescent="0.3">
      <c r="A2976" s="7" t="str">
        <f>_xlfn.XLOOKUP(ColombiaClientes[[#This Row],[Client]],VpsClientes[Client],VpsClientes[VP],"",0)</f>
        <v>Martha Guzman Arango</v>
      </c>
      <c r="B2976" s="171" t="s">
        <v>186</v>
      </c>
      <c r="C2976" s="172" t="s">
        <v>237</v>
      </c>
      <c r="D2976" s="172" t="s">
        <v>219</v>
      </c>
      <c r="E2976" s="172" t="s">
        <v>91</v>
      </c>
      <c r="F2976" s="173">
        <v>8</v>
      </c>
    </row>
    <row r="2977" spans="1:6" x14ac:dyDescent="0.3">
      <c r="A2977" s="7" t="str">
        <f>_xlfn.XLOOKUP(ColombiaClientes[[#This Row],[Client]],VpsClientes[Client],VpsClientes[VP],"",0)</f>
        <v>Maria Forero Jara</v>
      </c>
      <c r="B2977" s="171" t="s">
        <v>179</v>
      </c>
      <c r="C2977" s="172" t="s">
        <v>237</v>
      </c>
      <c r="D2977" s="172" t="s">
        <v>219</v>
      </c>
      <c r="E2977" s="172" t="s">
        <v>91</v>
      </c>
      <c r="F2977" s="173">
        <v>8</v>
      </c>
    </row>
    <row r="2978" spans="1:6" x14ac:dyDescent="0.3">
      <c r="A2978" s="7" t="str">
        <f>_xlfn.XLOOKUP(ColombiaClientes[[#This Row],[Client]],VpsClientes[Client],VpsClientes[VP],"",0)</f>
        <v>Moises Saavedra Garcia</v>
      </c>
      <c r="B2978" s="171" t="s">
        <v>175</v>
      </c>
      <c r="C2978" s="172" t="s">
        <v>237</v>
      </c>
      <c r="D2978" s="172" t="s">
        <v>219</v>
      </c>
      <c r="E2978" s="172" t="s">
        <v>91</v>
      </c>
      <c r="F2978" s="173">
        <v>8</v>
      </c>
    </row>
    <row r="2979" spans="1:6" x14ac:dyDescent="0.3">
      <c r="A2979" s="7" t="str">
        <f>_xlfn.XLOOKUP(ColombiaClientes[[#This Row],[Client]],VpsClientes[Client],VpsClientes[VP],"",0)</f>
        <v>Jhonatan Izquierdo Rico</v>
      </c>
      <c r="B2979" s="171" t="s">
        <v>196</v>
      </c>
      <c r="C2979" s="172" t="s">
        <v>237</v>
      </c>
      <c r="D2979" s="172" t="s">
        <v>219</v>
      </c>
      <c r="E2979" s="172" t="s">
        <v>91</v>
      </c>
      <c r="F2979" s="173">
        <v>7</v>
      </c>
    </row>
    <row r="2980" spans="1:6" x14ac:dyDescent="0.3">
      <c r="A2980" s="7" t="str">
        <f>_xlfn.XLOOKUP(ColombiaClientes[[#This Row],[Client]],VpsClientes[Client],VpsClientes[VP],"",0)</f>
        <v>Juan Granados Castillo</v>
      </c>
      <c r="B2980" s="171" t="s">
        <v>149</v>
      </c>
      <c r="C2980" s="172" t="s">
        <v>237</v>
      </c>
      <c r="D2980" s="172" t="s">
        <v>219</v>
      </c>
      <c r="E2980" s="172" t="s">
        <v>91</v>
      </c>
      <c r="F2980" s="173">
        <v>7</v>
      </c>
    </row>
    <row r="2981" spans="1:6" x14ac:dyDescent="0.3">
      <c r="A2981" s="7" t="str">
        <f>_xlfn.XLOOKUP(ColombiaClientes[[#This Row],[Client]],VpsClientes[Client],VpsClientes[VP],"",0)</f>
        <v>Martha Guzman Arango</v>
      </c>
      <c r="B2981" s="171" t="s">
        <v>131</v>
      </c>
      <c r="C2981" s="172" t="s">
        <v>237</v>
      </c>
      <c r="D2981" s="172" t="s">
        <v>219</v>
      </c>
      <c r="E2981" s="172" t="s">
        <v>91</v>
      </c>
      <c r="F2981" s="173">
        <v>7</v>
      </c>
    </row>
    <row r="2982" spans="1:6" x14ac:dyDescent="0.3">
      <c r="A2982" s="7" t="str">
        <f>_xlfn.XLOOKUP(ColombiaClientes[[#This Row],[Client]],VpsClientes[Client],VpsClientes[VP],"",0)</f>
        <v>Martha Guzman Arango</v>
      </c>
      <c r="B2982" s="171" t="s">
        <v>165</v>
      </c>
      <c r="C2982" s="172" t="s">
        <v>237</v>
      </c>
      <c r="D2982" s="172" t="s">
        <v>219</v>
      </c>
      <c r="E2982" s="172" t="s">
        <v>91</v>
      </c>
      <c r="F2982" s="173">
        <v>7</v>
      </c>
    </row>
    <row r="2983" spans="1:6" x14ac:dyDescent="0.3">
      <c r="A2983" s="7" t="str">
        <f>_xlfn.XLOOKUP(ColombiaClientes[[#This Row],[Client]],VpsClientes[Client],VpsClientes[VP],"",0)</f>
        <v>Carlos Beltran Hernandez</v>
      </c>
      <c r="B2983" s="171" t="s">
        <v>151</v>
      </c>
      <c r="C2983" s="172" t="s">
        <v>237</v>
      </c>
      <c r="D2983" s="172" t="s">
        <v>219</v>
      </c>
      <c r="E2983" s="172" t="s">
        <v>91</v>
      </c>
      <c r="F2983" s="173">
        <v>5</v>
      </c>
    </row>
    <row r="2984" spans="1:6" x14ac:dyDescent="0.3">
      <c r="A2984" s="7" t="str">
        <f>_xlfn.XLOOKUP(ColombiaClientes[[#This Row],[Client]],VpsClientes[Client],VpsClientes[VP],"",0)</f>
        <v>Martha Guzman Arango</v>
      </c>
      <c r="B2984" s="171" t="s">
        <v>188</v>
      </c>
      <c r="C2984" s="172" t="s">
        <v>237</v>
      </c>
      <c r="D2984" s="172" t="s">
        <v>219</v>
      </c>
      <c r="E2984" s="172" t="s">
        <v>91</v>
      </c>
      <c r="F2984" s="173">
        <v>3</v>
      </c>
    </row>
    <row r="2985" spans="1:6" x14ac:dyDescent="0.3">
      <c r="A2985" s="7" t="str">
        <f>_xlfn.XLOOKUP(ColombiaClientes[[#This Row],[Client]],VpsClientes[Client],VpsClientes[VP],"",0)</f>
        <v>Hector Muraira Garza</v>
      </c>
      <c r="B2985" s="171" t="s">
        <v>167</v>
      </c>
      <c r="C2985" s="172" t="s">
        <v>237</v>
      </c>
      <c r="D2985" s="172" t="s">
        <v>219</v>
      </c>
      <c r="E2985" s="172" t="s">
        <v>91</v>
      </c>
      <c r="F2985" s="173">
        <v>3</v>
      </c>
    </row>
    <row r="2986" spans="1:6" x14ac:dyDescent="0.3">
      <c r="A2986" s="7" t="str">
        <f>_xlfn.XLOOKUP(ColombiaClientes[[#This Row],[Client]],VpsClientes[Client],VpsClientes[VP],"",0)</f>
        <v>Martha Guzman Arango</v>
      </c>
      <c r="B2986" s="171" t="s">
        <v>169</v>
      </c>
      <c r="C2986" s="172" t="s">
        <v>237</v>
      </c>
      <c r="D2986" s="172" t="s">
        <v>219</v>
      </c>
      <c r="E2986" s="172" t="s">
        <v>91</v>
      </c>
      <c r="F2986" s="173">
        <v>3</v>
      </c>
    </row>
    <row r="2987" spans="1:6" x14ac:dyDescent="0.3">
      <c r="A2987" s="7" t="str">
        <f>_xlfn.XLOOKUP(ColombiaClientes[[#This Row],[Client]],VpsClientes[Client],VpsClientes[VP],"",0)</f>
        <v>Martha Guzman Arango</v>
      </c>
      <c r="B2987" s="171" t="s">
        <v>180</v>
      </c>
      <c r="C2987" s="172" t="s">
        <v>237</v>
      </c>
      <c r="D2987" s="172" t="s">
        <v>219</v>
      </c>
      <c r="E2987" s="172" t="s">
        <v>91</v>
      </c>
      <c r="F2987" s="173">
        <v>1</v>
      </c>
    </row>
    <row r="2988" spans="1:6" x14ac:dyDescent="0.3">
      <c r="A2988" s="7" t="str">
        <f>_xlfn.XLOOKUP(ColombiaClientes[[#This Row],[Client]],VpsClientes[Client],VpsClientes[VP],"",0)</f>
        <v>Maria Forero Jara</v>
      </c>
      <c r="B2988" s="171" t="s">
        <v>139</v>
      </c>
      <c r="C2988" s="172" t="s">
        <v>237</v>
      </c>
      <c r="D2988" s="172" t="s">
        <v>219</v>
      </c>
      <c r="E2988" s="172" t="s">
        <v>91</v>
      </c>
      <c r="F2988" s="173">
        <v>0</v>
      </c>
    </row>
    <row r="2989" spans="1:6" x14ac:dyDescent="0.3">
      <c r="A2989" s="7" t="str">
        <f>_xlfn.XLOOKUP(ColombiaClientes[[#This Row],[Client]],VpsClientes[Client],VpsClientes[VP],"",0)</f>
        <v>Jhonatan Izquierdo Rico</v>
      </c>
      <c r="B2989" s="171" t="s">
        <v>159</v>
      </c>
      <c r="C2989" s="172" t="s">
        <v>237</v>
      </c>
      <c r="D2989" s="172" t="s">
        <v>219</v>
      </c>
      <c r="E2989" s="172" t="s">
        <v>91</v>
      </c>
      <c r="F2989" s="173">
        <v>0</v>
      </c>
    </row>
    <row r="2990" spans="1:6" x14ac:dyDescent="0.3">
      <c r="A2990" s="7" t="str">
        <f>_xlfn.XLOOKUP(ColombiaClientes[[#This Row],[Client]],VpsClientes[Client],VpsClientes[VP],"",0)</f>
        <v>Martha Guzman Arango</v>
      </c>
      <c r="B2990" s="171" t="s">
        <v>189</v>
      </c>
      <c r="C2990" s="172" t="s">
        <v>237</v>
      </c>
      <c r="D2990" s="172" t="s">
        <v>219</v>
      </c>
      <c r="E2990" s="172" t="s">
        <v>91</v>
      </c>
      <c r="F2990" s="173">
        <v>0</v>
      </c>
    </row>
    <row r="2991" spans="1:6" x14ac:dyDescent="0.3">
      <c r="A2991" s="7" t="str">
        <f>_xlfn.XLOOKUP(ColombiaClientes[[#This Row],[Client]],VpsClientes[Client],VpsClientes[VP],"",0)</f>
        <v>Jhonatan Izquierdo Rico</v>
      </c>
      <c r="B2991" s="171" t="s">
        <v>200</v>
      </c>
      <c r="C2991" s="172" t="s">
        <v>237</v>
      </c>
      <c r="D2991" s="172" t="s">
        <v>219</v>
      </c>
      <c r="E2991" s="172" t="s">
        <v>91</v>
      </c>
      <c r="F2991" s="173">
        <v>0</v>
      </c>
    </row>
    <row r="2992" spans="1:6" x14ac:dyDescent="0.3">
      <c r="A2992" s="7" t="str">
        <f>_xlfn.XLOOKUP(ColombiaClientes[[#This Row],[Client]],VpsClientes[Client],VpsClientes[VP],"",0)</f>
        <v>Maria Forero Jara</v>
      </c>
      <c r="B2992" s="171" t="s">
        <v>161</v>
      </c>
      <c r="C2992" s="172" t="s">
        <v>237</v>
      </c>
      <c r="D2992" s="172" t="s">
        <v>219</v>
      </c>
      <c r="E2992" s="172" t="s">
        <v>91</v>
      </c>
      <c r="F2992" s="173">
        <v>0</v>
      </c>
    </row>
    <row r="2993" spans="1:6" x14ac:dyDescent="0.3">
      <c r="A2993" s="7" t="str">
        <f>_xlfn.XLOOKUP(ColombiaClientes[[#This Row],[Client]],VpsClientes[Client],VpsClientes[VP],"",0)</f>
        <v>Hector Muraira Garza</v>
      </c>
      <c r="B2993" s="171" t="s">
        <v>164</v>
      </c>
      <c r="C2993" s="172" t="s">
        <v>237</v>
      </c>
      <c r="D2993" s="172" t="s">
        <v>219</v>
      </c>
      <c r="E2993" s="172" t="s">
        <v>91</v>
      </c>
      <c r="F2993" s="173">
        <v>0</v>
      </c>
    </row>
    <row r="2994" spans="1:6" x14ac:dyDescent="0.3">
      <c r="A2994" s="7" t="str">
        <f>_xlfn.XLOOKUP(ColombiaClientes[[#This Row],[Client]],VpsClientes[Client],VpsClientes[VP],"",0)</f>
        <v>Moises Saavedra Garcia</v>
      </c>
      <c r="B2994" s="181" t="s">
        <v>99</v>
      </c>
      <c r="C2994" t="s">
        <v>237</v>
      </c>
      <c r="D2994" t="s">
        <v>219</v>
      </c>
      <c r="E2994" t="s">
        <v>206</v>
      </c>
      <c r="F2994" s="183">
        <v>4020</v>
      </c>
    </row>
    <row r="2995" spans="1:6" x14ac:dyDescent="0.3">
      <c r="A2995" s="7" t="str">
        <f>_xlfn.XLOOKUP(ColombiaClientes[[#This Row],[Client]],VpsClientes[Client],VpsClientes[VP],"",0)</f>
        <v>Martha Guzman Arango</v>
      </c>
      <c r="B2995" s="181" t="s">
        <v>98</v>
      </c>
      <c r="C2995" s="182" t="s">
        <v>237</v>
      </c>
      <c r="D2995" s="182" t="s">
        <v>219</v>
      </c>
      <c r="E2995" s="182" t="s">
        <v>206</v>
      </c>
      <c r="F2995" s="183">
        <v>2111</v>
      </c>
    </row>
    <row r="2996" spans="1:6" x14ac:dyDescent="0.3">
      <c r="A2996" s="7" t="str">
        <f>_xlfn.XLOOKUP(ColombiaClientes[[#This Row],[Client]],VpsClientes[Client],VpsClientes[VP],"",0)</f>
        <v>Jhonatan Izquierdo Rico</v>
      </c>
      <c r="B2996" s="181" t="s">
        <v>128</v>
      </c>
      <c r="C2996" s="182" t="s">
        <v>237</v>
      </c>
      <c r="D2996" s="182" t="s">
        <v>219</v>
      </c>
      <c r="E2996" s="182" t="s">
        <v>206</v>
      </c>
      <c r="F2996" s="183">
        <v>2070</v>
      </c>
    </row>
    <row r="2997" spans="1:6" x14ac:dyDescent="0.3">
      <c r="A2997" s="7" t="str">
        <f>_xlfn.XLOOKUP(ColombiaClientes[[#This Row],[Client]],VpsClientes[Client],VpsClientes[VP],"",0)</f>
        <v>Martha Guzman Arango</v>
      </c>
      <c r="B2997" s="181" t="s">
        <v>96</v>
      </c>
      <c r="C2997" s="182" t="s">
        <v>237</v>
      </c>
      <c r="D2997" s="182" t="s">
        <v>219</v>
      </c>
      <c r="E2997" s="182" t="s">
        <v>206</v>
      </c>
      <c r="F2997" s="183">
        <v>1915</v>
      </c>
    </row>
    <row r="2998" spans="1:6" x14ac:dyDescent="0.3">
      <c r="A2998" s="7" t="str">
        <f>_xlfn.XLOOKUP(ColombiaClientes[[#This Row],[Client]],VpsClientes[Client],VpsClientes[VP],"",0)</f>
        <v>Carlos Beltran Hernandez</v>
      </c>
      <c r="B2998" s="181" t="s">
        <v>93</v>
      </c>
      <c r="C2998" s="182" t="s">
        <v>237</v>
      </c>
      <c r="D2998" s="182" t="s">
        <v>219</v>
      </c>
      <c r="E2998" s="182" t="s">
        <v>206</v>
      </c>
      <c r="F2998" s="183">
        <v>1001</v>
      </c>
    </row>
    <row r="2999" spans="1:6" x14ac:dyDescent="0.3">
      <c r="A2999" s="7" t="str">
        <f>_xlfn.XLOOKUP(ColombiaClientes[[#This Row],[Client]],VpsClientes[Client],VpsClientes[VP],"",0)</f>
        <v>Maria Forero Jara</v>
      </c>
      <c r="B2999" s="181" t="s">
        <v>125</v>
      </c>
      <c r="C2999" s="182" t="s">
        <v>237</v>
      </c>
      <c r="D2999" s="182" t="s">
        <v>219</v>
      </c>
      <c r="E2999" s="182" t="s">
        <v>206</v>
      </c>
      <c r="F2999" s="183">
        <v>942</v>
      </c>
    </row>
    <row r="3000" spans="1:6" x14ac:dyDescent="0.3">
      <c r="A3000" s="7" t="str">
        <f>_xlfn.XLOOKUP(ColombiaClientes[[#This Row],[Client]],VpsClientes[Client],VpsClientes[VP],"",0)</f>
        <v>Carlos Beltran Hernandez</v>
      </c>
      <c r="B3000" s="181" t="s">
        <v>102</v>
      </c>
      <c r="C3000" s="182" t="s">
        <v>237</v>
      </c>
      <c r="D3000" s="182" t="s">
        <v>219</v>
      </c>
      <c r="E3000" s="182" t="s">
        <v>206</v>
      </c>
      <c r="F3000" s="183">
        <v>763</v>
      </c>
    </row>
    <row r="3001" spans="1:6" x14ac:dyDescent="0.3">
      <c r="A3001" s="7" t="str">
        <f>_xlfn.XLOOKUP(ColombiaClientes[[#This Row],[Client]],VpsClientes[Client],VpsClientes[VP],"",0)</f>
        <v>Martha Guzman Arango</v>
      </c>
      <c r="B3001" s="181" t="s">
        <v>100</v>
      </c>
      <c r="C3001" s="182" t="s">
        <v>237</v>
      </c>
      <c r="D3001" s="182" t="s">
        <v>219</v>
      </c>
      <c r="E3001" s="182" t="s">
        <v>206</v>
      </c>
      <c r="F3001" s="183">
        <v>703</v>
      </c>
    </row>
    <row r="3002" spans="1:6" x14ac:dyDescent="0.3">
      <c r="A3002" s="7" t="str">
        <f>_xlfn.XLOOKUP(ColombiaClientes[[#This Row],[Client]],VpsClientes[Client],VpsClientes[VP],"",0)</f>
        <v>Carlos Beltran Hernandez</v>
      </c>
      <c r="B3002" s="181" t="s">
        <v>94</v>
      </c>
      <c r="C3002" s="182" t="s">
        <v>237</v>
      </c>
      <c r="D3002" s="182" t="s">
        <v>219</v>
      </c>
      <c r="E3002" s="182" t="s">
        <v>206</v>
      </c>
      <c r="F3002" s="183">
        <v>525</v>
      </c>
    </row>
    <row r="3003" spans="1:6" x14ac:dyDescent="0.3">
      <c r="A3003" s="7" t="str">
        <f>_xlfn.XLOOKUP(ColombiaClientes[[#This Row],[Client]],VpsClientes[Client],VpsClientes[VP],"",0)</f>
        <v>Martha Guzman Arango</v>
      </c>
      <c r="B3003" s="181" t="s">
        <v>103</v>
      </c>
      <c r="C3003" s="182" t="s">
        <v>237</v>
      </c>
      <c r="D3003" s="182" t="s">
        <v>219</v>
      </c>
      <c r="E3003" s="182" t="s">
        <v>206</v>
      </c>
      <c r="F3003" s="183">
        <v>512</v>
      </c>
    </row>
    <row r="3004" spans="1:6" x14ac:dyDescent="0.3">
      <c r="A3004" s="7" t="str">
        <f>_xlfn.XLOOKUP(ColombiaClientes[[#This Row],[Client]],VpsClientes[Client],VpsClientes[VP],"",0)</f>
        <v>Martha Guzman Arango</v>
      </c>
      <c r="B3004" s="181" t="s">
        <v>97</v>
      </c>
      <c r="C3004" s="182" t="s">
        <v>237</v>
      </c>
      <c r="D3004" s="182" t="s">
        <v>219</v>
      </c>
      <c r="E3004" s="182" t="s">
        <v>206</v>
      </c>
      <c r="F3004" s="183">
        <v>391</v>
      </c>
    </row>
    <row r="3005" spans="1:6" x14ac:dyDescent="0.3">
      <c r="A3005" s="7" t="str">
        <f>_xlfn.XLOOKUP(ColombiaClientes[[#This Row],[Client]],VpsClientes[Client],VpsClientes[VP],"",0)</f>
        <v>Jhonatan Izquierdo Rico</v>
      </c>
      <c r="B3005" s="181" t="s">
        <v>112</v>
      </c>
      <c r="C3005" s="182" t="s">
        <v>237</v>
      </c>
      <c r="D3005" s="182" t="s">
        <v>219</v>
      </c>
      <c r="E3005" s="182" t="s">
        <v>206</v>
      </c>
      <c r="F3005" s="183">
        <v>390</v>
      </c>
    </row>
    <row r="3006" spans="1:6" x14ac:dyDescent="0.3">
      <c r="A3006" s="7" t="str">
        <f>_xlfn.XLOOKUP(ColombiaClientes[[#This Row],[Client]],VpsClientes[Client],VpsClientes[VP],"",0)</f>
        <v>Maria Forero Jara</v>
      </c>
      <c r="B3006" s="181" t="s">
        <v>108</v>
      </c>
      <c r="C3006" s="182" t="s">
        <v>237</v>
      </c>
      <c r="D3006" s="182" t="s">
        <v>219</v>
      </c>
      <c r="E3006" s="182" t="s">
        <v>206</v>
      </c>
      <c r="F3006" s="183">
        <v>350</v>
      </c>
    </row>
    <row r="3007" spans="1:6" x14ac:dyDescent="0.3">
      <c r="A3007" s="7" t="str">
        <f>_xlfn.XLOOKUP(ColombiaClientes[[#This Row],[Client]],VpsClientes[Client],VpsClientes[VP],"",0)</f>
        <v>Martha Guzman Arango</v>
      </c>
      <c r="B3007" s="181" t="s">
        <v>185</v>
      </c>
      <c r="C3007" s="182" t="s">
        <v>237</v>
      </c>
      <c r="D3007" s="182" t="s">
        <v>219</v>
      </c>
      <c r="E3007" s="182" t="s">
        <v>206</v>
      </c>
      <c r="F3007" s="183">
        <v>336</v>
      </c>
    </row>
    <row r="3008" spans="1:6" x14ac:dyDescent="0.3">
      <c r="A3008" s="7" t="str">
        <f>_xlfn.XLOOKUP(ColombiaClientes[[#This Row],[Client]],VpsClientes[Client],VpsClientes[VP],"",0)</f>
        <v>Martha Guzman Arango</v>
      </c>
      <c r="B3008" s="181" t="s">
        <v>143</v>
      </c>
      <c r="C3008" s="182" t="s">
        <v>237</v>
      </c>
      <c r="D3008" s="182" t="s">
        <v>219</v>
      </c>
      <c r="E3008" s="182" t="s">
        <v>206</v>
      </c>
      <c r="F3008" s="183">
        <v>282</v>
      </c>
    </row>
    <row r="3009" spans="1:6" x14ac:dyDescent="0.3">
      <c r="A3009" s="7" t="str">
        <f>_xlfn.XLOOKUP(ColombiaClientes[[#This Row],[Client]],VpsClientes[Client],VpsClientes[VP],"",0)</f>
        <v>Moises Saavedra Garcia</v>
      </c>
      <c r="B3009" s="181" t="s">
        <v>110</v>
      </c>
      <c r="C3009" s="182" t="s">
        <v>237</v>
      </c>
      <c r="D3009" s="182" t="s">
        <v>219</v>
      </c>
      <c r="E3009" s="182" t="s">
        <v>206</v>
      </c>
      <c r="F3009" s="183">
        <v>269</v>
      </c>
    </row>
    <row r="3010" spans="1:6" x14ac:dyDescent="0.3">
      <c r="A3010" s="7" t="str">
        <f>_xlfn.XLOOKUP(ColombiaClientes[[#This Row],[Client]],VpsClientes[Client],VpsClientes[VP],"",0)</f>
        <v>Moises Saavedra Garcia</v>
      </c>
      <c r="B3010" s="181" t="s">
        <v>115</v>
      </c>
      <c r="C3010" s="182" t="s">
        <v>237</v>
      </c>
      <c r="D3010" s="182" t="s">
        <v>219</v>
      </c>
      <c r="E3010" s="182" t="s">
        <v>206</v>
      </c>
      <c r="F3010" s="183">
        <v>241</v>
      </c>
    </row>
    <row r="3011" spans="1:6" x14ac:dyDescent="0.3">
      <c r="A3011" s="7" t="str">
        <f>_xlfn.XLOOKUP(ColombiaClientes[[#This Row],[Client]],VpsClientes[Client],VpsClientes[VP],"",0)</f>
        <v>Martha Guzman Arango</v>
      </c>
      <c r="B3011" s="181" t="s">
        <v>109</v>
      </c>
      <c r="C3011" s="182" t="s">
        <v>237</v>
      </c>
      <c r="D3011" s="182" t="s">
        <v>219</v>
      </c>
      <c r="E3011" s="182" t="s">
        <v>206</v>
      </c>
      <c r="F3011" s="183">
        <v>234</v>
      </c>
    </row>
    <row r="3012" spans="1:6" x14ac:dyDescent="0.3">
      <c r="A3012" s="7" t="str">
        <f>_xlfn.XLOOKUP(ColombiaClientes[[#This Row],[Client]],VpsClientes[Client],VpsClientes[VP],"",0)</f>
        <v>Martha Guzman Arango</v>
      </c>
      <c r="B3012" s="181" t="s">
        <v>124</v>
      </c>
      <c r="C3012" s="182" t="s">
        <v>237</v>
      </c>
      <c r="D3012" s="182" t="s">
        <v>219</v>
      </c>
      <c r="E3012" s="182" t="s">
        <v>206</v>
      </c>
      <c r="F3012" s="183">
        <v>215</v>
      </c>
    </row>
    <row r="3013" spans="1:6" x14ac:dyDescent="0.3">
      <c r="A3013" s="7" t="str">
        <f>_xlfn.XLOOKUP(ColombiaClientes[[#This Row],[Client]],VpsClientes[Client],VpsClientes[VP],"",0)</f>
        <v>Hector Muraira Garza</v>
      </c>
      <c r="B3013" s="181" t="s">
        <v>140</v>
      </c>
      <c r="C3013" s="182" t="s">
        <v>237</v>
      </c>
      <c r="D3013" s="182" t="s">
        <v>219</v>
      </c>
      <c r="E3013" s="182" t="s">
        <v>206</v>
      </c>
      <c r="F3013" s="183">
        <v>203</v>
      </c>
    </row>
    <row r="3014" spans="1:6" x14ac:dyDescent="0.3">
      <c r="A3014" s="7" t="str">
        <f>_xlfn.XLOOKUP(ColombiaClientes[[#This Row],[Client]],VpsClientes[Client],VpsClientes[VP],"",0)</f>
        <v>Moises Saavedra Garcia</v>
      </c>
      <c r="B3014" s="181" t="s">
        <v>150</v>
      </c>
      <c r="C3014" s="182" t="s">
        <v>237</v>
      </c>
      <c r="D3014" s="182" t="s">
        <v>219</v>
      </c>
      <c r="E3014" s="182" t="s">
        <v>206</v>
      </c>
      <c r="F3014" s="183">
        <v>198</v>
      </c>
    </row>
    <row r="3015" spans="1:6" x14ac:dyDescent="0.3">
      <c r="A3015" s="7" t="str">
        <f>_xlfn.XLOOKUP(ColombiaClientes[[#This Row],[Client]],VpsClientes[Client],VpsClientes[VP],"",0)</f>
        <v>Hector Muraira Garza</v>
      </c>
      <c r="B3015" s="181" t="s">
        <v>137</v>
      </c>
      <c r="C3015" s="182" t="s">
        <v>237</v>
      </c>
      <c r="D3015" s="182" t="s">
        <v>219</v>
      </c>
      <c r="E3015" s="182" t="s">
        <v>206</v>
      </c>
      <c r="F3015" s="183">
        <v>182</v>
      </c>
    </row>
    <row r="3016" spans="1:6" x14ac:dyDescent="0.3">
      <c r="A3016" s="7" t="str">
        <f>_xlfn.XLOOKUP(ColombiaClientes[[#This Row],[Client]],VpsClientes[Client],VpsClientes[VP],"",0)</f>
        <v>Martha Guzman Arango</v>
      </c>
      <c r="B3016" s="181" t="s">
        <v>118</v>
      </c>
      <c r="C3016" s="182" t="s">
        <v>237</v>
      </c>
      <c r="D3016" s="182" t="s">
        <v>219</v>
      </c>
      <c r="E3016" s="182" t="s">
        <v>206</v>
      </c>
      <c r="F3016" s="183">
        <v>166</v>
      </c>
    </row>
    <row r="3017" spans="1:6" x14ac:dyDescent="0.3">
      <c r="A3017" s="7" t="str">
        <f>_xlfn.XLOOKUP(ColombiaClientes[[#This Row],[Client]],VpsClientes[Client],VpsClientes[VP],"",0)</f>
        <v>Martha Guzman Arango</v>
      </c>
      <c r="B3017" s="181" t="s">
        <v>114</v>
      </c>
      <c r="C3017" s="182" t="s">
        <v>237</v>
      </c>
      <c r="D3017" s="182" t="s">
        <v>219</v>
      </c>
      <c r="E3017" s="182" t="s">
        <v>206</v>
      </c>
      <c r="F3017" s="183">
        <v>159</v>
      </c>
    </row>
    <row r="3018" spans="1:6" x14ac:dyDescent="0.3">
      <c r="A3018" s="7" t="str">
        <f>_xlfn.XLOOKUP(ColombiaClientes[[#This Row],[Client]],VpsClientes[Client],VpsClientes[VP],"",0)</f>
        <v>Jhonatan Izquierdo Rico</v>
      </c>
      <c r="B3018" s="181" t="s">
        <v>104</v>
      </c>
      <c r="C3018" s="182" t="s">
        <v>237</v>
      </c>
      <c r="D3018" s="182" t="s">
        <v>219</v>
      </c>
      <c r="E3018" s="182" t="s">
        <v>206</v>
      </c>
      <c r="F3018" s="183">
        <v>159</v>
      </c>
    </row>
    <row r="3019" spans="1:6" x14ac:dyDescent="0.3">
      <c r="A3019" s="7" t="str">
        <f>_xlfn.XLOOKUP(ColombiaClientes[[#This Row],[Client]],VpsClientes[Client],VpsClientes[VP],"",0)</f>
        <v>Martha Guzman Arango</v>
      </c>
      <c r="B3019" s="181" t="s">
        <v>122</v>
      </c>
      <c r="C3019" s="182" t="s">
        <v>237</v>
      </c>
      <c r="D3019" s="182" t="s">
        <v>219</v>
      </c>
      <c r="E3019" s="182" t="s">
        <v>206</v>
      </c>
      <c r="F3019" s="183">
        <v>133</v>
      </c>
    </row>
    <row r="3020" spans="1:6" x14ac:dyDescent="0.3">
      <c r="A3020" s="7" t="str">
        <f>_xlfn.XLOOKUP(ColombiaClientes[[#This Row],[Client]],VpsClientes[Client],VpsClientes[VP],"",0)</f>
        <v>Maria Forero Jara</v>
      </c>
      <c r="B3020" s="181" t="s">
        <v>101</v>
      </c>
      <c r="C3020" s="182" t="s">
        <v>237</v>
      </c>
      <c r="D3020" s="182" t="s">
        <v>219</v>
      </c>
      <c r="E3020" s="182" t="s">
        <v>206</v>
      </c>
      <c r="F3020" s="183">
        <v>121</v>
      </c>
    </row>
    <row r="3021" spans="1:6" x14ac:dyDescent="0.3">
      <c r="A3021" s="7" t="str">
        <f>_xlfn.XLOOKUP(ColombiaClientes[[#This Row],[Client]],VpsClientes[Client],VpsClientes[VP],"",0)</f>
        <v>Maria Forero Jara</v>
      </c>
      <c r="B3021" s="181" t="s">
        <v>106</v>
      </c>
      <c r="C3021" s="182" t="s">
        <v>237</v>
      </c>
      <c r="D3021" s="182" t="s">
        <v>219</v>
      </c>
      <c r="E3021" s="182" t="s">
        <v>206</v>
      </c>
      <c r="F3021" s="183">
        <v>113</v>
      </c>
    </row>
    <row r="3022" spans="1:6" x14ac:dyDescent="0.3">
      <c r="A3022" s="7" t="str">
        <f>_xlfn.XLOOKUP(ColombiaClientes[[#This Row],[Client]],VpsClientes[Client],VpsClientes[VP],"",0)</f>
        <v>Sandra Romero Zuluaga</v>
      </c>
      <c r="B3022" s="181" t="s">
        <v>113</v>
      </c>
      <c r="C3022" s="182" t="s">
        <v>237</v>
      </c>
      <c r="D3022" s="182" t="s">
        <v>219</v>
      </c>
      <c r="E3022" s="182" t="s">
        <v>206</v>
      </c>
      <c r="F3022" s="183">
        <v>111</v>
      </c>
    </row>
    <row r="3023" spans="1:6" x14ac:dyDescent="0.3">
      <c r="A3023" s="7" t="str">
        <f>_xlfn.XLOOKUP(ColombiaClientes[[#This Row],[Client]],VpsClientes[Client],VpsClientes[VP],"",0)</f>
        <v>Martha Guzman Arango</v>
      </c>
      <c r="B3023" s="181" t="s">
        <v>145</v>
      </c>
      <c r="C3023" s="182" t="s">
        <v>237</v>
      </c>
      <c r="D3023" s="182" t="s">
        <v>219</v>
      </c>
      <c r="E3023" s="182" t="s">
        <v>206</v>
      </c>
      <c r="F3023" s="183">
        <v>97</v>
      </c>
    </row>
    <row r="3024" spans="1:6" x14ac:dyDescent="0.3">
      <c r="A3024" s="7" t="str">
        <f>_xlfn.XLOOKUP(ColombiaClientes[[#This Row],[Client]],VpsClientes[Client],VpsClientes[VP],"",0)</f>
        <v>Jhonatan Izquierdo Rico</v>
      </c>
      <c r="B3024" s="181" t="s">
        <v>107</v>
      </c>
      <c r="C3024" s="182" t="s">
        <v>237</v>
      </c>
      <c r="D3024" s="182" t="s">
        <v>219</v>
      </c>
      <c r="E3024" s="182" t="s">
        <v>206</v>
      </c>
      <c r="F3024" s="183">
        <v>96</v>
      </c>
    </row>
    <row r="3025" spans="1:6" x14ac:dyDescent="0.3">
      <c r="A3025" s="7" t="str">
        <f>_xlfn.XLOOKUP(ColombiaClientes[[#This Row],[Client]],VpsClientes[Client],VpsClientes[VP],"",0)</f>
        <v>Martha Guzman Arango</v>
      </c>
      <c r="B3025" s="181" t="s">
        <v>166</v>
      </c>
      <c r="C3025" s="182" t="s">
        <v>237</v>
      </c>
      <c r="D3025" s="182" t="s">
        <v>219</v>
      </c>
      <c r="E3025" s="182" t="s">
        <v>206</v>
      </c>
      <c r="F3025" s="183">
        <v>63</v>
      </c>
    </row>
    <row r="3026" spans="1:6" x14ac:dyDescent="0.3">
      <c r="A3026" s="7" t="str">
        <f>_xlfn.XLOOKUP(ColombiaClientes[[#This Row],[Client]],VpsClientes[Client],VpsClientes[VP],"",0)</f>
        <v>Martha Guzman Arango</v>
      </c>
      <c r="B3026" s="181" t="s">
        <v>156</v>
      </c>
      <c r="C3026" s="182" t="s">
        <v>237</v>
      </c>
      <c r="D3026" s="182" t="s">
        <v>219</v>
      </c>
      <c r="E3026" s="182" t="s">
        <v>206</v>
      </c>
      <c r="F3026" s="183">
        <v>59</v>
      </c>
    </row>
    <row r="3027" spans="1:6" x14ac:dyDescent="0.3">
      <c r="A3027" s="7" t="str">
        <f>_xlfn.XLOOKUP(ColombiaClientes[[#This Row],[Client]],VpsClientes[Client],VpsClientes[VP],"",0)</f>
        <v>Carlos Beltran Hernandez</v>
      </c>
      <c r="B3027" s="181" t="s">
        <v>173</v>
      </c>
      <c r="C3027" s="182" t="s">
        <v>237</v>
      </c>
      <c r="D3027" s="182" t="s">
        <v>219</v>
      </c>
      <c r="E3027" s="182" t="s">
        <v>206</v>
      </c>
      <c r="F3027" s="183">
        <v>53</v>
      </c>
    </row>
    <row r="3028" spans="1:6" x14ac:dyDescent="0.3">
      <c r="A3028" s="7" t="str">
        <f>_xlfn.XLOOKUP(ColombiaClientes[[#This Row],[Client]],VpsClientes[Client],VpsClientes[VP],"",0)</f>
        <v>Juan Granados Castillo</v>
      </c>
      <c r="B3028" s="181" t="s">
        <v>136</v>
      </c>
      <c r="C3028" s="182" t="s">
        <v>237</v>
      </c>
      <c r="D3028" s="182" t="s">
        <v>219</v>
      </c>
      <c r="E3028" s="182" t="s">
        <v>206</v>
      </c>
      <c r="F3028" s="183">
        <v>48</v>
      </c>
    </row>
    <row r="3029" spans="1:6" x14ac:dyDescent="0.3">
      <c r="A3029" s="7" t="str">
        <f>_xlfn.XLOOKUP(ColombiaClientes[[#This Row],[Client]],VpsClientes[Client],VpsClientes[VP],"",0)</f>
        <v>Martha Guzman Arango</v>
      </c>
      <c r="B3029" s="181" t="s">
        <v>152</v>
      </c>
      <c r="C3029" s="182" t="s">
        <v>237</v>
      </c>
      <c r="D3029" s="182" t="s">
        <v>219</v>
      </c>
      <c r="E3029" s="182" t="s">
        <v>206</v>
      </c>
      <c r="F3029" s="183">
        <v>43</v>
      </c>
    </row>
    <row r="3030" spans="1:6" x14ac:dyDescent="0.3">
      <c r="A3030" s="7" t="str">
        <f>_xlfn.XLOOKUP(ColombiaClientes[[#This Row],[Client]],VpsClientes[Client],VpsClientes[VP],"",0)</f>
        <v>Martha Guzman Arango</v>
      </c>
      <c r="B3030" s="181" t="s">
        <v>135</v>
      </c>
      <c r="C3030" s="182" t="s">
        <v>237</v>
      </c>
      <c r="D3030" s="182" t="s">
        <v>219</v>
      </c>
      <c r="E3030" s="182" t="s">
        <v>206</v>
      </c>
      <c r="F3030" s="183">
        <v>42</v>
      </c>
    </row>
    <row r="3031" spans="1:6" x14ac:dyDescent="0.3">
      <c r="A3031" s="7" t="str">
        <f>_xlfn.XLOOKUP(ColombiaClientes[[#This Row],[Client]],VpsClientes[Client],VpsClientes[VP],"",0)</f>
        <v>Martha Guzman Arango</v>
      </c>
      <c r="B3031" s="181" t="s">
        <v>148</v>
      </c>
      <c r="C3031" s="182" t="s">
        <v>237</v>
      </c>
      <c r="D3031" s="182" t="s">
        <v>219</v>
      </c>
      <c r="E3031" s="182" t="s">
        <v>206</v>
      </c>
      <c r="F3031" s="183">
        <v>40</v>
      </c>
    </row>
    <row r="3032" spans="1:6" x14ac:dyDescent="0.3">
      <c r="A3032" s="7" t="str">
        <f>_xlfn.XLOOKUP(ColombiaClientes[[#This Row],[Client]],VpsClientes[Client],VpsClientes[VP],"",0)</f>
        <v>Carlos Castillo Figueroa</v>
      </c>
      <c r="B3032" s="181" t="s">
        <v>105</v>
      </c>
      <c r="C3032" s="182" t="s">
        <v>237</v>
      </c>
      <c r="D3032" s="182" t="s">
        <v>219</v>
      </c>
      <c r="E3032" s="182" t="s">
        <v>206</v>
      </c>
      <c r="F3032" s="183">
        <v>39</v>
      </c>
    </row>
    <row r="3033" spans="1:6" x14ac:dyDescent="0.3">
      <c r="A3033" s="7" t="str">
        <f>_xlfn.XLOOKUP(ColombiaClientes[[#This Row],[Client]],VpsClientes[Client],VpsClientes[VP],"",0)</f>
        <v>Hector Muraira Garza</v>
      </c>
      <c r="B3033" s="181" t="s">
        <v>154</v>
      </c>
      <c r="C3033" s="182" t="s">
        <v>237</v>
      </c>
      <c r="D3033" s="182" t="s">
        <v>219</v>
      </c>
      <c r="E3033" s="182" t="s">
        <v>206</v>
      </c>
      <c r="F3033" s="183">
        <v>38</v>
      </c>
    </row>
    <row r="3034" spans="1:6" x14ac:dyDescent="0.3">
      <c r="A3034" s="7" t="str">
        <f>_xlfn.XLOOKUP(ColombiaClientes[[#This Row],[Client]],VpsClientes[Client],VpsClientes[VP],"",0)</f>
        <v>Martha Guzman Arango</v>
      </c>
      <c r="B3034" s="181" t="s">
        <v>153</v>
      </c>
      <c r="C3034" s="182" t="s">
        <v>237</v>
      </c>
      <c r="D3034" s="182" t="s">
        <v>219</v>
      </c>
      <c r="E3034" s="182" t="s">
        <v>206</v>
      </c>
      <c r="F3034" s="183">
        <v>36</v>
      </c>
    </row>
    <row r="3035" spans="1:6" x14ac:dyDescent="0.3">
      <c r="A3035" s="7" t="str">
        <f>_xlfn.XLOOKUP(ColombiaClientes[[#This Row],[Client]],VpsClientes[Client],VpsClientes[VP],"",0)</f>
        <v>Ludy Torres Benitez</v>
      </c>
      <c r="B3035" s="181" t="s">
        <v>95</v>
      </c>
      <c r="C3035" s="182" t="s">
        <v>237</v>
      </c>
      <c r="D3035" s="182" t="s">
        <v>219</v>
      </c>
      <c r="E3035" s="182" t="s">
        <v>206</v>
      </c>
      <c r="F3035" s="183">
        <v>36</v>
      </c>
    </row>
    <row r="3036" spans="1:6" x14ac:dyDescent="0.3">
      <c r="A3036" s="7" t="str">
        <f>_xlfn.XLOOKUP(ColombiaClientes[[#This Row],[Client]],VpsClientes[Client],VpsClientes[VP],"",0)</f>
        <v>Martha Guzman Arango</v>
      </c>
      <c r="B3036" s="181" t="s">
        <v>174</v>
      </c>
      <c r="C3036" s="182" t="s">
        <v>237</v>
      </c>
      <c r="D3036" s="182" t="s">
        <v>219</v>
      </c>
      <c r="E3036" s="182" t="s">
        <v>206</v>
      </c>
      <c r="F3036" s="183">
        <v>31</v>
      </c>
    </row>
    <row r="3037" spans="1:6" x14ac:dyDescent="0.3">
      <c r="A3037" s="7" t="str">
        <f>_xlfn.XLOOKUP(ColombiaClientes[[#This Row],[Client]],VpsClientes[Client],VpsClientes[VP],"",0)</f>
        <v>Jhonatan Izquierdo Rico</v>
      </c>
      <c r="B3037" s="181" t="s">
        <v>126</v>
      </c>
      <c r="C3037" s="182" t="s">
        <v>237</v>
      </c>
      <c r="D3037" s="182" t="s">
        <v>219</v>
      </c>
      <c r="E3037" s="182" t="s">
        <v>206</v>
      </c>
      <c r="F3037" s="183">
        <v>28</v>
      </c>
    </row>
    <row r="3038" spans="1:6" x14ac:dyDescent="0.3">
      <c r="A3038" s="7" t="str">
        <f>_xlfn.XLOOKUP(ColombiaClientes[[#This Row],[Client]],VpsClientes[Client],VpsClientes[VP],"",0)</f>
        <v>Maria Forero Jara</v>
      </c>
      <c r="B3038" s="181" t="s">
        <v>182</v>
      </c>
      <c r="C3038" s="182" t="s">
        <v>237</v>
      </c>
      <c r="D3038" s="182" t="s">
        <v>219</v>
      </c>
      <c r="E3038" s="182" t="s">
        <v>206</v>
      </c>
      <c r="F3038" s="183">
        <v>25</v>
      </c>
    </row>
    <row r="3039" spans="1:6" x14ac:dyDescent="0.3">
      <c r="A3039" s="7" t="str">
        <f>_xlfn.XLOOKUP(ColombiaClientes[[#This Row],[Client]],VpsClientes[Client],VpsClientes[VP],"",0)</f>
        <v>Martha Guzman Arango</v>
      </c>
      <c r="B3039" s="181" t="s">
        <v>186</v>
      </c>
      <c r="C3039" s="182" t="s">
        <v>237</v>
      </c>
      <c r="D3039" s="182" t="s">
        <v>219</v>
      </c>
      <c r="E3039" s="182" t="s">
        <v>206</v>
      </c>
      <c r="F3039" s="183">
        <v>25</v>
      </c>
    </row>
    <row r="3040" spans="1:6" x14ac:dyDescent="0.3">
      <c r="A3040" s="7" t="str">
        <f>_xlfn.XLOOKUP(ColombiaClientes[[#This Row],[Client]],VpsClientes[Client],VpsClientes[VP],"",0)</f>
        <v>Maria Forero Jara</v>
      </c>
      <c r="B3040" s="181" t="s">
        <v>123</v>
      </c>
      <c r="C3040" s="182" t="s">
        <v>237</v>
      </c>
      <c r="D3040" s="182" t="s">
        <v>219</v>
      </c>
      <c r="E3040" s="182" t="s">
        <v>206</v>
      </c>
      <c r="F3040" s="183">
        <v>25</v>
      </c>
    </row>
    <row r="3041" spans="1:6" x14ac:dyDescent="0.3">
      <c r="A3041" s="7" t="str">
        <f>_xlfn.XLOOKUP(ColombiaClientes[[#This Row],[Client]],VpsClientes[Client],VpsClientes[VP],"",0)</f>
        <v>Hector Muraira Garza</v>
      </c>
      <c r="B3041" s="181" t="s">
        <v>130</v>
      </c>
      <c r="C3041" s="182" t="s">
        <v>237</v>
      </c>
      <c r="D3041" s="182" t="s">
        <v>219</v>
      </c>
      <c r="E3041" s="182" t="s">
        <v>206</v>
      </c>
      <c r="F3041" s="183">
        <v>23</v>
      </c>
    </row>
    <row r="3042" spans="1:6" x14ac:dyDescent="0.3">
      <c r="A3042" s="7" t="str">
        <f>_xlfn.XLOOKUP(ColombiaClientes[[#This Row],[Client]],VpsClientes[Client],VpsClientes[VP],"",0)</f>
        <v>Maria Forero Jara</v>
      </c>
      <c r="B3042" s="181" t="s">
        <v>144</v>
      </c>
      <c r="C3042" s="182" t="s">
        <v>237</v>
      </c>
      <c r="D3042" s="182" t="s">
        <v>219</v>
      </c>
      <c r="E3042" s="182" t="s">
        <v>206</v>
      </c>
      <c r="F3042" s="183">
        <v>18</v>
      </c>
    </row>
    <row r="3043" spans="1:6" x14ac:dyDescent="0.3">
      <c r="A3043" s="7" t="str">
        <f>_xlfn.XLOOKUP(ColombiaClientes[[#This Row],[Client]],VpsClientes[Client],VpsClientes[VP],"",0)</f>
        <v>Carlos Beltran Hernandez</v>
      </c>
      <c r="B3043" s="181" t="s">
        <v>119</v>
      </c>
      <c r="C3043" s="182" t="s">
        <v>237</v>
      </c>
      <c r="D3043" s="182" t="s">
        <v>219</v>
      </c>
      <c r="E3043" s="182" t="s">
        <v>206</v>
      </c>
      <c r="F3043" s="183">
        <v>17</v>
      </c>
    </row>
    <row r="3044" spans="1:6" x14ac:dyDescent="0.3">
      <c r="A3044" s="7" t="str">
        <f>_xlfn.XLOOKUP(ColombiaClientes[[#This Row],[Client]],VpsClientes[Client],VpsClientes[VP],"",0)</f>
        <v>Martha Guzman Arango</v>
      </c>
      <c r="B3044" s="181" t="s">
        <v>146</v>
      </c>
      <c r="C3044" s="182" t="s">
        <v>237</v>
      </c>
      <c r="D3044" s="182" t="s">
        <v>219</v>
      </c>
      <c r="E3044" s="182" t="s">
        <v>206</v>
      </c>
      <c r="F3044" s="183">
        <v>16</v>
      </c>
    </row>
    <row r="3045" spans="1:6" x14ac:dyDescent="0.3">
      <c r="A3045" s="7" t="str">
        <f>_xlfn.XLOOKUP(ColombiaClientes[[#This Row],[Client]],VpsClientes[Client],VpsClientes[VP],"",0)</f>
        <v>Martha Guzman Arango</v>
      </c>
      <c r="B3045" s="181" t="s">
        <v>188</v>
      </c>
      <c r="C3045" s="182" t="s">
        <v>237</v>
      </c>
      <c r="D3045" s="182" t="s">
        <v>219</v>
      </c>
      <c r="E3045" s="182" t="s">
        <v>206</v>
      </c>
      <c r="F3045" s="183">
        <v>14</v>
      </c>
    </row>
    <row r="3046" spans="1:6" x14ac:dyDescent="0.3">
      <c r="A3046" s="7" t="str">
        <f>_xlfn.XLOOKUP(ColombiaClientes[[#This Row],[Client]],VpsClientes[Client],VpsClientes[VP],"",0)</f>
        <v>Martha Guzman Arango</v>
      </c>
      <c r="B3046" s="181" t="s">
        <v>170</v>
      </c>
      <c r="C3046" s="182" t="s">
        <v>237</v>
      </c>
      <c r="D3046" s="182" t="s">
        <v>219</v>
      </c>
      <c r="E3046" s="182" t="s">
        <v>206</v>
      </c>
      <c r="F3046" s="183">
        <v>14</v>
      </c>
    </row>
    <row r="3047" spans="1:6" x14ac:dyDescent="0.3">
      <c r="A3047" s="7" t="str">
        <f>_xlfn.XLOOKUP(ColombiaClientes[[#This Row],[Client]],VpsClientes[Client],VpsClientes[VP],"",0)</f>
        <v>Martha Guzman Arango</v>
      </c>
      <c r="B3047" s="181" t="s">
        <v>199</v>
      </c>
      <c r="C3047" s="182" t="s">
        <v>237</v>
      </c>
      <c r="D3047" s="182" t="s">
        <v>219</v>
      </c>
      <c r="E3047" s="182" t="s">
        <v>206</v>
      </c>
      <c r="F3047" s="183">
        <v>12</v>
      </c>
    </row>
    <row r="3048" spans="1:6" x14ac:dyDescent="0.3">
      <c r="A3048" s="7" t="str">
        <f>_xlfn.XLOOKUP(ColombiaClientes[[#This Row],[Client]],VpsClientes[Client],VpsClientes[VP],"",0)</f>
        <v>Martha Guzman Arango</v>
      </c>
      <c r="B3048" s="181" t="s">
        <v>168</v>
      </c>
      <c r="C3048" s="182" t="s">
        <v>237</v>
      </c>
      <c r="D3048" s="182" t="s">
        <v>219</v>
      </c>
      <c r="E3048" s="182" t="s">
        <v>206</v>
      </c>
      <c r="F3048" s="183">
        <v>7</v>
      </c>
    </row>
    <row r="3049" spans="1:6" x14ac:dyDescent="0.3">
      <c r="A3049" s="7" t="str">
        <f>_xlfn.XLOOKUP(ColombiaClientes[[#This Row],[Client]],VpsClientes[Client],VpsClientes[VP],"",0)</f>
        <v>Ernesto Rico Zuluaga</v>
      </c>
      <c r="B3049" s="181" t="s">
        <v>116</v>
      </c>
      <c r="C3049" s="182" t="s">
        <v>237</v>
      </c>
      <c r="D3049" s="182" t="s">
        <v>219</v>
      </c>
      <c r="E3049" s="182" t="s">
        <v>206</v>
      </c>
      <c r="F3049" s="183">
        <v>6</v>
      </c>
    </row>
    <row r="3050" spans="1:6" x14ac:dyDescent="0.3">
      <c r="A3050" s="7" t="str">
        <f>_xlfn.XLOOKUP(ColombiaClientes[[#This Row],[Client]],VpsClientes[Client],VpsClientes[VP],"",0)</f>
        <v>Jhonatan Izquierdo Rico</v>
      </c>
      <c r="B3050" s="181" t="s">
        <v>117</v>
      </c>
      <c r="C3050" s="182" t="s">
        <v>237</v>
      </c>
      <c r="D3050" s="182" t="s">
        <v>219</v>
      </c>
      <c r="E3050" s="182" t="s">
        <v>206</v>
      </c>
      <c r="F3050" s="183">
        <v>6</v>
      </c>
    </row>
    <row r="3051" spans="1:6" x14ac:dyDescent="0.3">
      <c r="A3051" s="7" t="str">
        <f>_xlfn.XLOOKUP(ColombiaClientes[[#This Row],[Client]],VpsClientes[Client],VpsClientes[VP],"",0)</f>
        <v>Martha Guzman Arango</v>
      </c>
      <c r="B3051" s="181" t="s">
        <v>165</v>
      </c>
      <c r="C3051" s="182" t="s">
        <v>237</v>
      </c>
      <c r="D3051" s="182" t="s">
        <v>219</v>
      </c>
      <c r="E3051" s="182" t="s">
        <v>206</v>
      </c>
      <c r="F3051" s="183">
        <v>5</v>
      </c>
    </row>
    <row r="3052" spans="1:6" x14ac:dyDescent="0.3">
      <c r="A3052" s="7" t="str">
        <f>_xlfn.XLOOKUP(ColombiaClientes[[#This Row],[Client]],VpsClientes[Client],VpsClientes[VP],"",0)</f>
        <v>Juan Granados Castillo</v>
      </c>
      <c r="B3052" s="181" t="s">
        <v>142</v>
      </c>
      <c r="C3052" s="182" t="s">
        <v>237</v>
      </c>
      <c r="D3052" s="182" t="s">
        <v>219</v>
      </c>
      <c r="E3052" s="182" t="s">
        <v>206</v>
      </c>
      <c r="F3052" s="183">
        <v>4</v>
      </c>
    </row>
    <row r="3053" spans="1:6" x14ac:dyDescent="0.3">
      <c r="A3053" s="7" t="str">
        <f>_xlfn.XLOOKUP(ColombiaClientes[[#This Row],[Client]],VpsClientes[Client],VpsClientes[VP],"",0)</f>
        <v>Martha Guzman Arango</v>
      </c>
      <c r="B3053" s="181" t="s">
        <v>131</v>
      </c>
      <c r="C3053" s="182" t="s">
        <v>237</v>
      </c>
      <c r="D3053" s="182" t="s">
        <v>219</v>
      </c>
      <c r="E3053" s="182" t="s">
        <v>206</v>
      </c>
      <c r="F3053" s="183">
        <v>2</v>
      </c>
    </row>
    <row r="3054" spans="1:6" x14ac:dyDescent="0.3">
      <c r="A3054" s="7" t="str">
        <f>_xlfn.XLOOKUP(ColombiaClientes[[#This Row],[Client]],VpsClientes[Client],VpsClientes[VP],"",0)</f>
        <v>Maria Forero Jara</v>
      </c>
      <c r="B3054" s="181" t="s">
        <v>163</v>
      </c>
      <c r="C3054" s="182" t="s">
        <v>237</v>
      </c>
      <c r="D3054" s="182" t="s">
        <v>219</v>
      </c>
      <c r="E3054" s="182" t="s">
        <v>206</v>
      </c>
      <c r="F3054" s="183">
        <v>2</v>
      </c>
    </row>
    <row r="3055" spans="1:6" x14ac:dyDescent="0.3">
      <c r="A3055" s="7" t="str">
        <f>_xlfn.XLOOKUP(ColombiaClientes[[#This Row],[Client]],VpsClientes[Client],VpsClientes[VP],"",0)</f>
        <v>Martha Guzman Arango</v>
      </c>
      <c r="B3055" s="181" t="s">
        <v>162</v>
      </c>
      <c r="C3055" s="182" t="s">
        <v>237</v>
      </c>
      <c r="D3055" s="182" t="s">
        <v>219</v>
      </c>
      <c r="E3055" s="182" t="s">
        <v>206</v>
      </c>
      <c r="F3055" s="183">
        <v>1</v>
      </c>
    </row>
    <row r="3056" spans="1:6" x14ac:dyDescent="0.3">
      <c r="A3056" s="7" t="str">
        <f>_xlfn.XLOOKUP(ColombiaClientes[[#This Row],[Client]],VpsClientes[Client],VpsClientes[VP],"",0)</f>
        <v>Juan Granados Castillo</v>
      </c>
      <c r="B3056" s="181" t="s">
        <v>134</v>
      </c>
      <c r="C3056" s="182" t="s">
        <v>237</v>
      </c>
      <c r="D3056" s="182" t="s">
        <v>219</v>
      </c>
      <c r="E3056" s="182" t="s">
        <v>206</v>
      </c>
      <c r="F3056" s="183">
        <v>1</v>
      </c>
    </row>
    <row r="3057" spans="1:6" x14ac:dyDescent="0.3">
      <c r="A3057" s="7" t="str">
        <f>_xlfn.XLOOKUP(ColombiaClientes[[#This Row],[Client]],VpsClientes[Client],VpsClientes[VP],"",0)</f>
        <v>Moises Saavedra Garcia</v>
      </c>
      <c r="B3057" s="181" t="s">
        <v>120</v>
      </c>
      <c r="C3057" s="182" t="s">
        <v>237</v>
      </c>
      <c r="D3057" s="182" t="s">
        <v>219</v>
      </c>
      <c r="E3057" s="182" t="s">
        <v>206</v>
      </c>
      <c r="F3057" s="183">
        <v>1</v>
      </c>
    </row>
    <row r="3058" spans="1:6" x14ac:dyDescent="0.3">
      <c r="A3058" s="7" t="str">
        <f>_xlfn.XLOOKUP(ColombiaClientes[[#This Row],[Client]],VpsClientes[Client],VpsClientes[VP],"",0)</f>
        <v>Martha Guzman Arango</v>
      </c>
      <c r="B3058" s="181" t="s">
        <v>176</v>
      </c>
      <c r="C3058" s="182" t="s">
        <v>237</v>
      </c>
      <c r="D3058" s="182" t="s">
        <v>219</v>
      </c>
      <c r="E3058" s="182" t="s">
        <v>206</v>
      </c>
      <c r="F3058" s="183">
        <v>1</v>
      </c>
    </row>
    <row r="3059" spans="1:6" x14ac:dyDescent="0.3">
      <c r="A3059" s="7" t="str">
        <f>_xlfn.XLOOKUP(ColombiaClientes[[#This Row],[Client]],VpsClientes[Client],VpsClientes[VP],"",0)</f>
        <v>Martha Guzman Arango</v>
      </c>
      <c r="B3059" s="181" t="s">
        <v>169</v>
      </c>
      <c r="C3059" s="182" t="s">
        <v>237</v>
      </c>
      <c r="D3059" s="182" t="s">
        <v>219</v>
      </c>
      <c r="E3059" s="182" t="s">
        <v>206</v>
      </c>
      <c r="F3059" s="183">
        <v>1</v>
      </c>
    </row>
    <row r="3060" spans="1:6" x14ac:dyDescent="0.3">
      <c r="A3060" s="7" t="str">
        <f>_xlfn.XLOOKUP(ColombiaClientes[[#This Row],[Client]],VpsClientes[Client],VpsClientes[VP],"",0)</f>
        <v>Maria Forero Jara</v>
      </c>
      <c r="B3060" s="181" t="s">
        <v>161</v>
      </c>
      <c r="C3060" s="182" t="s">
        <v>237</v>
      </c>
      <c r="D3060" s="182" t="s">
        <v>219</v>
      </c>
      <c r="E3060" s="182" t="s">
        <v>206</v>
      </c>
      <c r="F3060" s="183">
        <v>1</v>
      </c>
    </row>
    <row r="3061" spans="1:6" x14ac:dyDescent="0.3">
      <c r="A3061" s="7" t="str">
        <f>_xlfn.XLOOKUP(ColombiaClientes[[#This Row],[Client]],VpsClientes[Client],VpsClientes[VP],"",0)</f>
        <v>Maria Forero Jara</v>
      </c>
      <c r="B3061" s="181" t="s">
        <v>139</v>
      </c>
      <c r="C3061" s="182" t="s">
        <v>237</v>
      </c>
      <c r="D3061" s="182" t="s">
        <v>219</v>
      </c>
      <c r="E3061" s="182" t="s">
        <v>206</v>
      </c>
      <c r="F3061" s="183">
        <v>0</v>
      </c>
    </row>
    <row r="3062" spans="1:6" x14ac:dyDescent="0.3">
      <c r="A3062" s="7" t="str">
        <f>_xlfn.XLOOKUP(ColombiaClientes[[#This Row],[Client]],VpsClientes[Client],VpsClientes[VP],"",0)</f>
        <v>Martha Guzman Arango</v>
      </c>
      <c r="B3062" s="181" t="s">
        <v>183</v>
      </c>
      <c r="C3062" s="182" t="s">
        <v>237</v>
      </c>
      <c r="D3062" s="182" t="s">
        <v>219</v>
      </c>
      <c r="E3062" s="182" t="s">
        <v>206</v>
      </c>
      <c r="F3062" s="183">
        <v>0</v>
      </c>
    </row>
    <row r="3063" spans="1:6" x14ac:dyDescent="0.3">
      <c r="A3063" s="7" t="str">
        <f>_xlfn.XLOOKUP(ColombiaClientes[[#This Row],[Client]],VpsClientes[Client],VpsClientes[VP],"",0)</f>
        <v>Moises Saavedra Garcia</v>
      </c>
      <c r="B3063" s="181" t="s">
        <v>172</v>
      </c>
      <c r="C3063" s="182" t="s">
        <v>237</v>
      </c>
      <c r="D3063" s="182" t="s">
        <v>219</v>
      </c>
      <c r="E3063" s="182" t="s">
        <v>206</v>
      </c>
      <c r="F3063" s="183">
        <v>0</v>
      </c>
    </row>
    <row r="3064" spans="1:6" x14ac:dyDescent="0.3">
      <c r="A3064" s="7" t="str">
        <f>_xlfn.XLOOKUP(ColombiaClientes[[#This Row],[Client]],VpsClientes[Client],VpsClientes[VP],"",0)</f>
        <v>Martha Guzman Arango</v>
      </c>
      <c r="B3064" s="181" t="s">
        <v>180</v>
      </c>
      <c r="C3064" s="182" t="s">
        <v>237</v>
      </c>
      <c r="D3064" s="182" t="s">
        <v>219</v>
      </c>
      <c r="E3064" s="182" t="s">
        <v>206</v>
      </c>
      <c r="F3064" s="183">
        <v>0</v>
      </c>
    </row>
    <row r="3065" spans="1:6" x14ac:dyDescent="0.3">
      <c r="A3065" s="7" t="str">
        <f>_xlfn.XLOOKUP(ColombiaClientes[[#This Row],[Client]],VpsClientes[Client],VpsClientes[VP],"",0)</f>
        <v>Martha Guzman Arango</v>
      </c>
      <c r="B3065" s="181" t="s">
        <v>171</v>
      </c>
      <c r="C3065" s="182" t="s">
        <v>237</v>
      </c>
      <c r="D3065" s="182" t="s">
        <v>219</v>
      </c>
      <c r="E3065" s="182" t="s">
        <v>206</v>
      </c>
      <c r="F3065" s="183">
        <v>0</v>
      </c>
    </row>
    <row r="3066" spans="1:6" x14ac:dyDescent="0.3">
      <c r="A3066" s="7" t="str">
        <f>_xlfn.XLOOKUP(ColombiaClientes[[#This Row],[Client]],VpsClientes[Client],VpsClientes[VP],"",0)</f>
        <v>Martha Guzman Arango</v>
      </c>
      <c r="B3066" s="181" t="s">
        <v>155</v>
      </c>
      <c r="C3066" s="182" t="s">
        <v>237</v>
      </c>
      <c r="D3066" s="182" t="s">
        <v>219</v>
      </c>
      <c r="E3066" s="182" t="s">
        <v>206</v>
      </c>
      <c r="F3066" s="183">
        <v>0</v>
      </c>
    </row>
    <row r="3067" spans="1:6" x14ac:dyDescent="0.3">
      <c r="A3067" s="7" t="str">
        <f>_xlfn.XLOOKUP(ColombiaClientes[[#This Row],[Client]],VpsClientes[Client],VpsClientes[VP],"",0)</f>
        <v>Juan Granados Castillo</v>
      </c>
      <c r="B3067" s="181" t="s">
        <v>149</v>
      </c>
      <c r="C3067" s="182" t="s">
        <v>237</v>
      </c>
      <c r="D3067" s="182" t="s">
        <v>219</v>
      </c>
      <c r="E3067" s="182" t="s">
        <v>206</v>
      </c>
      <c r="F3067" s="183">
        <v>0</v>
      </c>
    </row>
    <row r="3068" spans="1:6" x14ac:dyDescent="0.3">
      <c r="A3068" s="7" t="str">
        <f>_xlfn.XLOOKUP(ColombiaClientes[[#This Row],[Client]],VpsClientes[Client],VpsClientes[VP],"",0)</f>
        <v>Hector Muraira Garza</v>
      </c>
      <c r="B3068" s="181" t="s">
        <v>167</v>
      </c>
      <c r="C3068" s="182" t="s">
        <v>237</v>
      </c>
      <c r="D3068" s="182" t="s">
        <v>219</v>
      </c>
      <c r="E3068" s="182" t="s">
        <v>206</v>
      </c>
      <c r="F3068" s="183">
        <v>0</v>
      </c>
    </row>
    <row r="3069" spans="1:6" x14ac:dyDescent="0.3">
      <c r="A3069" s="7" t="str">
        <f>_xlfn.XLOOKUP(ColombiaClientes[[#This Row],[Client]],VpsClientes[Client],VpsClientes[VP],"",0)</f>
        <v>Moises Saavedra Garcia</v>
      </c>
      <c r="B3069" s="181" t="s">
        <v>187</v>
      </c>
      <c r="C3069" s="182" t="s">
        <v>237</v>
      </c>
      <c r="D3069" s="182" t="s">
        <v>219</v>
      </c>
      <c r="E3069" s="182" t="s">
        <v>206</v>
      </c>
      <c r="F3069" s="183">
        <v>0</v>
      </c>
    </row>
    <row r="3070" spans="1:6" x14ac:dyDescent="0.3">
      <c r="A3070" s="7" t="str">
        <f>_xlfn.XLOOKUP(ColombiaClientes[[#This Row],[Client]],VpsClientes[Client],VpsClientes[VP],"",0)</f>
        <v>Carlos Beltran Hernandez</v>
      </c>
      <c r="B3070" s="181" t="s">
        <v>151</v>
      </c>
      <c r="C3070" s="182" t="s">
        <v>237</v>
      </c>
      <c r="D3070" s="182" t="s">
        <v>219</v>
      </c>
      <c r="E3070" s="182" t="s">
        <v>206</v>
      </c>
      <c r="F3070" s="183">
        <v>0</v>
      </c>
    </row>
    <row r="3071" spans="1:6" x14ac:dyDescent="0.3">
      <c r="A3071" s="7" t="str">
        <f>_xlfn.XLOOKUP(ColombiaClientes[[#This Row],[Client]],VpsClientes[Client],VpsClientes[VP],"",0)</f>
        <v>Maria Forero Jara</v>
      </c>
      <c r="B3071" s="181" t="s">
        <v>111</v>
      </c>
      <c r="C3071" s="182" t="s">
        <v>237</v>
      </c>
      <c r="D3071" s="182" t="s">
        <v>219</v>
      </c>
      <c r="E3071" s="182" t="s">
        <v>206</v>
      </c>
      <c r="F3071" s="183">
        <v>0</v>
      </c>
    </row>
    <row r="3072" spans="1:6" x14ac:dyDescent="0.3">
      <c r="A3072" s="7" t="str">
        <f>_xlfn.XLOOKUP(ColombiaClientes[[#This Row],[Client]],VpsClientes[Client],VpsClientes[VP],"",0)</f>
        <v>Maria Forero Jara</v>
      </c>
      <c r="B3072" s="181" t="s">
        <v>179</v>
      </c>
      <c r="C3072" s="182" t="s">
        <v>237</v>
      </c>
      <c r="D3072" s="182" t="s">
        <v>219</v>
      </c>
      <c r="E3072" s="182" t="s">
        <v>206</v>
      </c>
      <c r="F3072" s="183">
        <v>0</v>
      </c>
    </row>
    <row r="3073" spans="1:6" x14ac:dyDescent="0.3">
      <c r="A3073" s="7" t="str">
        <f>_xlfn.XLOOKUP(ColombiaClientes[[#This Row],[Client]],VpsClientes[Client],VpsClientes[VP],"",0)</f>
        <v>Jhonatan Izquierdo Rico</v>
      </c>
      <c r="B3073" s="181" t="s">
        <v>197</v>
      </c>
      <c r="C3073" s="182" t="s">
        <v>237</v>
      </c>
      <c r="D3073" s="182" t="s">
        <v>219</v>
      </c>
      <c r="E3073" s="182" t="s">
        <v>206</v>
      </c>
      <c r="F3073" s="183">
        <v>0</v>
      </c>
    </row>
    <row r="3074" spans="1:6" x14ac:dyDescent="0.3">
      <c r="A3074" s="7" t="str">
        <f>_xlfn.XLOOKUP(ColombiaClientes[[#This Row],[Client]],VpsClientes[Client],VpsClientes[VP],"",0)</f>
        <v>Moises Saavedra Garcia</v>
      </c>
      <c r="B3074" s="181" t="s">
        <v>175</v>
      </c>
      <c r="C3074" s="182" t="s">
        <v>237</v>
      </c>
      <c r="D3074" s="182" t="s">
        <v>219</v>
      </c>
      <c r="E3074" s="182" t="s">
        <v>206</v>
      </c>
      <c r="F3074" s="183">
        <v>0</v>
      </c>
    </row>
    <row r="3075" spans="1:6" x14ac:dyDescent="0.3">
      <c r="A3075" s="7" t="str">
        <f>_xlfn.XLOOKUP(ColombiaClientes[[#This Row],[Client]],VpsClientes[Client],VpsClientes[VP],"",0)</f>
        <v>Hector Muraira Garza</v>
      </c>
      <c r="B3075" s="181" t="s">
        <v>164</v>
      </c>
      <c r="C3075" s="182" t="s">
        <v>237</v>
      </c>
      <c r="D3075" s="182" t="s">
        <v>219</v>
      </c>
      <c r="E3075" s="182" t="s">
        <v>206</v>
      </c>
      <c r="F3075" s="183">
        <v>0</v>
      </c>
    </row>
    <row r="3076" spans="1:6" x14ac:dyDescent="0.3">
      <c r="A3076" s="7" t="str">
        <f>_xlfn.XLOOKUP(ColombiaClientes[[#This Row],[Client]],VpsClientes[Client],VpsClientes[VP],"",0)</f>
        <v>Moises Saavedra Garcia</v>
      </c>
      <c r="B3076" s="181" t="s">
        <v>190</v>
      </c>
      <c r="C3076" s="182" t="s">
        <v>237</v>
      </c>
      <c r="D3076" s="182" t="s">
        <v>219</v>
      </c>
      <c r="E3076" s="182" t="s">
        <v>206</v>
      </c>
      <c r="F3076" s="183">
        <v>0</v>
      </c>
    </row>
  </sheetData>
  <conditionalFormatting sqref="F2:F30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1CB3-F437-46F1-BAFC-0D807F039DB5}">
  <sheetPr codeName="Hoja4"/>
  <dimension ref="A1:G753"/>
  <sheetViews>
    <sheetView topLeftCell="A713" zoomScaleNormal="100" workbookViewId="0">
      <selection activeCell="F753" sqref="F753"/>
    </sheetView>
  </sheetViews>
  <sheetFormatPr baseColWidth="10" defaultColWidth="8.88671875" defaultRowHeight="14.4" x14ac:dyDescent="0.3"/>
  <cols>
    <col min="1" max="1" width="8.88671875" style="10"/>
    <col min="2" max="2" width="16.44140625" style="10" customWidth="1"/>
    <col min="3" max="3" width="14.21875" style="10" customWidth="1"/>
    <col min="4" max="4" width="24.44140625" style="10" customWidth="1"/>
    <col min="5" max="5" width="31.109375" style="10" customWidth="1"/>
    <col min="6" max="6" width="51.77734375" style="10" customWidth="1"/>
    <col min="7" max="7" width="16.33203125" style="15" customWidth="1"/>
    <col min="8" max="8" width="17.5546875" style="10" customWidth="1"/>
    <col min="9" max="16384" width="8.88671875" style="10"/>
  </cols>
  <sheetData>
    <row r="1" spans="1:7" x14ac:dyDescent="0.3">
      <c r="A1" s="10" t="s">
        <v>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5" t="s">
        <v>16</v>
      </c>
    </row>
    <row r="2" spans="1:7" x14ac:dyDescent="0.3">
      <c r="B2" s="10" t="s">
        <v>92</v>
      </c>
      <c r="C2" s="10" t="s">
        <v>90</v>
      </c>
      <c r="D2" s="10" t="s">
        <v>91</v>
      </c>
      <c r="E2" s="13" t="s">
        <v>17</v>
      </c>
      <c r="F2" s="14">
        <v>3764</v>
      </c>
      <c r="G2" s="15">
        <v>0.30384242815627999</v>
      </c>
    </row>
    <row r="3" spans="1:7" x14ac:dyDescent="0.3">
      <c r="B3" s="13" t="s">
        <v>92</v>
      </c>
      <c r="C3" s="13" t="s">
        <v>90</v>
      </c>
      <c r="D3" s="13" t="s">
        <v>91</v>
      </c>
      <c r="E3" s="13" t="s">
        <v>18</v>
      </c>
      <c r="F3" s="14">
        <v>904</v>
      </c>
      <c r="G3" s="15">
        <v>0.37681627381336802</v>
      </c>
    </row>
    <row r="4" spans="1:7" x14ac:dyDescent="0.3">
      <c r="B4" s="13" t="s">
        <v>92</v>
      </c>
      <c r="C4" s="13" t="s">
        <v>90</v>
      </c>
      <c r="D4" s="13" t="s">
        <v>91</v>
      </c>
      <c r="E4" s="13" t="s">
        <v>19</v>
      </c>
      <c r="F4" s="14">
        <v>714</v>
      </c>
      <c r="G4" s="15">
        <v>0.43445269615757198</v>
      </c>
    </row>
    <row r="5" spans="1:7" x14ac:dyDescent="0.3">
      <c r="B5" s="13" t="s">
        <v>92</v>
      </c>
      <c r="C5" s="13" t="s">
        <v>90</v>
      </c>
      <c r="D5" s="13" t="s">
        <v>91</v>
      </c>
      <c r="E5" s="13" t="s">
        <v>20</v>
      </c>
      <c r="F5" s="14">
        <v>573</v>
      </c>
      <c r="G5" s="15">
        <v>0.48070713593800501</v>
      </c>
    </row>
    <row r="6" spans="1:7" x14ac:dyDescent="0.3">
      <c r="B6" s="13" t="s">
        <v>92</v>
      </c>
      <c r="C6" s="13" t="s">
        <v>90</v>
      </c>
      <c r="D6" s="13" t="s">
        <v>91</v>
      </c>
      <c r="E6" s="13" t="s">
        <v>25</v>
      </c>
      <c r="F6" s="14">
        <v>550</v>
      </c>
      <c r="G6" s="15">
        <v>0.52510494026477195</v>
      </c>
    </row>
    <row r="7" spans="1:7" x14ac:dyDescent="0.3">
      <c r="B7" s="13" t="s">
        <v>92</v>
      </c>
      <c r="C7" s="13" t="s">
        <v>90</v>
      </c>
      <c r="D7" s="13" t="s">
        <v>91</v>
      </c>
      <c r="E7" s="13" t="s">
        <v>24</v>
      </c>
      <c r="F7" s="14">
        <v>536</v>
      </c>
      <c r="G7" s="15">
        <v>0.56837261866322297</v>
      </c>
    </row>
    <row r="8" spans="1:7" x14ac:dyDescent="0.3">
      <c r="B8" s="13" t="s">
        <v>92</v>
      </c>
      <c r="C8" s="13" t="s">
        <v>90</v>
      </c>
      <c r="D8" s="13" t="s">
        <v>91</v>
      </c>
      <c r="E8" s="13" t="s">
        <v>23</v>
      </c>
      <c r="F8" s="14">
        <v>514</v>
      </c>
      <c r="G8" s="15">
        <v>0.60986438488860195</v>
      </c>
    </row>
    <row r="9" spans="1:7" x14ac:dyDescent="0.3">
      <c r="B9" s="13" t="s">
        <v>92</v>
      </c>
      <c r="C9" s="13" t="s">
        <v>90</v>
      </c>
      <c r="D9" s="13" t="s">
        <v>91</v>
      </c>
      <c r="E9" s="13" t="s">
        <v>27</v>
      </c>
      <c r="F9" s="14">
        <v>471</v>
      </c>
      <c r="G9" s="15">
        <v>0.647885050048434</v>
      </c>
    </row>
    <row r="10" spans="1:7" x14ac:dyDescent="0.3">
      <c r="B10" s="13" t="s">
        <v>92</v>
      </c>
      <c r="C10" s="13" t="s">
        <v>90</v>
      </c>
      <c r="D10" s="13" t="s">
        <v>91</v>
      </c>
      <c r="E10" s="13" t="s">
        <v>204</v>
      </c>
      <c r="F10" s="14">
        <v>461</v>
      </c>
      <c r="G10" s="15">
        <v>0.68509848240232496</v>
      </c>
    </row>
    <row r="11" spans="1:7" x14ac:dyDescent="0.3">
      <c r="B11" s="13" t="s">
        <v>92</v>
      </c>
      <c r="C11" s="13" t="s">
        <v>90</v>
      </c>
      <c r="D11" s="13" t="s">
        <v>91</v>
      </c>
      <c r="E11" s="13" t="s">
        <v>67</v>
      </c>
      <c r="F11" s="14">
        <v>348</v>
      </c>
      <c r="G11" s="15">
        <v>0.71319018404907997</v>
      </c>
    </row>
    <row r="12" spans="1:7" x14ac:dyDescent="0.3">
      <c r="B12" s="13" t="s">
        <v>92</v>
      </c>
      <c r="C12" s="13" t="s">
        <v>90</v>
      </c>
      <c r="D12" s="13" t="s">
        <v>91</v>
      </c>
      <c r="E12" s="13" t="s">
        <v>26</v>
      </c>
      <c r="F12" s="14">
        <v>283</v>
      </c>
      <c r="G12" s="15">
        <v>0.73603487245721699</v>
      </c>
    </row>
    <row r="13" spans="1:7" x14ac:dyDescent="0.3">
      <c r="B13" s="13" t="s">
        <v>92</v>
      </c>
      <c r="C13" s="13" t="s">
        <v>90</v>
      </c>
      <c r="D13" s="13" t="s">
        <v>91</v>
      </c>
      <c r="E13" s="13" t="s">
        <v>21</v>
      </c>
      <c r="F13" s="14">
        <v>279</v>
      </c>
      <c r="G13" s="15">
        <v>0.75855666774297703</v>
      </c>
    </row>
    <row r="14" spans="1:7" x14ac:dyDescent="0.3">
      <c r="B14" s="13" t="s">
        <v>92</v>
      </c>
      <c r="C14" s="13" t="s">
        <v>90</v>
      </c>
      <c r="D14" s="13" t="s">
        <v>91</v>
      </c>
      <c r="E14" s="13" t="s">
        <v>29</v>
      </c>
      <c r="F14" s="14">
        <v>262</v>
      </c>
      <c r="G14" s="15">
        <v>0.77970616725863695</v>
      </c>
    </row>
    <row r="15" spans="1:7" x14ac:dyDescent="0.3">
      <c r="B15" s="13" t="s">
        <v>92</v>
      </c>
      <c r="C15" s="13" t="s">
        <v>90</v>
      </c>
      <c r="D15" s="13" t="s">
        <v>91</v>
      </c>
      <c r="E15" s="13" t="s">
        <v>75</v>
      </c>
      <c r="F15" s="14">
        <v>247</v>
      </c>
      <c r="G15" s="15">
        <v>0.79964481756538597</v>
      </c>
    </row>
    <row r="16" spans="1:7" x14ac:dyDescent="0.3">
      <c r="B16" s="13" t="s">
        <v>92</v>
      </c>
      <c r="C16" s="13" t="s">
        <v>90</v>
      </c>
      <c r="D16" s="13" t="s">
        <v>91</v>
      </c>
      <c r="E16" s="13" t="s">
        <v>33</v>
      </c>
      <c r="F16" s="14">
        <v>222</v>
      </c>
      <c r="G16" s="15">
        <v>0.83548595414917703</v>
      </c>
    </row>
    <row r="17" spans="2:7" x14ac:dyDescent="0.3">
      <c r="B17" s="13" t="s">
        <v>92</v>
      </c>
      <c r="C17" s="13" t="s">
        <v>90</v>
      </c>
      <c r="D17" s="13" t="s">
        <v>91</v>
      </c>
      <c r="E17" s="13" t="s">
        <v>22</v>
      </c>
      <c r="F17" s="14">
        <v>222</v>
      </c>
      <c r="G17" s="15">
        <v>0.83548595414917703</v>
      </c>
    </row>
    <row r="18" spans="2:7" x14ac:dyDescent="0.3">
      <c r="B18" s="13" t="s">
        <v>92</v>
      </c>
      <c r="C18" s="13" t="s">
        <v>90</v>
      </c>
      <c r="D18" s="13" t="s">
        <v>91</v>
      </c>
      <c r="E18" s="13" t="s">
        <v>30</v>
      </c>
      <c r="F18" s="14">
        <v>210</v>
      </c>
      <c r="G18" s="15">
        <v>0.85243784307394299</v>
      </c>
    </row>
    <row r="19" spans="2:7" x14ac:dyDescent="0.3">
      <c r="B19" s="13" t="s">
        <v>92</v>
      </c>
      <c r="C19" s="13" t="s">
        <v>90</v>
      </c>
      <c r="D19" s="13" t="s">
        <v>91</v>
      </c>
      <c r="E19" s="13" t="s">
        <v>35</v>
      </c>
      <c r="F19" s="14">
        <v>188</v>
      </c>
      <c r="G19" s="15">
        <v>0.86761381982563801</v>
      </c>
    </row>
    <row r="20" spans="2:7" x14ac:dyDescent="0.3">
      <c r="B20" s="13" t="s">
        <v>92</v>
      </c>
      <c r="C20" s="13" t="s">
        <v>90</v>
      </c>
      <c r="D20" s="13" t="s">
        <v>91</v>
      </c>
      <c r="E20" s="13" t="s">
        <v>36</v>
      </c>
      <c r="F20" s="14">
        <v>168</v>
      </c>
      <c r="G20" s="15">
        <v>0.88117533096544998</v>
      </c>
    </row>
    <row r="21" spans="2:7" x14ac:dyDescent="0.3">
      <c r="B21" s="13" t="s">
        <v>92</v>
      </c>
      <c r="C21" s="13" t="s">
        <v>90</v>
      </c>
      <c r="D21" s="13" t="s">
        <v>91</v>
      </c>
      <c r="E21" s="13" t="s">
        <v>28</v>
      </c>
      <c r="F21" s="14">
        <v>152</v>
      </c>
      <c r="G21" s="15">
        <v>0.89344526961575699</v>
      </c>
    </row>
    <row r="22" spans="2:7" x14ac:dyDescent="0.3">
      <c r="B22" s="13" t="s">
        <v>92</v>
      </c>
      <c r="C22" s="13" t="s">
        <v>90</v>
      </c>
      <c r="D22" s="13" t="s">
        <v>91</v>
      </c>
      <c r="E22" s="13" t="s">
        <v>55</v>
      </c>
      <c r="F22" s="14">
        <v>142</v>
      </c>
      <c r="G22" s="15">
        <v>0.91637068130448796</v>
      </c>
    </row>
    <row r="23" spans="2:7" x14ac:dyDescent="0.3">
      <c r="B23" s="13" t="s">
        <v>92</v>
      </c>
      <c r="C23" s="13" t="s">
        <v>90</v>
      </c>
      <c r="D23" s="13" t="s">
        <v>91</v>
      </c>
      <c r="E23" s="13" t="s">
        <v>70</v>
      </c>
      <c r="F23" s="14">
        <v>142</v>
      </c>
      <c r="G23" s="15">
        <v>0.91637068130448796</v>
      </c>
    </row>
    <row r="24" spans="2:7" x14ac:dyDescent="0.3">
      <c r="B24" s="13" t="s">
        <v>92</v>
      </c>
      <c r="C24" s="13" t="s">
        <v>90</v>
      </c>
      <c r="D24" s="13" t="s">
        <v>91</v>
      </c>
      <c r="E24" s="13" t="s">
        <v>31</v>
      </c>
      <c r="F24" s="14">
        <v>140</v>
      </c>
      <c r="G24" s="15">
        <v>0.927671940587665</v>
      </c>
    </row>
    <row r="25" spans="2:7" x14ac:dyDescent="0.3">
      <c r="B25" s="13" t="s">
        <v>92</v>
      </c>
      <c r="C25" s="13" t="s">
        <v>90</v>
      </c>
      <c r="D25" s="13" t="s">
        <v>91</v>
      </c>
      <c r="E25" s="13" t="s">
        <v>34</v>
      </c>
      <c r="F25" s="14">
        <v>103</v>
      </c>
      <c r="G25" s="15">
        <v>0.93598643848885998</v>
      </c>
    </row>
    <row r="26" spans="2:7" x14ac:dyDescent="0.3">
      <c r="B26" s="13" t="s">
        <v>92</v>
      </c>
      <c r="C26" s="13" t="s">
        <v>90</v>
      </c>
      <c r="D26" s="13" t="s">
        <v>91</v>
      </c>
      <c r="E26" s="13" t="s">
        <v>39</v>
      </c>
      <c r="F26" s="14">
        <v>98</v>
      </c>
      <c r="G26" s="15">
        <v>0.94389731998708404</v>
      </c>
    </row>
    <row r="27" spans="2:7" x14ac:dyDescent="0.3">
      <c r="B27" s="13" t="s">
        <v>92</v>
      </c>
      <c r="C27" s="13" t="s">
        <v>90</v>
      </c>
      <c r="D27" s="13" t="s">
        <v>91</v>
      </c>
      <c r="E27" s="13" t="s">
        <v>52</v>
      </c>
      <c r="F27" s="14">
        <v>88</v>
      </c>
      <c r="G27" s="15">
        <v>0.95100096867936701</v>
      </c>
    </row>
    <row r="28" spans="2:7" x14ac:dyDescent="0.3">
      <c r="B28" s="13" t="s">
        <v>92</v>
      </c>
      <c r="C28" s="13" t="s">
        <v>90</v>
      </c>
      <c r="D28" s="13" t="s">
        <v>91</v>
      </c>
      <c r="E28" s="13" t="s">
        <v>45</v>
      </c>
      <c r="F28" s="14">
        <v>77</v>
      </c>
      <c r="G28" s="15">
        <v>0.95721666128511496</v>
      </c>
    </row>
    <row r="29" spans="2:7" x14ac:dyDescent="0.3">
      <c r="B29" s="13" t="s">
        <v>92</v>
      </c>
      <c r="C29" s="13" t="s">
        <v>90</v>
      </c>
      <c r="D29" s="13" t="s">
        <v>91</v>
      </c>
      <c r="E29" s="13" t="s">
        <v>41</v>
      </c>
      <c r="F29" s="14">
        <v>63</v>
      </c>
      <c r="G29" s="15">
        <v>0.96230222796254405</v>
      </c>
    </row>
    <row r="30" spans="2:7" x14ac:dyDescent="0.3">
      <c r="B30" s="13" t="s">
        <v>92</v>
      </c>
      <c r="C30" s="13" t="s">
        <v>90</v>
      </c>
      <c r="D30" s="13" t="s">
        <v>91</v>
      </c>
      <c r="E30" s="13" t="s">
        <v>60</v>
      </c>
      <c r="F30" s="14">
        <v>50</v>
      </c>
      <c r="G30" s="15">
        <v>0.96633839199225102</v>
      </c>
    </row>
    <row r="31" spans="2:7" x14ac:dyDescent="0.3">
      <c r="B31" s="13" t="s">
        <v>92</v>
      </c>
      <c r="C31" s="13" t="s">
        <v>90</v>
      </c>
      <c r="D31" s="13" t="s">
        <v>91</v>
      </c>
      <c r="E31" s="13" t="s">
        <v>44</v>
      </c>
      <c r="F31" s="14">
        <v>43</v>
      </c>
      <c r="G31" s="15">
        <v>0.973280594123345</v>
      </c>
    </row>
    <row r="32" spans="2:7" x14ac:dyDescent="0.3">
      <c r="B32" s="13" t="s">
        <v>92</v>
      </c>
      <c r="C32" s="13" t="s">
        <v>90</v>
      </c>
      <c r="D32" s="13" t="s">
        <v>91</v>
      </c>
      <c r="E32" s="13" t="s">
        <v>47</v>
      </c>
      <c r="F32" s="14">
        <v>43</v>
      </c>
      <c r="G32" s="15">
        <v>0.973280594123345</v>
      </c>
    </row>
    <row r="33" spans="2:7" x14ac:dyDescent="0.3">
      <c r="B33" s="13" t="s">
        <v>92</v>
      </c>
      <c r="C33" s="13" t="s">
        <v>90</v>
      </c>
      <c r="D33" s="13" t="s">
        <v>91</v>
      </c>
      <c r="E33" s="13" t="s">
        <v>80</v>
      </c>
      <c r="F33" s="14">
        <v>42</v>
      </c>
      <c r="G33" s="15">
        <v>0.97667097190829799</v>
      </c>
    </row>
    <row r="34" spans="2:7" x14ac:dyDescent="0.3">
      <c r="B34" s="13" t="s">
        <v>92</v>
      </c>
      <c r="C34" s="13" t="s">
        <v>90</v>
      </c>
      <c r="D34" s="13" t="s">
        <v>91</v>
      </c>
      <c r="E34" s="13" t="s">
        <v>37</v>
      </c>
      <c r="F34" s="14">
        <v>39</v>
      </c>
      <c r="G34" s="15">
        <v>0.97981917985146905</v>
      </c>
    </row>
    <row r="35" spans="2:7" x14ac:dyDescent="0.3">
      <c r="B35" s="13" t="s">
        <v>92</v>
      </c>
      <c r="C35" s="13" t="s">
        <v>90</v>
      </c>
      <c r="D35" s="13" t="s">
        <v>91</v>
      </c>
      <c r="E35" s="13" t="s">
        <v>49</v>
      </c>
      <c r="F35" s="14">
        <v>38</v>
      </c>
      <c r="G35" s="15">
        <v>0.98288666451404605</v>
      </c>
    </row>
    <row r="36" spans="2:7" x14ac:dyDescent="0.3">
      <c r="B36" s="13" t="s">
        <v>92</v>
      </c>
      <c r="C36" s="13" t="s">
        <v>90</v>
      </c>
      <c r="D36" s="13" t="s">
        <v>91</v>
      </c>
      <c r="E36" s="13" t="s">
        <v>54</v>
      </c>
      <c r="F36" s="14">
        <v>35</v>
      </c>
      <c r="G36" s="15">
        <v>0.98571197933484</v>
      </c>
    </row>
    <row r="37" spans="2:7" x14ac:dyDescent="0.3">
      <c r="B37" s="13" t="s">
        <v>92</v>
      </c>
      <c r="C37" s="13" t="s">
        <v>90</v>
      </c>
      <c r="D37" s="13" t="s">
        <v>91</v>
      </c>
      <c r="E37" s="13" t="s">
        <v>48</v>
      </c>
      <c r="F37" s="14">
        <v>30</v>
      </c>
      <c r="G37" s="15">
        <v>0.98813367775266403</v>
      </c>
    </row>
    <row r="38" spans="2:7" x14ac:dyDescent="0.3">
      <c r="B38" s="13" t="s">
        <v>92</v>
      </c>
      <c r="C38" s="13" t="s">
        <v>90</v>
      </c>
      <c r="D38" s="13" t="s">
        <v>91</v>
      </c>
      <c r="E38" s="13" t="s">
        <v>43</v>
      </c>
      <c r="F38" s="14">
        <v>29</v>
      </c>
      <c r="G38" s="15">
        <v>0.990474652889893</v>
      </c>
    </row>
    <row r="39" spans="2:7" x14ac:dyDescent="0.3">
      <c r="B39" s="13" t="s">
        <v>92</v>
      </c>
      <c r="C39" s="13" t="s">
        <v>90</v>
      </c>
      <c r="D39" s="13" t="s">
        <v>91</v>
      </c>
      <c r="E39" s="13" t="s">
        <v>51</v>
      </c>
      <c r="F39" s="14">
        <v>19</v>
      </c>
      <c r="G39" s="15">
        <v>0.992008395221182</v>
      </c>
    </row>
    <row r="40" spans="2:7" x14ac:dyDescent="0.3">
      <c r="B40" s="13" t="s">
        <v>92</v>
      </c>
      <c r="C40" s="13" t="s">
        <v>90</v>
      </c>
      <c r="D40" s="13" t="s">
        <v>91</v>
      </c>
      <c r="E40" s="13" t="s">
        <v>53</v>
      </c>
      <c r="F40" s="14">
        <v>17</v>
      </c>
      <c r="G40" s="15">
        <v>0.99338069099128201</v>
      </c>
    </row>
    <row r="41" spans="2:7" x14ac:dyDescent="0.3">
      <c r="B41" s="13" t="s">
        <v>92</v>
      </c>
      <c r="C41" s="13" t="s">
        <v>90</v>
      </c>
      <c r="D41" s="13" t="s">
        <v>91</v>
      </c>
      <c r="E41" s="13" t="s">
        <v>59</v>
      </c>
      <c r="F41" s="14">
        <v>16</v>
      </c>
      <c r="G41" s="15">
        <v>0.99467226348078797</v>
      </c>
    </row>
    <row r="42" spans="2:7" x14ac:dyDescent="0.3">
      <c r="B42" s="13" t="s">
        <v>92</v>
      </c>
      <c r="C42" s="13" t="s">
        <v>90</v>
      </c>
      <c r="D42" s="13" t="s">
        <v>91</v>
      </c>
      <c r="E42" s="13" t="s">
        <v>62</v>
      </c>
      <c r="F42" s="14">
        <v>15</v>
      </c>
      <c r="G42" s="15">
        <v>0.99588311268969998</v>
      </c>
    </row>
    <row r="43" spans="2:7" x14ac:dyDescent="0.3">
      <c r="B43" s="13" t="s">
        <v>92</v>
      </c>
      <c r="C43" s="13" t="s">
        <v>90</v>
      </c>
      <c r="D43" s="13" t="s">
        <v>91</v>
      </c>
      <c r="E43" s="13" t="s">
        <v>61</v>
      </c>
      <c r="F43" s="14">
        <v>9</v>
      </c>
      <c r="G43" s="15">
        <v>0.99733613174039404</v>
      </c>
    </row>
    <row r="44" spans="2:7" x14ac:dyDescent="0.3">
      <c r="B44" s="13" t="s">
        <v>92</v>
      </c>
      <c r="C44" s="13" t="s">
        <v>90</v>
      </c>
      <c r="D44" s="13" t="s">
        <v>91</v>
      </c>
      <c r="E44" s="13" t="s">
        <v>50</v>
      </c>
      <c r="F44" s="14">
        <v>9</v>
      </c>
      <c r="G44" s="15">
        <v>0.99733613174039404</v>
      </c>
    </row>
    <row r="45" spans="2:7" x14ac:dyDescent="0.3">
      <c r="B45" s="13" t="s">
        <v>92</v>
      </c>
      <c r="C45" s="13" t="s">
        <v>90</v>
      </c>
      <c r="D45" s="13" t="s">
        <v>91</v>
      </c>
      <c r="E45" s="13" t="s">
        <v>38</v>
      </c>
      <c r="F45" s="14">
        <v>7</v>
      </c>
      <c r="G45" s="15">
        <v>0.99790119470455296</v>
      </c>
    </row>
    <row r="46" spans="2:7" x14ac:dyDescent="0.3">
      <c r="B46" s="13" t="s">
        <v>92</v>
      </c>
      <c r="C46" s="13" t="s">
        <v>90</v>
      </c>
      <c r="D46" s="13" t="s">
        <v>91</v>
      </c>
      <c r="E46" s="13" t="s">
        <v>81</v>
      </c>
      <c r="F46" s="14">
        <v>6</v>
      </c>
      <c r="G46" s="15">
        <v>0.99838553438811795</v>
      </c>
    </row>
    <row r="47" spans="2:7" x14ac:dyDescent="0.3">
      <c r="B47" s="13" t="s">
        <v>92</v>
      </c>
      <c r="C47" s="13" t="s">
        <v>90</v>
      </c>
      <c r="D47" s="13" t="s">
        <v>91</v>
      </c>
      <c r="E47" s="13" t="s">
        <v>65</v>
      </c>
      <c r="F47" s="14">
        <v>4</v>
      </c>
      <c r="G47" s="15">
        <v>0.99935421375524702</v>
      </c>
    </row>
    <row r="48" spans="2:7" x14ac:dyDescent="0.3">
      <c r="B48" s="13" t="s">
        <v>92</v>
      </c>
      <c r="C48" s="13" t="s">
        <v>90</v>
      </c>
      <c r="D48" s="13" t="s">
        <v>91</v>
      </c>
      <c r="E48" s="13" t="s">
        <v>66</v>
      </c>
      <c r="F48" s="14">
        <v>4</v>
      </c>
      <c r="G48" s="15">
        <v>0.99935421375524702</v>
      </c>
    </row>
    <row r="49" spans="2:7" x14ac:dyDescent="0.3">
      <c r="B49" s="13" t="s">
        <v>92</v>
      </c>
      <c r="C49" s="13" t="s">
        <v>90</v>
      </c>
      <c r="D49" s="13" t="s">
        <v>91</v>
      </c>
      <c r="E49" s="13" t="s">
        <v>46</v>
      </c>
      <c r="F49" s="14">
        <v>4</v>
      </c>
      <c r="G49" s="15">
        <v>0.99935421375524702</v>
      </c>
    </row>
    <row r="50" spans="2:7" x14ac:dyDescent="0.3">
      <c r="B50" s="13" t="s">
        <v>92</v>
      </c>
      <c r="C50" s="13" t="s">
        <v>90</v>
      </c>
      <c r="D50" s="13" t="s">
        <v>91</v>
      </c>
      <c r="E50" s="13" t="s">
        <v>85</v>
      </c>
      <c r="F50" s="14">
        <v>2</v>
      </c>
      <c r="G50" s="15">
        <v>0.99983855343881201</v>
      </c>
    </row>
    <row r="51" spans="2:7" x14ac:dyDescent="0.3">
      <c r="B51" s="13" t="s">
        <v>92</v>
      </c>
      <c r="C51" s="13" t="s">
        <v>90</v>
      </c>
      <c r="D51" s="13" t="s">
        <v>91</v>
      </c>
      <c r="E51" s="13" t="s">
        <v>42</v>
      </c>
      <c r="F51" s="14">
        <v>2</v>
      </c>
      <c r="G51" s="15">
        <v>0.99983855343881201</v>
      </c>
    </row>
    <row r="52" spans="2:7" x14ac:dyDescent="0.3">
      <c r="B52" s="13" t="s">
        <v>92</v>
      </c>
      <c r="C52" s="13" t="s">
        <v>90</v>
      </c>
      <c r="D52" s="13" t="s">
        <v>91</v>
      </c>
      <c r="E52" s="13" t="s">
        <v>56</v>
      </c>
      <c r="F52" s="14">
        <v>2</v>
      </c>
      <c r="G52" s="15">
        <v>0.99983855343881201</v>
      </c>
    </row>
    <row r="53" spans="2:7" x14ac:dyDescent="0.3">
      <c r="B53" s="13" t="s">
        <v>92</v>
      </c>
      <c r="C53" s="13" t="s">
        <v>90</v>
      </c>
      <c r="D53" s="13" t="s">
        <v>91</v>
      </c>
      <c r="E53" s="13" t="s">
        <v>32</v>
      </c>
      <c r="F53" s="14">
        <v>1</v>
      </c>
      <c r="G53" s="15">
        <v>1</v>
      </c>
    </row>
    <row r="54" spans="2:7" x14ac:dyDescent="0.3">
      <c r="B54" s="13" t="s">
        <v>92</v>
      </c>
      <c r="C54" s="13" t="s">
        <v>90</v>
      </c>
      <c r="D54" s="13" t="s">
        <v>91</v>
      </c>
      <c r="E54" s="13" t="s">
        <v>76</v>
      </c>
      <c r="F54" s="14">
        <v>1</v>
      </c>
      <c r="G54" s="15">
        <v>1</v>
      </c>
    </row>
    <row r="55" spans="2:7" x14ac:dyDescent="0.3">
      <c r="B55" s="13" t="s">
        <v>92</v>
      </c>
      <c r="C55" s="13" t="s">
        <v>90</v>
      </c>
      <c r="D55" s="13" t="s">
        <v>91</v>
      </c>
      <c r="E55" s="13" t="s">
        <v>73</v>
      </c>
      <c r="F55" s="14">
        <v>0</v>
      </c>
      <c r="G55" s="15">
        <v>1</v>
      </c>
    </row>
    <row r="56" spans="2:7" x14ac:dyDescent="0.3">
      <c r="B56" s="13" t="s">
        <v>92</v>
      </c>
      <c r="C56" s="13" t="s">
        <v>90</v>
      </c>
      <c r="D56" s="13" t="s">
        <v>91</v>
      </c>
      <c r="E56" s="13" t="s">
        <v>57</v>
      </c>
      <c r="F56" s="14">
        <v>0</v>
      </c>
      <c r="G56" s="15">
        <v>1</v>
      </c>
    </row>
    <row r="57" spans="2:7" x14ac:dyDescent="0.3">
      <c r="B57" s="13" t="s">
        <v>92</v>
      </c>
      <c r="C57" s="13" t="s">
        <v>90</v>
      </c>
      <c r="D57" s="13" t="s">
        <v>91</v>
      </c>
      <c r="E57" s="13" t="s">
        <v>88</v>
      </c>
      <c r="F57" s="14">
        <v>0</v>
      </c>
      <c r="G57" s="15">
        <v>1</v>
      </c>
    </row>
    <row r="58" spans="2:7" x14ac:dyDescent="0.3">
      <c r="B58" s="13" t="s">
        <v>92</v>
      </c>
      <c r="C58" s="13" t="s">
        <v>90</v>
      </c>
      <c r="D58" s="13" t="s">
        <v>91</v>
      </c>
      <c r="E58" s="13" t="s">
        <v>89</v>
      </c>
      <c r="F58" s="14">
        <v>0</v>
      </c>
      <c r="G58" s="15">
        <v>1</v>
      </c>
    </row>
    <row r="59" spans="2:7" x14ac:dyDescent="0.3">
      <c r="B59" s="10" t="s">
        <v>191</v>
      </c>
      <c r="C59" s="10" t="s">
        <v>90</v>
      </c>
      <c r="D59" s="10" t="s">
        <v>91</v>
      </c>
      <c r="E59" s="19" t="s">
        <v>17</v>
      </c>
      <c r="F59" s="20">
        <v>22261</v>
      </c>
      <c r="G59" s="15">
        <v>0.42111535696719798</v>
      </c>
    </row>
    <row r="60" spans="2:7" x14ac:dyDescent="0.3">
      <c r="B60" s="23" t="s">
        <v>191</v>
      </c>
      <c r="C60" s="49" t="s">
        <v>90</v>
      </c>
      <c r="D60" s="49" t="s">
        <v>91</v>
      </c>
      <c r="E60" s="19" t="s">
        <v>23</v>
      </c>
      <c r="F60" s="20">
        <v>5000</v>
      </c>
      <c r="G60" s="15">
        <v>0.51570125988422699</v>
      </c>
    </row>
    <row r="61" spans="2:7" x14ac:dyDescent="0.3">
      <c r="B61" s="23" t="s">
        <v>191</v>
      </c>
      <c r="C61" s="49" t="s">
        <v>90</v>
      </c>
      <c r="D61" s="49" t="s">
        <v>91</v>
      </c>
      <c r="E61" s="19" t="s">
        <v>19</v>
      </c>
      <c r="F61" s="20">
        <v>4672</v>
      </c>
      <c r="G61" s="15">
        <v>0.60408232756989899</v>
      </c>
    </row>
    <row r="62" spans="2:7" x14ac:dyDescent="0.3">
      <c r="B62" s="23" t="s">
        <v>191</v>
      </c>
      <c r="C62" s="49" t="s">
        <v>90</v>
      </c>
      <c r="D62" s="49" t="s">
        <v>91</v>
      </c>
      <c r="E62" s="19" t="s">
        <v>21</v>
      </c>
      <c r="F62" s="20">
        <v>3491</v>
      </c>
      <c r="G62" s="15">
        <v>0.67012220498656905</v>
      </c>
    </row>
    <row r="63" spans="2:7" x14ac:dyDescent="0.3">
      <c r="B63" s="23" t="s">
        <v>191</v>
      </c>
      <c r="C63" s="49" t="s">
        <v>90</v>
      </c>
      <c r="D63" s="49" t="s">
        <v>91</v>
      </c>
      <c r="E63" s="19" t="s">
        <v>20</v>
      </c>
      <c r="F63" s="20">
        <v>2980</v>
      </c>
      <c r="G63" s="15">
        <v>0.72649540312511796</v>
      </c>
    </row>
    <row r="64" spans="2:7" x14ac:dyDescent="0.3">
      <c r="B64" s="23" t="s">
        <v>191</v>
      </c>
      <c r="C64" s="49" t="s">
        <v>90</v>
      </c>
      <c r="D64" s="49" t="s">
        <v>91</v>
      </c>
      <c r="E64" s="19" t="s">
        <v>18</v>
      </c>
      <c r="F64" s="20">
        <v>2599</v>
      </c>
      <c r="G64" s="15">
        <v>0.77566115546139003</v>
      </c>
    </row>
    <row r="65" spans="2:7" x14ac:dyDescent="0.3">
      <c r="B65" s="23" t="s">
        <v>191</v>
      </c>
      <c r="C65" s="49" t="s">
        <v>90</v>
      </c>
      <c r="D65" s="49" t="s">
        <v>91</v>
      </c>
      <c r="E65" s="19" t="s">
        <v>27</v>
      </c>
      <c r="F65" s="20">
        <v>2275</v>
      </c>
      <c r="G65" s="15">
        <v>0.81869774128863804</v>
      </c>
    </row>
    <row r="66" spans="2:7" x14ac:dyDescent="0.3">
      <c r="B66" s="23" t="s">
        <v>191</v>
      </c>
      <c r="C66" s="49" t="s">
        <v>90</v>
      </c>
      <c r="D66" s="49" t="s">
        <v>91</v>
      </c>
      <c r="E66" s="19" t="s">
        <v>26</v>
      </c>
      <c r="F66" s="20">
        <v>1320</v>
      </c>
      <c r="G66" s="15">
        <v>0.84366841965873396</v>
      </c>
    </row>
    <row r="67" spans="2:7" x14ac:dyDescent="0.3">
      <c r="B67" s="23" t="s">
        <v>191</v>
      </c>
      <c r="C67" s="49" t="s">
        <v>90</v>
      </c>
      <c r="D67" s="49" t="s">
        <v>91</v>
      </c>
      <c r="E67" s="19" t="s">
        <v>28</v>
      </c>
      <c r="F67" s="20">
        <v>1185</v>
      </c>
      <c r="G67" s="15">
        <v>0.86608527865007001</v>
      </c>
    </row>
    <row r="68" spans="2:7" x14ac:dyDescent="0.3">
      <c r="B68" s="23" t="s">
        <v>191</v>
      </c>
      <c r="C68" s="49" t="s">
        <v>90</v>
      </c>
      <c r="D68" s="49" t="s">
        <v>91</v>
      </c>
      <c r="E68" s="19" t="s">
        <v>44</v>
      </c>
      <c r="F68" s="20">
        <v>891</v>
      </c>
      <c r="G68" s="15">
        <v>0.882940486549885</v>
      </c>
    </row>
    <row r="69" spans="2:7" x14ac:dyDescent="0.3">
      <c r="B69" s="23" t="s">
        <v>191</v>
      </c>
      <c r="C69" s="49" t="s">
        <v>90</v>
      </c>
      <c r="D69" s="49" t="s">
        <v>91</v>
      </c>
      <c r="E69" s="19" t="s">
        <v>24</v>
      </c>
      <c r="F69" s="20">
        <v>710</v>
      </c>
      <c r="G69" s="15">
        <v>0.896371684764103</v>
      </c>
    </row>
    <row r="70" spans="2:7" x14ac:dyDescent="0.3">
      <c r="B70" s="23" t="s">
        <v>191</v>
      </c>
      <c r="C70" s="49" t="s">
        <v>90</v>
      </c>
      <c r="D70" s="49" t="s">
        <v>91</v>
      </c>
      <c r="E70" s="19" t="s">
        <v>261</v>
      </c>
      <c r="F70" s="20">
        <v>561</v>
      </c>
      <c r="G70" s="15">
        <v>0.90698422307139304</v>
      </c>
    </row>
    <row r="71" spans="2:7" x14ac:dyDescent="0.3">
      <c r="B71" s="23" t="s">
        <v>191</v>
      </c>
      <c r="C71" s="49" t="s">
        <v>90</v>
      </c>
      <c r="D71" s="49" t="s">
        <v>91</v>
      </c>
      <c r="E71" s="19" t="s">
        <v>39</v>
      </c>
      <c r="F71" s="20">
        <v>535</v>
      </c>
      <c r="G71" s="15">
        <v>0.91710491468351596</v>
      </c>
    </row>
    <row r="72" spans="2:7" x14ac:dyDescent="0.3">
      <c r="B72" s="23" t="s">
        <v>191</v>
      </c>
      <c r="C72" s="49" t="s">
        <v>90</v>
      </c>
      <c r="D72" s="49" t="s">
        <v>91</v>
      </c>
      <c r="E72" s="19" t="s">
        <v>262</v>
      </c>
      <c r="F72" s="20">
        <v>453</v>
      </c>
      <c r="G72" s="15">
        <v>0.92567439748779801</v>
      </c>
    </row>
    <row r="73" spans="2:7" x14ac:dyDescent="0.3">
      <c r="B73" s="23" t="s">
        <v>191</v>
      </c>
      <c r="C73" s="49" t="s">
        <v>90</v>
      </c>
      <c r="D73" s="49" t="s">
        <v>91</v>
      </c>
      <c r="E73" s="19" t="s">
        <v>31</v>
      </c>
      <c r="F73" s="20">
        <v>417</v>
      </c>
      <c r="G73" s="15">
        <v>0.93356286179107895</v>
      </c>
    </row>
    <row r="74" spans="2:7" x14ac:dyDescent="0.3">
      <c r="B74" s="23" t="s">
        <v>191</v>
      </c>
      <c r="C74" s="49" t="s">
        <v>90</v>
      </c>
      <c r="D74" s="49" t="s">
        <v>91</v>
      </c>
      <c r="E74" s="19" t="s">
        <v>30</v>
      </c>
      <c r="F74" s="20">
        <v>386</v>
      </c>
      <c r="G74" s="15">
        <v>0.940864893496273</v>
      </c>
    </row>
    <row r="75" spans="2:7" x14ac:dyDescent="0.3">
      <c r="B75" s="23" t="s">
        <v>191</v>
      </c>
      <c r="C75" s="49" t="s">
        <v>90</v>
      </c>
      <c r="D75" s="49" t="s">
        <v>91</v>
      </c>
      <c r="E75" s="19" t="s">
        <v>33</v>
      </c>
      <c r="F75" s="20">
        <v>358</v>
      </c>
      <c r="G75" s="15">
        <v>0.94763724414513295</v>
      </c>
    </row>
    <row r="76" spans="2:7" x14ac:dyDescent="0.3">
      <c r="B76" s="23" t="s">
        <v>191</v>
      </c>
      <c r="C76" s="49" t="s">
        <v>90</v>
      </c>
      <c r="D76" s="49" t="s">
        <v>91</v>
      </c>
      <c r="E76" s="19" t="s">
        <v>25</v>
      </c>
      <c r="F76" s="20">
        <v>355</v>
      </c>
      <c r="G76" s="15">
        <v>0.95435284325224201</v>
      </c>
    </row>
    <row r="77" spans="2:7" x14ac:dyDescent="0.3">
      <c r="B77" s="23" t="s">
        <v>191</v>
      </c>
      <c r="C77" s="49" t="s">
        <v>90</v>
      </c>
      <c r="D77" s="49" t="s">
        <v>91</v>
      </c>
      <c r="E77" s="19" t="s">
        <v>38</v>
      </c>
      <c r="F77" s="20">
        <v>342</v>
      </c>
      <c r="G77" s="15">
        <v>0.96082251901176696</v>
      </c>
    </row>
    <row r="78" spans="2:7" x14ac:dyDescent="0.3">
      <c r="B78" s="23" t="s">
        <v>191</v>
      </c>
      <c r="C78" s="49" t="s">
        <v>90</v>
      </c>
      <c r="D78" s="49" t="s">
        <v>91</v>
      </c>
      <c r="E78" s="19" t="s">
        <v>36</v>
      </c>
      <c r="F78" s="20">
        <v>272</v>
      </c>
      <c r="G78" s="15">
        <v>0.96596799213045303</v>
      </c>
    </row>
    <row r="79" spans="2:7" x14ac:dyDescent="0.3">
      <c r="B79" s="23" t="s">
        <v>191</v>
      </c>
      <c r="C79" s="49" t="s">
        <v>90</v>
      </c>
      <c r="D79" s="49" t="s">
        <v>91</v>
      </c>
      <c r="E79" s="19" t="s">
        <v>32</v>
      </c>
      <c r="F79" s="20">
        <v>269</v>
      </c>
      <c r="G79" s="15">
        <v>0.971056713707389</v>
      </c>
    </row>
    <row r="80" spans="2:7" x14ac:dyDescent="0.3">
      <c r="B80" s="23" t="s">
        <v>191</v>
      </c>
      <c r="C80" s="49" t="s">
        <v>90</v>
      </c>
      <c r="D80" s="49" t="s">
        <v>91</v>
      </c>
      <c r="E80" s="19" t="s">
        <v>35</v>
      </c>
      <c r="F80" s="20">
        <v>263</v>
      </c>
      <c r="G80" s="15">
        <v>0.97603193220082496</v>
      </c>
    </row>
    <row r="81" spans="2:7" x14ac:dyDescent="0.3">
      <c r="B81" s="23" t="s">
        <v>191</v>
      </c>
      <c r="C81" s="49" t="s">
        <v>90</v>
      </c>
      <c r="D81" s="49" t="s">
        <v>91</v>
      </c>
      <c r="E81" s="19" t="s">
        <v>48</v>
      </c>
      <c r="F81" s="20">
        <v>191</v>
      </c>
      <c r="G81" s="15">
        <v>0.97964511369225504</v>
      </c>
    </row>
    <row r="82" spans="2:7" x14ac:dyDescent="0.3">
      <c r="B82" s="23" t="s">
        <v>191</v>
      </c>
      <c r="C82" s="49" t="s">
        <v>90</v>
      </c>
      <c r="D82" s="49" t="s">
        <v>91</v>
      </c>
      <c r="E82" s="19" t="s">
        <v>56</v>
      </c>
      <c r="F82" s="20">
        <v>183</v>
      </c>
      <c r="G82" s="15">
        <v>0.98310695773901902</v>
      </c>
    </row>
    <row r="83" spans="2:7" x14ac:dyDescent="0.3">
      <c r="B83" s="23" t="s">
        <v>191</v>
      </c>
      <c r="C83" s="49" t="s">
        <v>90</v>
      </c>
      <c r="D83" s="49" t="s">
        <v>91</v>
      </c>
      <c r="E83" s="19" t="s">
        <v>22</v>
      </c>
      <c r="F83" s="20">
        <v>160</v>
      </c>
      <c r="G83" s="15">
        <v>0.98613370663236399</v>
      </c>
    </row>
    <row r="84" spans="2:7" x14ac:dyDescent="0.3">
      <c r="B84" s="23" t="s">
        <v>191</v>
      </c>
      <c r="C84" s="49" t="s">
        <v>90</v>
      </c>
      <c r="D84" s="49" t="s">
        <v>91</v>
      </c>
      <c r="E84" s="19" t="s">
        <v>43</v>
      </c>
      <c r="F84" s="20">
        <v>123</v>
      </c>
      <c r="G84" s="15">
        <v>0.98846051984412198</v>
      </c>
    </row>
    <row r="85" spans="2:7" x14ac:dyDescent="0.3">
      <c r="B85" s="23" t="s">
        <v>191</v>
      </c>
      <c r="C85" s="49" t="s">
        <v>90</v>
      </c>
      <c r="D85" s="49" t="s">
        <v>91</v>
      </c>
      <c r="E85" s="19" t="s">
        <v>51</v>
      </c>
      <c r="F85" s="20">
        <v>115</v>
      </c>
      <c r="G85" s="15">
        <v>0.99063599561121396</v>
      </c>
    </row>
    <row r="86" spans="2:7" x14ac:dyDescent="0.3">
      <c r="B86" s="23" t="s">
        <v>191</v>
      </c>
      <c r="C86" s="49" t="s">
        <v>90</v>
      </c>
      <c r="D86" s="49" t="s">
        <v>91</v>
      </c>
      <c r="E86" s="19" t="s">
        <v>29</v>
      </c>
      <c r="F86" s="20">
        <v>105</v>
      </c>
      <c r="G86" s="15">
        <v>0.99262229957247206</v>
      </c>
    </row>
    <row r="87" spans="2:7" x14ac:dyDescent="0.3">
      <c r="B87" s="23" t="s">
        <v>191</v>
      </c>
      <c r="C87" s="49" t="s">
        <v>90</v>
      </c>
      <c r="D87" s="49" t="s">
        <v>91</v>
      </c>
      <c r="E87" s="19" t="s">
        <v>49</v>
      </c>
      <c r="F87" s="20">
        <v>91</v>
      </c>
      <c r="G87" s="15">
        <v>0.99434376300556204</v>
      </c>
    </row>
    <row r="88" spans="2:7" x14ac:dyDescent="0.3">
      <c r="B88" s="23" t="s">
        <v>191</v>
      </c>
      <c r="C88" s="49" t="s">
        <v>90</v>
      </c>
      <c r="D88" s="49" t="s">
        <v>91</v>
      </c>
      <c r="E88" s="19" t="s">
        <v>55</v>
      </c>
      <c r="F88" s="20">
        <v>68</v>
      </c>
      <c r="G88" s="15">
        <v>0.99563013128523303</v>
      </c>
    </row>
    <row r="89" spans="2:7" x14ac:dyDescent="0.3">
      <c r="B89" s="23" t="s">
        <v>191</v>
      </c>
      <c r="C89" s="49" t="s">
        <v>90</v>
      </c>
      <c r="D89" s="49" t="s">
        <v>91</v>
      </c>
      <c r="E89" s="19" t="s">
        <v>46</v>
      </c>
      <c r="F89" s="20">
        <v>52</v>
      </c>
      <c r="G89" s="15">
        <v>0.99661382467557003</v>
      </c>
    </row>
    <row r="90" spans="2:7" x14ac:dyDescent="0.3">
      <c r="B90" s="23" t="s">
        <v>191</v>
      </c>
      <c r="C90" s="49" t="s">
        <v>90</v>
      </c>
      <c r="D90" s="49" t="s">
        <v>91</v>
      </c>
      <c r="E90" s="19" t="s">
        <v>45</v>
      </c>
      <c r="F90" s="20">
        <v>39</v>
      </c>
      <c r="G90" s="15">
        <v>0.99735159471832302</v>
      </c>
    </row>
    <row r="91" spans="2:7" x14ac:dyDescent="0.3">
      <c r="B91" s="23" t="s">
        <v>191</v>
      </c>
      <c r="C91" s="49" t="s">
        <v>90</v>
      </c>
      <c r="D91" s="49" t="s">
        <v>91</v>
      </c>
      <c r="E91" s="19" t="s">
        <v>50</v>
      </c>
      <c r="F91" s="20">
        <v>34</v>
      </c>
      <c r="G91" s="15">
        <v>0.99799477885815902</v>
      </c>
    </row>
    <row r="92" spans="2:7" x14ac:dyDescent="0.3">
      <c r="B92" s="23" t="s">
        <v>191</v>
      </c>
      <c r="C92" s="49" t="s">
        <v>90</v>
      </c>
      <c r="D92" s="49" t="s">
        <v>91</v>
      </c>
      <c r="E92" s="19" t="s">
        <v>58</v>
      </c>
      <c r="F92" s="20">
        <v>21</v>
      </c>
      <c r="G92" s="15">
        <v>0.99839203965041001</v>
      </c>
    </row>
    <row r="93" spans="2:7" x14ac:dyDescent="0.3">
      <c r="B93" s="23" t="s">
        <v>191</v>
      </c>
      <c r="C93" s="49" t="s">
        <v>90</v>
      </c>
      <c r="D93" s="49" t="s">
        <v>91</v>
      </c>
      <c r="E93" s="19" t="s">
        <v>76</v>
      </c>
      <c r="F93" s="20">
        <v>20</v>
      </c>
      <c r="G93" s="15">
        <v>0.99877038326207901</v>
      </c>
    </row>
    <row r="94" spans="2:7" x14ac:dyDescent="0.3">
      <c r="B94" s="23" t="s">
        <v>191</v>
      </c>
      <c r="C94" s="49" t="s">
        <v>90</v>
      </c>
      <c r="D94" s="49" t="s">
        <v>91</v>
      </c>
      <c r="E94" s="19" t="s">
        <v>65</v>
      </c>
      <c r="F94" s="20">
        <v>16</v>
      </c>
      <c r="G94" s="15">
        <v>0.99907305815141301</v>
      </c>
    </row>
    <row r="95" spans="2:7" x14ac:dyDescent="0.3">
      <c r="B95" s="23" t="s">
        <v>191</v>
      </c>
      <c r="C95" s="49" t="s">
        <v>90</v>
      </c>
      <c r="D95" s="49" t="s">
        <v>91</v>
      </c>
      <c r="E95" s="19" t="s">
        <v>53</v>
      </c>
      <c r="F95" s="20">
        <v>15</v>
      </c>
      <c r="G95" s="15">
        <v>0.99935681586016401</v>
      </c>
    </row>
    <row r="96" spans="2:7" x14ac:dyDescent="0.3">
      <c r="B96" s="23" t="s">
        <v>191</v>
      </c>
      <c r="C96" s="49" t="s">
        <v>90</v>
      </c>
      <c r="D96" s="49" t="s">
        <v>91</v>
      </c>
      <c r="E96" s="19" t="s">
        <v>64</v>
      </c>
      <c r="F96" s="20">
        <v>9</v>
      </c>
      <c r="G96" s="15">
        <v>0.999527070485415</v>
      </c>
    </row>
    <row r="97" spans="2:7" x14ac:dyDescent="0.3">
      <c r="B97" s="23" t="s">
        <v>191</v>
      </c>
      <c r="C97" s="49" t="s">
        <v>90</v>
      </c>
      <c r="D97" s="49" t="s">
        <v>91</v>
      </c>
      <c r="E97" s="19" t="s">
        <v>59</v>
      </c>
      <c r="F97" s="20">
        <v>8</v>
      </c>
      <c r="G97" s="15">
        <v>0.999678407930082</v>
      </c>
    </row>
    <row r="98" spans="2:7" x14ac:dyDescent="0.3">
      <c r="B98" s="23" t="s">
        <v>191</v>
      </c>
      <c r="C98" s="49" t="s">
        <v>90</v>
      </c>
      <c r="D98" s="49" t="s">
        <v>91</v>
      </c>
      <c r="E98" s="19" t="s">
        <v>63</v>
      </c>
      <c r="F98" s="20">
        <v>5</v>
      </c>
      <c r="G98" s="15">
        <v>0.999772993832999</v>
      </c>
    </row>
    <row r="99" spans="2:7" x14ac:dyDescent="0.3">
      <c r="B99" s="23" t="s">
        <v>191</v>
      </c>
      <c r="C99" s="49" t="s">
        <v>90</v>
      </c>
      <c r="D99" s="49" t="s">
        <v>91</v>
      </c>
      <c r="E99" s="19" t="s">
        <v>263</v>
      </c>
      <c r="F99" s="20">
        <v>4</v>
      </c>
      <c r="G99" s="15">
        <v>0.999848662555333</v>
      </c>
    </row>
    <row r="100" spans="2:7" x14ac:dyDescent="0.3">
      <c r="B100" s="23" t="s">
        <v>191</v>
      </c>
      <c r="C100" s="49" t="s">
        <v>90</v>
      </c>
      <c r="D100" s="49" t="s">
        <v>91</v>
      </c>
      <c r="E100" s="19" t="s">
        <v>67</v>
      </c>
      <c r="F100" s="20">
        <v>3</v>
      </c>
      <c r="G100" s="15">
        <v>0.999905414097083</v>
      </c>
    </row>
    <row r="101" spans="2:7" x14ac:dyDescent="0.3">
      <c r="B101" s="23" t="s">
        <v>191</v>
      </c>
      <c r="C101" s="49" t="s">
        <v>90</v>
      </c>
      <c r="D101" s="49" t="s">
        <v>91</v>
      </c>
      <c r="E101" s="19" t="s">
        <v>77</v>
      </c>
      <c r="F101" s="20">
        <v>2</v>
      </c>
      <c r="G101" s="15">
        <v>0.999981082819417</v>
      </c>
    </row>
    <row r="102" spans="2:7" x14ac:dyDescent="0.3">
      <c r="B102" s="23" t="s">
        <v>191</v>
      </c>
      <c r="C102" s="49" t="s">
        <v>90</v>
      </c>
      <c r="D102" s="49" t="s">
        <v>91</v>
      </c>
      <c r="E102" s="19" t="s">
        <v>89</v>
      </c>
      <c r="F102" s="20">
        <v>2</v>
      </c>
      <c r="G102" s="15">
        <v>0.999981082819417</v>
      </c>
    </row>
    <row r="103" spans="2:7" x14ac:dyDescent="0.3">
      <c r="B103" s="23" t="s">
        <v>191</v>
      </c>
      <c r="C103" s="49" t="s">
        <v>90</v>
      </c>
      <c r="D103" s="49" t="s">
        <v>91</v>
      </c>
      <c r="E103" s="19" t="s">
        <v>69</v>
      </c>
      <c r="F103" s="20">
        <v>1</v>
      </c>
      <c r="G103" s="15">
        <v>1</v>
      </c>
    </row>
    <row r="104" spans="2:7" x14ac:dyDescent="0.3">
      <c r="B104" s="23" t="s">
        <v>191</v>
      </c>
      <c r="C104" s="49" t="s">
        <v>90</v>
      </c>
      <c r="D104" s="49" t="s">
        <v>91</v>
      </c>
      <c r="E104" s="19" t="s">
        <v>73</v>
      </c>
      <c r="F104" s="20">
        <v>0</v>
      </c>
      <c r="G104" s="15">
        <v>1</v>
      </c>
    </row>
    <row r="105" spans="2:7" x14ac:dyDescent="0.3">
      <c r="B105" s="23" t="s">
        <v>191</v>
      </c>
      <c r="C105" s="49" t="s">
        <v>90</v>
      </c>
      <c r="D105" s="49" t="s">
        <v>91</v>
      </c>
      <c r="E105" s="19" t="s">
        <v>71</v>
      </c>
      <c r="F105" s="20">
        <v>0</v>
      </c>
      <c r="G105" s="15">
        <v>1</v>
      </c>
    </row>
    <row r="106" spans="2:7" x14ac:dyDescent="0.3">
      <c r="B106" s="23" t="s">
        <v>191</v>
      </c>
      <c r="C106" s="49" t="s">
        <v>90</v>
      </c>
      <c r="D106" s="49" t="s">
        <v>91</v>
      </c>
      <c r="E106" s="19" t="s">
        <v>52</v>
      </c>
      <c r="F106" s="20">
        <v>0</v>
      </c>
      <c r="G106" s="15">
        <v>1</v>
      </c>
    </row>
    <row r="107" spans="2:7" x14ac:dyDescent="0.3">
      <c r="B107" s="10" t="s">
        <v>192</v>
      </c>
      <c r="C107" s="49" t="s">
        <v>90</v>
      </c>
      <c r="D107" s="49" t="s">
        <v>91</v>
      </c>
      <c r="E107" s="23" t="s">
        <v>17</v>
      </c>
      <c r="F107" s="24">
        <v>22607</v>
      </c>
      <c r="G107" s="15">
        <v>0.394627053258156</v>
      </c>
    </row>
    <row r="108" spans="2:7" x14ac:dyDescent="0.3">
      <c r="B108" s="23" t="s">
        <v>192</v>
      </c>
      <c r="C108" s="49" t="s">
        <v>90</v>
      </c>
      <c r="D108" s="49" t="s">
        <v>91</v>
      </c>
      <c r="E108" s="23" t="s">
        <v>23</v>
      </c>
      <c r="F108" s="24">
        <v>4573</v>
      </c>
      <c r="G108" s="15">
        <v>0.474453191823625</v>
      </c>
    </row>
    <row r="109" spans="2:7" x14ac:dyDescent="0.3">
      <c r="B109" s="23" t="s">
        <v>192</v>
      </c>
      <c r="C109" s="49" t="s">
        <v>90</v>
      </c>
      <c r="D109" s="49" t="s">
        <v>91</v>
      </c>
      <c r="E109" s="23" t="s">
        <v>19</v>
      </c>
      <c r="F109" s="24">
        <v>4328</v>
      </c>
      <c r="G109" s="15">
        <v>0.55000261839509801</v>
      </c>
    </row>
    <row r="110" spans="2:7" x14ac:dyDescent="0.3">
      <c r="B110" s="23" t="s">
        <v>192</v>
      </c>
      <c r="C110" s="49" t="s">
        <v>90</v>
      </c>
      <c r="D110" s="49" t="s">
        <v>91</v>
      </c>
      <c r="E110" s="23" t="s">
        <v>18</v>
      </c>
      <c r="F110" s="24">
        <v>3475</v>
      </c>
      <c r="G110" s="15">
        <v>0.61066210484053995</v>
      </c>
    </row>
    <row r="111" spans="2:7" x14ac:dyDescent="0.3">
      <c r="B111" s="23" t="s">
        <v>192</v>
      </c>
      <c r="C111" s="49" t="s">
        <v>90</v>
      </c>
      <c r="D111" s="49" t="s">
        <v>91</v>
      </c>
      <c r="E111" s="23" t="s">
        <v>21</v>
      </c>
      <c r="F111" s="24">
        <v>3274</v>
      </c>
      <c r="G111" s="15">
        <v>0.66781294185417295</v>
      </c>
    </row>
    <row r="112" spans="2:7" x14ac:dyDescent="0.3">
      <c r="B112" s="23" t="s">
        <v>192</v>
      </c>
      <c r="C112" s="49" t="s">
        <v>90</v>
      </c>
      <c r="D112" s="49" t="s">
        <v>91</v>
      </c>
      <c r="E112" s="23" t="s">
        <v>27</v>
      </c>
      <c r="F112" s="24">
        <v>3066</v>
      </c>
      <c r="G112" s="15">
        <v>0.72133293766474105</v>
      </c>
    </row>
    <row r="113" spans="2:7" x14ac:dyDescent="0.3">
      <c r="B113" s="23" t="s">
        <v>192</v>
      </c>
      <c r="C113" s="49" t="s">
        <v>90</v>
      </c>
      <c r="D113" s="49" t="s">
        <v>91</v>
      </c>
      <c r="E113" s="23" t="s">
        <v>20</v>
      </c>
      <c r="F113" s="24">
        <v>2110</v>
      </c>
      <c r="G113" s="15">
        <v>0.75816502871506597</v>
      </c>
    </row>
    <row r="114" spans="2:7" x14ac:dyDescent="0.3">
      <c r="B114" s="23" t="s">
        <v>192</v>
      </c>
      <c r="C114" s="49" t="s">
        <v>90</v>
      </c>
      <c r="D114" s="49" t="s">
        <v>91</v>
      </c>
      <c r="E114" s="23" t="s">
        <v>28</v>
      </c>
      <c r="F114" s="24">
        <v>2072</v>
      </c>
      <c r="G114" s="15">
        <v>0.79433379300713902</v>
      </c>
    </row>
    <row r="115" spans="2:7" x14ac:dyDescent="0.3">
      <c r="B115" s="23" t="s">
        <v>192</v>
      </c>
      <c r="C115" s="49" t="s">
        <v>90</v>
      </c>
      <c r="D115" s="49" t="s">
        <v>91</v>
      </c>
      <c r="E115" s="23" t="s">
        <v>44</v>
      </c>
      <c r="F115" s="24">
        <v>1397</v>
      </c>
      <c r="G115" s="15">
        <v>0.81871977935657303</v>
      </c>
    </row>
    <row r="116" spans="2:7" x14ac:dyDescent="0.3">
      <c r="B116" s="23" t="s">
        <v>192</v>
      </c>
      <c r="C116" s="49" t="s">
        <v>90</v>
      </c>
      <c r="D116" s="49" t="s">
        <v>91</v>
      </c>
      <c r="E116" s="23" t="s">
        <v>39</v>
      </c>
      <c r="F116" s="24">
        <v>1306</v>
      </c>
      <c r="G116" s="15">
        <v>0.84151727267966603</v>
      </c>
    </row>
    <row r="117" spans="2:7" x14ac:dyDescent="0.3">
      <c r="B117" s="23" t="s">
        <v>192</v>
      </c>
      <c r="C117" s="49" t="s">
        <v>90</v>
      </c>
      <c r="D117" s="49" t="s">
        <v>91</v>
      </c>
      <c r="E117" s="23" t="s">
        <v>26</v>
      </c>
      <c r="F117" s="24">
        <v>1237</v>
      </c>
      <c r="G117" s="15">
        <v>0.86311030425751001</v>
      </c>
    </row>
    <row r="118" spans="2:7" x14ac:dyDescent="0.3">
      <c r="B118" s="23" t="s">
        <v>192</v>
      </c>
      <c r="C118" s="49" t="s">
        <v>90</v>
      </c>
      <c r="D118" s="49" t="s">
        <v>91</v>
      </c>
      <c r="E118" s="23" t="s">
        <v>55</v>
      </c>
      <c r="F118" s="24">
        <v>886</v>
      </c>
      <c r="G118" s="15">
        <v>0.878576291305183</v>
      </c>
    </row>
    <row r="119" spans="2:7" x14ac:dyDescent="0.3">
      <c r="B119" s="23" t="s">
        <v>192</v>
      </c>
      <c r="C119" s="49" t="s">
        <v>90</v>
      </c>
      <c r="D119" s="49" t="s">
        <v>91</v>
      </c>
      <c r="E119" s="23" t="s">
        <v>35</v>
      </c>
      <c r="F119" s="24">
        <v>780</v>
      </c>
      <c r="G119" s="15">
        <v>0.89219194581667705</v>
      </c>
    </row>
    <row r="120" spans="2:7" x14ac:dyDescent="0.3">
      <c r="B120" s="23" t="s">
        <v>192</v>
      </c>
      <c r="C120" s="49" t="s">
        <v>90</v>
      </c>
      <c r="D120" s="49" t="s">
        <v>91</v>
      </c>
      <c r="E120" s="23" t="s">
        <v>36</v>
      </c>
      <c r="F120" s="24">
        <v>737</v>
      </c>
      <c r="G120" s="15">
        <v>0.90505699373330795</v>
      </c>
    </row>
    <row r="121" spans="2:7" x14ac:dyDescent="0.3">
      <c r="B121" s="23" t="s">
        <v>192</v>
      </c>
      <c r="C121" s="49" t="s">
        <v>90</v>
      </c>
      <c r="D121" s="49" t="s">
        <v>91</v>
      </c>
      <c r="E121" s="23" t="s">
        <v>25</v>
      </c>
      <c r="F121" s="24">
        <v>559</v>
      </c>
      <c r="G121" s="15">
        <v>0.91481487946654605</v>
      </c>
    </row>
    <row r="122" spans="2:7" x14ac:dyDescent="0.3">
      <c r="B122" s="23" t="s">
        <v>192</v>
      </c>
      <c r="C122" s="49" t="s">
        <v>90</v>
      </c>
      <c r="D122" s="49" t="s">
        <v>91</v>
      </c>
      <c r="E122" s="23" t="s">
        <v>261</v>
      </c>
      <c r="F122" s="24">
        <v>512</v>
      </c>
      <c r="G122" s="15">
        <v>0.92375233473562901</v>
      </c>
    </row>
    <row r="123" spans="2:7" x14ac:dyDescent="0.3">
      <c r="B123" s="23" t="s">
        <v>192</v>
      </c>
      <c r="C123" s="49" t="s">
        <v>90</v>
      </c>
      <c r="D123" s="49" t="s">
        <v>91</v>
      </c>
      <c r="E123" s="23" t="s">
        <v>31</v>
      </c>
      <c r="F123" s="24">
        <v>491</v>
      </c>
      <c r="G123" s="15">
        <v>0.93232321469094204</v>
      </c>
    </row>
    <row r="124" spans="2:7" x14ac:dyDescent="0.3">
      <c r="B124" s="23" t="s">
        <v>192</v>
      </c>
      <c r="C124" s="49" t="s">
        <v>90</v>
      </c>
      <c r="D124" s="49" t="s">
        <v>91</v>
      </c>
      <c r="E124" s="23" t="s">
        <v>262</v>
      </c>
      <c r="F124" s="24">
        <v>476</v>
      </c>
      <c r="G124" s="15">
        <v>0.94063225513641802</v>
      </c>
    </row>
    <row r="125" spans="2:7" x14ac:dyDescent="0.3">
      <c r="B125" s="23" t="s">
        <v>192</v>
      </c>
      <c r="C125" s="49" t="s">
        <v>90</v>
      </c>
      <c r="D125" s="49" t="s">
        <v>91</v>
      </c>
      <c r="E125" s="23" t="s">
        <v>30</v>
      </c>
      <c r="F125" s="24">
        <v>444</v>
      </c>
      <c r="G125" s="15">
        <v>0.94838270462757701</v>
      </c>
    </row>
    <row r="126" spans="2:7" x14ac:dyDescent="0.3">
      <c r="B126" s="23" t="s">
        <v>192</v>
      </c>
      <c r="C126" s="49" t="s">
        <v>90</v>
      </c>
      <c r="D126" s="49" t="s">
        <v>91</v>
      </c>
      <c r="E126" s="23" t="s">
        <v>24</v>
      </c>
      <c r="F126" s="24">
        <v>437</v>
      </c>
      <c r="G126" s="15">
        <v>0.95601096234747895</v>
      </c>
    </row>
    <row r="127" spans="2:7" x14ac:dyDescent="0.3">
      <c r="B127" s="23" t="s">
        <v>192</v>
      </c>
      <c r="C127" s="49" t="s">
        <v>90</v>
      </c>
      <c r="D127" s="49" t="s">
        <v>91</v>
      </c>
      <c r="E127" s="23" t="s">
        <v>38</v>
      </c>
      <c r="F127" s="24">
        <v>419</v>
      </c>
      <c r="G127" s="15">
        <v>0.96332501265557602</v>
      </c>
    </row>
    <row r="128" spans="2:7" x14ac:dyDescent="0.3">
      <c r="B128" s="23" t="s">
        <v>192</v>
      </c>
      <c r="C128" s="49" t="s">
        <v>90</v>
      </c>
      <c r="D128" s="49" t="s">
        <v>91</v>
      </c>
      <c r="E128" s="23" t="s">
        <v>56</v>
      </c>
      <c r="F128" s="24">
        <v>270</v>
      </c>
      <c r="G128" s="15">
        <v>0.96803812383263199</v>
      </c>
    </row>
    <row r="129" spans="2:7" x14ac:dyDescent="0.3">
      <c r="B129" s="23" t="s">
        <v>192</v>
      </c>
      <c r="C129" s="49" t="s">
        <v>90</v>
      </c>
      <c r="D129" s="49" t="s">
        <v>91</v>
      </c>
      <c r="E129" s="23" t="s">
        <v>33</v>
      </c>
      <c r="F129" s="24">
        <v>250</v>
      </c>
      <c r="G129" s="15">
        <v>0.97240211566323997</v>
      </c>
    </row>
    <row r="130" spans="2:7" x14ac:dyDescent="0.3">
      <c r="B130" s="23" t="s">
        <v>192</v>
      </c>
      <c r="C130" s="49" t="s">
        <v>90</v>
      </c>
      <c r="D130" s="49" t="s">
        <v>91</v>
      </c>
      <c r="E130" s="23" t="s">
        <v>48</v>
      </c>
      <c r="F130" s="24">
        <v>205</v>
      </c>
      <c r="G130" s="15">
        <v>0.97598058896433704</v>
      </c>
    </row>
    <row r="131" spans="2:7" x14ac:dyDescent="0.3">
      <c r="B131" s="23" t="s">
        <v>192</v>
      </c>
      <c r="C131" s="49" t="s">
        <v>90</v>
      </c>
      <c r="D131" s="49" t="s">
        <v>91</v>
      </c>
      <c r="E131" s="23" t="s">
        <v>46</v>
      </c>
      <c r="F131" s="24">
        <v>180</v>
      </c>
      <c r="G131" s="15">
        <v>0.97912266308237506</v>
      </c>
    </row>
    <row r="132" spans="2:7" x14ac:dyDescent="0.3">
      <c r="B132" s="23" t="s">
        <v>192</v>
      </c>
      <c r="C132" s="49" t="s">
        <v>90</v>
      </c>
      <c r="D132" s="49" t="s">
        <v>91</v>
      </c>
      <c r="E132" s="23" t="s">
        <v>51</v>
      </c>
      <c r="F132" s="24">
        <v>174</v>
      </c>
      <c r="G132" s="15">
        <v>0.98216000139647697</v>
      </c>
    </row>
    <row r="133" spans="2:7" x14ac:dyDescent="0.3">
      <c r="B133" s="23" t="s">
        <v>192</v>
      </c>
      <c r="C133" s="49" t="s">
        <v>90</v>
      </c>
      <c r="D133" s="49" t="s">
        <v>91</v>
      </c>
      <c r="E133" s="23" t="s">
        <v>29</v>
      </c>
      <c r="F133" s="24">
        <v>173</v>
      </c>
      <c r="G133" s="15">
        <v>0.98517988374325804</v>
      </c>
    </row>
    <row r="134" spans="2:7" x14ac:dyDescent="0.3">
      <c r="B134" s="23" t="s">
        <v>192</v>
      </c>
      <c r="C134" s="49" t="s">
        <v>90</v>
      </c>
      <c r="D134" s="49" t="s">
        <v>91</v>
      </c>
      <c r="E134" s="23" t="s">
        <v>32</v>
      </c>
      <c r="F134" s="24">
        <v>171</v>
      </c>
      <c r="G134" s="15">
        <v>0.98816485415539301</v>
      </c>
    </row>
    <row r="135" spans="2:7" x14ac:dyDescent="0.3">
      <c r="B135" s="23" t="s">
        <v>192</v>
      </c>
      <c r="C135" s="49" t="s">
        <v>90</v>
      </c>
      <c r="D135" s="49" t="s">
        <v>91</v>
      </c>
      <c r="E135" s="23" t="s">
        <v>45</v>
      </c>
      <c r="F135" s="24">
        <v>144</v>
      </c>
      <c r="G135" s="15">
        <v>0.99067851344982305</v>
      </c>
    </row>
    <row r="136" spans="2:7" x14ac:dyDescent="0.3">
      <c r="B136" s="23" t="s">
        <v>192</v>
      </c>
      <c r="C136" s="49" t="s">
        <v>90</v>
      </c>
      <c r="D136" s="49" t="s">
        <v>91</v>
      </c>
      <c r="E136" s="23" t="s">
        <v>43</v>
      </c>
      <c r="F136" s="24">
        <v>117</v>
      </c>
      <c r="G136" s="15">
        <v>0.99272086162654705</v>
      </c>
    </row>
    <row r="137" spans="2:7" x14ac:dyDescent="0.3">
      <c r="B137" s="23" t="s">
        <v>192</v>
      </c>
      <c r="C137" s="49" t="s">
        <v>90</v>
      </c>
      <c r="D137" s="49" t="s">
        <v>91</v>
      </c>
      <c r="E137" s="23" t="s">
        <v>22</v>
      </c>
      <c r="F137" s="24">
        <v>116</v>
      </c>
      <c r="G137" s="15">
        <v>0.99474575383594899</v>
      </c>
    </row>
    <row r="138" spans="2:7" x14ac:dyDescent="0.3">
      <c r="B138" s="23" t="s">
        <v>192</v>
      </c>
      <c r="C138" s="49" t="s">
        <v>90</v>
      </c>
      <c r="D138" s="49" t="s">
        <v>91</v>
      </c>
      <c r="E138" s="23" t="s">
        <v>49</v>
      </c>
      <c r="F138" s="24">
        <v>104</v>
      </c>
      <c r="G138" s="15">
        <v>0.99656117443748105</v>
      </c>
    </row>
    <row r="139" spans="2:7" x14ac:dyDescent="0.3">
      <c r="B139" s="23" t="s">
        <v>192</v>
      </c>
      <c r="C139" s="49" t="s">
        <v>90</v>
      </c>
      <c r="D139" s="49" t="s">
        <v>91</v>
      </c>
      <c r="E139" s="23" t="s">
        <v>53</v>
      </c>
      <c r="F139" s="24">
        <v>50</v>
      </c>
      <c r="G139" s="15">
        <v>0.99743397280360302</v>
      </c>
    </row>
    <row r="140" spans="2:7" x14ac:dyDescent="0.3">
      <c r="B140" s="23" t="s">
        <v>192</v>
      </c>
      <c r="C140" s="49" t="s">
        <v>90</v>
      </c>
      <c r="D140" s="49" t="s">
        <v>91</v>
      </c>
      <c r="E140" s="23" t="s">
        <v>80</v>
      </c>
      <c r="F140" s="24">
        <v>38</v>
      </c>
      <c r="G140" s="15">
        <v>0.998097299561855</v>
      </c>
    </row>
    <row r="141" spans="2:7" x14ac:dyDescent="0.3">
      <c r="B141" s="23" t="s">
        <v>192</v>
      </c>
      <c r="C141" s="49" t="s">
        <v>90</v>
      </c>
      <c r="D141" s="49" t="s">
        <v>91</v>
      </c>
      <c r="E141" s="23" t="s">
        <v>65</v>
      </c>
      <c r="F141" s="24">
        <v>36</v>
      </c>
      <c r="G141" s="15">
        <v>0.99872571438546298</v>
      </c>
    </row>
    <row r="142" spans="2:7" x14ac:dyDescent="0.3">
      <c r="B142" s="23" t="s">
        <v>192</v>
      </c>
      <c r="C142" s="49" t="s">
        <v>90</v>
      </c>
      <c r="D142" s="49" t="s">
        <v>91</v>
      </c>
      <c r="E142" s="23" t="s">
        <v>76</v>
      </c>
      <c r="F142" s="24">
        <v>20</v>
      </c>
      <c r="G142" s="15">
        <v>0.99907483373191097</v>
      </c>
    </row>
    <row r="143" spans="2:7" x14ac:dyDescent="0.3">
      <c r="B143" s="23" t="s">
        <v>192</v>
      </c>
      <c r="C143" s="49" t="s">
        <v>90</v>
      </c>
      <c r="D143" s="49" t="s">
        <v>91</v>
      </c>
      <c r="E143" s="23" t="s">
        <v>50</v>
      </c>
      <c r="F143" s="24">
        <v>18</v>
      </c>
      <c r="G143" s="15">
        <v>0.99938904114371496</v>
      </c>
    </row>
    <row r="144" spans="2:7" x14ac:dyDescent="0.3">
      <c r="B144" s="23" t="s">
        <v>192</v>
      </c>
      <c r="C144" s="49" t="s">
        <v>90</v>
      </c>
      <c r="D144" s="49" t="s">
        <v>91</v>
      </c>
      <c r="E144" s="23" t="s">
        <v>64</v>
      </c>
      <c r="F144" s="24">
        <v>10</v>
      </c>
      <c r="G144" s="15">
        <v>0.99956360081693896</v>
      </c>
    </row>
    <row r="145" spans="2:7" x14ac:dyDescent="0.3">
      <c r="B145" s="23" t="s">
        <v>192</v>
      </c>
      <c r="C145" s="49" t="s">
        <v>90</v>
      </c>
      <c r="D145" s="49" t="s">
        <v>91</v>
      </c>
      <c r="E145" s="23" t="s">
        <v>66</v>
      </c>
      <c r="F145" s="24">
        <v>9</v>
      </c>
      <c r="G145" s="15">
        <v>0.99972070452284101</v>
      </c>
    </row>
    <row r="146" spans="2:7" x14ac:dyDescent="0.3">
      <c r="B146" s="23" t="s">
        <v>192</v>
      </c>
      <c r="C146" s="49" t="s">
        <v>90</v>
      </c>
      <c r="D146" s="49" t="s">
        <v>91</v>
      </c>
      <c r="E146" s="23" t="s">
        <v>77</v>
      </c>
      <c r="F146" s="24">
        <v>8</v>
      </c>
      <c r="G146" s="15">
        <v>0.999860352261421</v>
      </c>
    </row>
    <row r="147" spans="2:7" x14ac:dyDescent="0.3">
      <c r="B147" s="23" t="s">
        <v>192</v>
      </c>
      <c r="C147" s="49" t="s">
        <v>90</v>
      </c>
      <c r="D147" s="49" t="s">
        <v>91</v>
      </c>
      <c r="E147" s="23" t="s">
        <v>84</v>
      </c>
      <c r="F147" s="24">
        <v>3</v>
      </c>
      <c r="G147" s="15">
        <v>0.999965088065355</v>
      </c>
    </row>
    <row r="148" spans="2:7" x14ac:dyDescent="0.3">
      <c r="B148" s="23" t="s">
        <v>192</v>
      </c>
      <c r="C148" s="49" t="s">
        <v>90</v>
      </c>
      <c r="D148" s="49" t="s">
        <v>91</v>
      </c>
      <c r="E148" s="23" t="s">
        <v>263</v>
      </c>
      <c r="F148" s="24">
        <v>3</v>
      </c>
      <c r="G148" s="15">
        <v>0.999965088065355</v>
      </c>
    </row>
    <row r="149" spans="2:7" x14ac:dyDescent="0.3">
      <c r="B149" s="23" t="s">
        <v>192</v>
      </c>
      <c r="C149" s="49" t="s">
        <v>90</v>
      </c>
      <c r="D149" s="49" t="s">
        <v>91</v>
      </c>
      <c r="E149" s="23" t="s">
        <v>52</v>
      </c>
      <c r="F149" s="24">
        <v>1</v>
      </c>
      <c r="G149" s="15">
        <v>1</v>
      </c>
    </row>
    <row r="150" spans="2:7" x14ac:dyDescent="0.3">
      <c r="B150" s="23" t="s">
        <v>192</v>
      </c>
      <c r="C150" s="49" t="s">
        <v>90</v>
      </c>
      <c r="D150" s="49" t="s">
        <v>91</v>
      </c>
      <c r="E150" s="23" t="s">
        <v>67</v>
      </c>
      <c r="F150" s="24">
        <v>1</v>
      </c>
      <c r="G150" s="15">
        <v>1</v>
      </c>
    </row>
    <row r="151" spans="2:7" x14ac:dyDescent="0.3">
      <c r="B151" s="23" t="s">
        <v>192</v>
      </c>
      <c r="C151" s="49" t="s">
        <v>90</v>
      </c>
      <c r="D151" s="49" t="s">
        <v>91</v>
      </c>
      <c r="E151" s="23" t="s">
        <v>73</v>
      </c>
      <c r="F151" s="24">
        <v>0</v>
      </c>
      <c r="G151" s="15">
        <v>1</v>
      </c>
    </row>
    <row r="152" spans="2:7" x14ac:dyDescent="0.3">
      <c r="B152" s="23" t="s">
        <v>192</v>
      </c>
      <c r="C152" s="49" t="s">
        <v>90</v>
      </c>
      <c r="D152" s="49" t="s">
        <v>91</v>
      </c>
      <c r="E152" s="23" t="s">
        <v>87</v>
      </c>
      <c r="F152" s="24">
        <v>0</v>
      </c>
      <c r="G152" s="15">
        <v>1</v>
      </c>
    </row>
    <row r="153" spans="2:7" x14ac:dyDescent="0.3">
      <c r="B153" s="23" t="s">
        <v>192</v>
      </c>
      <c r="C153" s="49" t="s">
        <v>90</v>
      </c>
      <c r="D153" s="49" t="s">
        <v>91</v>
      </c>
      <c r="E153" s="23" t="s">
        <v>69</v>
      </c>
      <c r="F153" s="24">
        <v>0</v>
      </c>
      <c r="G153" s="15">
        <v>1</v>
      </c>
    </row>
    <row r="154" spans="2:7" x14ac:dyDescent="0.3">
      <c r="B154" s="23" t="s">
        <v>192</v>
      </c>
      <c r="C154" s="49" t="s">
        <v>90</v>
      </c>
      <c r="D154" s="49" t="s">
        <v>91</v>
      </c>
      <c r="E154" s="23" t="s">
        <v>72</v>
      </c>
      <c r="F154" s="24">
        <v>0</v>
      </c>
      <c r="G154" s="15">
        <v>1</v>
      </c>
    </row>
    <row r="155" spans="2:7" x14ac:dyDescent="0.3">
      <c r="B155" s="23" t="s">
        <v>192</v>
      </c>
      <c r="C155" s="49" t="s">
        <v>90</v>
      </c>
      <c r="D155" s="49" t="s">
        <v>91</v>
      </c>
      <c r="E155" s="23" t="s">
        <v>89</v>
      </c>
      <c r="F155" s="24">
        <v>0</v>
      </c>
      <c r="G155" s="15">
        <v>1</v>
      </c>
    </row>
    <row r="156" spans="2:7" x14ac:dyDescent="0.3">
      <c r="B156" s="10" t="s">
        <v>194</v>
      </c>
      <c r="C156" s="49" t="s">
        <v>90</v>
      </c>
      <c r="D156" s="49" t="s">
        <v>91</v>
      </c>
      <c r="E156" s="31" t="s">
        <v>17</v>
      </c>
      <c r="F156" s="32">
        <v>26117</v>
      </c>
      <c r="G156" s="15">
        <v>0.41787200000000002</v>
      </c>
    </row>
    <row r="157" spans="2:7" x14ac:dyDescent="0.3">
      <c r="B157" s="31" t="s">
        <v>194</v>
      </c>
      <c r="C157" s="49" t="s">
        <v>90</v>
      </c>
      <c r="D157" s="49" t="s">
        <v>91</v>
      </c>
      <c r="E157" s="31" t="s">
        <v>23</v>
      </c>
      <c r="F157" s="32">
        <v>4429</v>
      </c>
      <c r="G157" s="15">
        <v>0.488736</v>
      </c>
    </row>
    <row r="158" spans="2:7" x14ac:dyDescent="0.3">
      <c r="B158" s="31" t="s">
        <v>194</v>
      </c>
      <c r="C158" s="49" t="s">
        <v>90</v>
      </c>
      <c r="D158" s="49" t="s">
        <v>91</v>
      </c>
      <c r="E158" s="31" t="s">
        <v>21</v>
      </c>
      <c r="F158" s="32">
        <v>3991</v>
      </c>
      <c r="G158" s="15">
        <v>0.55259199999999997</v>
      </c>
    </row>
    <row r="159" spans="2:7" x14ac:dyDescent="0.3">
      <c r="B159" s="31" t="s">
        <v>194</v>
      </c>
      <c r="C159" s="49" t="s">
        <v>90</v>
      </c>
      <c r="D159" s="49" t="s">
        <v>91</v>
      </c>
      <c r="E159" s="31" t="s">
        <v>28</v>
      </c>
      <c r="F159" s="32">
        <v>3290</v>
      </c>
      <c r="G159" s="15">
        <v>0.60523199999999999</v>
      </c>
    </row>
    <row r="160" spans="2:7" x14ac:dyDescent="0.3">
      <c r="B160" s="31" t="s">
        <v>194</v>
      </c>
      <c r="C160" s="49" t="s">
        <v>90</v>
      </c>
      <c r="D160" s="49" t="s">
        <v>91</v>
      </c>
      <c r="E160" s="31" t="s">
        <v>20</v>
      </c>
      <c r="F160" s="32">
        <v>3014</v>
      </c>
      <c r="G160" s="15">
        <v>0.65345600000000004</v>
      </c>
    </row>
    <row r="161" spans="2:7" x14ac:dyDescent="0.3">
      <c r="B161" s="31" t="s">
        <v>194</v>
      </c>
      <c r="C161" s="49" t="s">
        <v>90</v>
      </c>
      <c r="D161" s="49" t="s">
        <v>91</v>
      </c>
      <c r="E161" s="31" t="s">
        <v>27</v>
      </c>
      <c r="F161" s="32">
        <v>2919</v>
      </c>
      <c r="G161" s="15">
        <v>0.70016</v>
      </c>
    </row>
    <row r="162" spans="2:7" x14ac:dyDescent="0.3">
      <c r="B162" s="31" t="s">
        <v>194</v>
      </c>
      <c r="C162" s="49" t="s">
        <v>90</v>
      </c>
      <c r="D162" s="49" t="s">
        <v>91</v>
      </c>
      <c r="E162" s="31" t="s">
        <v>18</v>
      </c>
      <c r="F162" s="32">
        <v>2886</v>
      </c>
      <c r="G162" s="15">
        <v>0.746336</v>
      </c>
    </row>
    <row r="163" spans="2:7" x14ac:dyDescent="0.3">
      <c r="B163" s="31" t="s">
        <v>194</v>
      </c>
      <c r="C163" s="49" t="s">
        <v>90</v>
      </c>
      <c r="D163" s="49" t="s">
        <v>91</v>
      </c>
      <c r="E163" s="31" t="s">
        <v>19</v>
      </c>
      <c r="F163" s="32">
        <v>2825</v>
      </c>
      <c r="G163" s="15">
        <v>0.79153600000000002</v>
      </c>
    </row>
    <row r="164" spans="2:7" x14ac:dyDescent="0.3">
      <c r="B164" s="31" t="s">
        <v>194</v>
      </c>
      <c r="C164" s="49" t="s">
        <v>90</v>
      </c>
      <c r="D164" s="49" t="s">
        <v>91</v>
      </c>
      <c r="E164" s="31" t="s">
        <v>39</v>
      </c>
      <c r="F164" s="32">
        <v>1475</v>
      </c>
      <c r="G164" s="15">
        <v>0.81513599999999997</v>
      </c>
    </row>
    <row r="165" spans="2:7" x14ac:dyDescent="0.3">
      <c r="B165" s="31" t="s">
        <v>194</v>
      </c>
      <c r="C165" s="49" t="s">
        <v>90</v>
      </c>
      <c r="D165" s="49" t="s">
        <v>91</v>
      </c>
      <c r="E165" s="31" t="s">
        <v>24</v>
      </c>
      <c r="F165" s="32">
        <v>1219</v>
      </c>
      <c r="G165" s="15">
        <v>0.83464000000000005</v>
      </c>
    </row>
    <row r="166" spans="2:7" x14ac:dyDescent="0.3">
      <c r="B166" s="31" t="s">
        <v>194</v>
      </c>
      <c r="C166" s="49" t="s">
        <v>90</v>
      </c>
      <c r="D166" s="49" t="s">
        <v>91</v>
      </c>
      <c r="E166" s="31" t="s">
        <v>26</v>
      </c>
      <c r="F166" s="32">
        <v>1157</v>
      </c>
      <c r="G166" s="15">
        <v>0.85315200000000002</v>
      </c>
    </row>
    <row r="167" spans="2:7" x14ac:dyDescent="0.3">
      <c r="B167" s="31" t="s">
        <v>194</v>
      </c>
      <c r="C167" s="49" t="s">
        <v>90</v>
      </c>
      <c r="D167" s="49" t="s">
        <v>91</v>
      </c>
      <c r="E167" s="31" t="s">
        <v>44</v>
      </c>
      <c r="F167" s="32">
        <v>989</v>
      </c>
      <c r="G167" s="15">
        <v>0.86897599999999997</v>
      </c>
    </row>
    <row r="168" spans="2:7" x14ac:dyDescent="0.3">
      <c r="B168" s="31" t="s">
        <v>194</v>
      </c>
      <c r="C168" s="49" t="s">
        <v>90</v>
      </c>
      <c r="D168" s="49" t="s">
        <v>91</v>
      </c>
      <c r="E168" s="31" t="s">
        <v>35</v>
      </c>
      <c r="F168" s="32">
        <v>964</v>
      </c>
      <c r="G168" s="15">
        <v>0.88439999999999996</v>
      </c>
    </row>
    <row r="169" spans="2:7" x14ac:dyDescent="0.3">
      <c r="B169" s="31" t="s">
        <v>194</v>
      </c>
      <c r="C169" s="49" t="s">
        <v>90</v>
      </c>
      <c r="D169" s="49" t="s">
        <v>91</v>
      </c>
      <c r="E169" s="31" t="s">
        <v>22</v>
      </c>
      <c r="F169" s="32">
        <v>880</v>
      </c>
      <c r="G169" s="15">
        <v>0.89847999999999995</v>
      </c>
    </row>
    <row r="170" spans="2:7" x14ac:dyDescent="0.3">
      <c r="B170" s="31" t="s">
        <v>194</v>
      </c>
      <c r="C170" s="49" t="s">
        <v>90</v>
      </c>
      <c r="D170" s="49" t="s">
        <v>91</v>
      </c>
      <c r="E170" s="31" t="s">
        <v>55</v>
      </c>
      <c r="F170" s="32">
        <v>830</v>
      </c>
      <c r="G170" s="15">
        <v>0.91176000000000001</v>
      </c>
    </row>
    <row r="171" spans="2:7" x14ac:dyDescent="0.3">
      <c r="B171" s="31" t="s">
        <v>194</v>
      </c>
      <c r="C171" s="49" t="s">
        <v>90</v>
      </c>
      <c r="D171" s="49" t="s">
        <v>91</v>
      </c>
      <c r="E171" s="31" t="s">
        <v>25</v>
      </c>
      <c r="F171" s="32">
        <v>666</v>
      </c>
      <c r="G171" s="15">
        <v>0.92241600000000001</v>
      </c>
    </row>
    <row r="172" spans="2:7" x14ac:dyDescent="0.3">
      <c r="B172" s="31" t="s">
        <v>194</v>
      </c>
      <c r="C172" s="49" t="s">
        <v>90</v>
      </c>
      <c r="D172" s="49" t="s">
        <v>91</v>
      </c>
      <c r="E172" s="31" t="s">
        <v>261</v>
      </c>
      <c r="F172" s="32">
        <v>583</v>
      </c>
      <c r="G172" s="15">
        <v>0.93174400000000002</v>
      </c>
    </row>
    <row r="173" spans="2:7" x14ac:dyDescent="0.3">
      <c r="B173" s="31" t="s">
        <v>194</v>
      </c>
      <c r="C173" s="49" t="s">
        <v>90</v>
      </c>
      <c r="D173" s="49" t="s">
        <v>91</v>
      </c>
      <c r="E173" s="31" t="s">
        <v>30</v>
      </c>
      <c r="F173" s="32">
        <v>503</v>
      </c>
      <c r="G173" s="15">
        <v>0.93979199999999996</v>
      </c>
    </row>
    <row r="174" spans="2:7" x14ac:dyDescent="0.3">
      <c r="B174" s="31" t="s">
        <v>194</v>
      </c>
      <c r="C174" s="49" t="s">
        <v>90</v>
      </c>
      <c r="D174" s="49" t="s">
        <v>91</v>
      </c>
      <c r="E174" s="31" t="s">
        <v>36</v>
      </c>
      <c r="F174" s="32">
        <v>402</v>
      </c>
      <c r="G174" s="15">
        <v>0.94622399999999995</v>
      </c>
    </row>
    <row r="175" spans="2:7" x14ac:dyDescent="0.3">
      <c r="B175" s="31" t="s">
        <v>194</v>
      </c>
      <c r="C175" s="49" t="s">
        <v>90</v>
      </c>
      <c r="D175" s="49" t="s">
        <v>91</v>
      </c>
      <c r="E175" s="31" t="s">
        <v>32</v>
      </c>
      <c r="F175" s="32">
        <v>372</v>
      </c>
      <c r="G175" s="15">
        <v>0.95217600000000002</v>
      </c>
    </row>
    <row r="176" spans="2:7" x14ac:dyDescent="0.3">
      <c r="B176" s="31" t="s">
        <v>194</v>
      </c>
      <c r="C176" s="49" t="s">
        <v>90</v>
      </c>
      <c r="D176" s="49" t="s">
        <v>91</v>
      </c>
      <c r="E176" s="31" t="s">
        <v>31</v>
      </c>
      <c r="F176" s="32">
        <v>367</v>
      </c>
      <c r="G176" s="15">
        <v>0.95804800000000001</v>
      </c>
    </row>
    <row r="177" spans="2:7" x14ac:dyDescent="0.3">
      <c r="B177" s="31" t="s">
        <v>194</v>
      </c>
      <c r="C177" s="49" t="s">
        <v>90</v>
      </c>
      <c r="D177" s="49" t="s">
        <v>91</v>
      </c>
      <c r="E177" s="31" t="s">
        <v>48</v>
      </c>
      <c r="F177" s="32">
        <v>362</v>
      </c>
      <c r="G177" s="15">
        <v>0.96384000000000003</v>
      </c>
    </row>
    <row r="178" spans="2:7" x14ac:dyDescent="0.3">
      <c r="B178" s="31" t="s">
        <v>194</v>
      </c>
      <c r="C178" s="49" t="s">
        <v>90</v>
      </c>
      <c r="D178" s="49" t="s">
        <v>91</v>
      </c>
      <c r="E178" s="31" t="s">
        <v>262</v>
      </c>
      <c r="F178" s="32">
        <v>352</v>
      </c>
      <c r="G178" s="15">
        <v>0.969472</v>
      </c>
    </row>
    <row r="179" spans="2:7" x14ac:dyDescent="0.3">
      <c r="B179" s="31" t="s">
        <v>194</v>
      </c>
      <c r="C179" s="49" t="s">
        <v>90</v>
      </c>
      <c r="D179" s="49" t="s">
        <v>91</v>
      </c>
      <c r="E179" s="31" t="s">
        <v>33</v>
      </c>
      <c r="F179" s="32">
        <v>287</v>
      </c>
      <c r="G179" s="15">
        <v>0.97406400000000004</v>
      </c>
    </row>
    <row r="180" spans="2:7" x14ac:dyDescent="0.3">
      <c r="B180" s="31" t="s">
        <v>194</v>
      </c>
      <c r="C180" s="49" t="s">
        <v>90</v>
      </c>
      <c r="D180" s="49" t="s">
        <v>91</v>
      </c>
      <c r="E180" s="31" t="s">
        <v>266</v>
      </c>
      <c r="F180" s="32">
        <v>209</v>
      </c>
      <c r="G180" s="15">
        <v>0.97740800000000005</v>
      </c>
    </row>
    <row r="181" spans="2:7" x14ac:dyDescent="0.3">
      <c r="B181" s="31" t="s">
        <v>194</v>
      </c>
      <c r="C181" s="49" t="s">
        <v>90</v>
      </c>
      <c r="D181" s="49" t="s">
        <v>91</v>
      </c>
      <c r="E181" s="31" t="s">
        <v>67</v>
      </c>
      <c r="F181" s="32">
        <v>192</v>
      </c>
      <c r="G181" s="15">
        <v>0.98048000000000002</v>
      </c>
    </row>
    <row r="182" spans="2:7" x14ac:dyDescent="0.3">
      <c r="B182" s="31" t="s">
        <v>194</v>
      </c>
      <c r="C182" s="49" t="s">
        <v>90</v>
      </c>
      <c r="D182" s="49" t="s">
        <v>91</v>
      </c>
      <c r="E182" s="31" t="s">
        <v>56</v>
      </c>
      <c r="F182" s="32">
        <v>188</v>
      </c>
      <c r="G182" s="15">
        <v>0.98348800000000003</v>
      </c>
    </row>
    <row r="183" spans="2:7" x14ac:dyDescent="0.3">
      <c r="B183" s="31" t="s">
        <v>194</v>
      </c>
      <c r="C183" s="49" t="s">
        <v>90</v>
      </c>
      <c r="D183" s="49" t="s">
        <v>91</v>
      </c>
      <c r="E183" s="31" t="s">
        <v>29</v>
      </c>
      <c r="F183" s="32">
        <v>181</v>
      </c>
      <c r="G183" s="15">
        <v>0.98638400000000004</v>
      </c>
    </row>
    <row r="184" spans="2:7" x14ac:dyDescent="0.3">
      <c r="B184" s="31" t="s">
        <v>194</v>
      </c>
      <c r="C184" s="49" t="s">
        <v>90</v>
      </c>
      <c r="D184" s="49" t="s">
        <v>91</v>
      </c>
      <c r="E184" s="31" t="s">
        <v>267</v>
      </c>
      <c r="F184" s="32">
        <v>155</v>
      </c>
      <c r="G184" s="15">
        <v>0.98886399999999997</v>
      </c>
    </row>
    <row r="185" spans="2:7" x14ac:dyDescent="0.3">
      <c r="B185" s="31" t="s">
        <v>194</v>
      </c>
      <c r="C185" s="49" t="s">
        <v>90</v>
      </c>
      <c r="D185" s="49" t="s">
        <v>91</v>
      </c>
      <c r="E185" s="31" t="s">
        <v>49</v>
      </c>
      <c r="F185" s="32">
        <v>148</v>
      </c>
      <c r="G185" s="15">
        <v>0.991232</v>
      </c>
    </row>
    <row r="186" spans="2:7" x14ac:dyDescent="0.3">
      <c r="B186" s="31" t="s">
        <v>194</v>
      </c>
      <c r="C186" s="49" t="s">
        <v>90</v>
      </c>
      <c r="D186" s="49" t="s">
        <v>91</v>
      </c>
      <c r="E186" s="31" t="s">
        <v>51</v>
      </c>
      <c r="F186" s="32">
        <v>122</v>
      </c>
      <c r="G186" s="15">
        <v>0.99318399999999996</v>
      </c>
    </row>
    <row r="187" spans="2:7" x14ac:dyDescent="0.3">
      <c r="B187" s="31" t="s">
        <v>194</v>
      </c>
      <c r="C187" s="49" t="s">
        <v>90</v>
      </c>
      <c r="D187" s="49" t="s">
        <v>91</v>
      </c>
      <c r="E187" s="31" t="s">
        <v>268</v>
      </c>
      <c r="F187" s="32">
        <v>82</v>
      </c>
      <c r="G187" s="15">
        <v>0.99449600000000005</v>
      </c>
    </row>
    <row r="188" spans="2:7" x14ac:dyDescent="0.3">
      <c r="B188" s="31" t="s">
        <v>194</v>
      </c>
      <c r="C188" s="49" t="s">
        <v>90</v>
      </c>
      <c r="D188" s="49" t="s">
        <v>91</v>
      </c>
      <c r="E188" s="31" t="s">
        <v>45</v>
      </c>
      <c r="F188" s="32">
        <v>50</v>
      </c>
      <c r="G188" s="15">
        <v>0.99529599999999996</v>
      </c>
    </row>
    <row r="189" spans="2:7" x14ac:dyDescent="0.3">
      <c r="B189" s="31" t="s">
        <v>194</v>
      </c>
      <c r="C189" s="49" t="s">
        <v>90</v>
      </c>
      <c r="D189" s="49" t="s">
        <v>91</v>
      </c>
      <c r="E189" s="31" t="s">
        <v>43</v>
      </c>
      <c r="F189" s="32">
        <v>49</v>
      </c>
      <c r="G189" s="15">
        <v>0.99607999999999997</v>
      </c>
    </row>
    <row r="190" spans="2:7" x14ac:dyDescent="0.3">
      <c r="B190" s="31" t="s">
        <v>194</v>
      </c>
      <c r="C190" s="49" t="s">
        <v>90</v>
      </c>
      <c r="D190" s="49" t="s">
        <v>91</v>
      </c>
      <c r="E190" s="31" t="s">
        <v>38</v>
      </c>
      <c r="F190" s="32">
        <v>45</v>
      </c>
      <c r="G190" s="15">
        <v>0.99680000000000002</v>
      </c>
    </row>
    <row r="191" spans="2:7" x14ac:dyDescent="0.3">
      <c r="B191" s="31" t="s">
        <v>194</v>
      </c>
      <c r="C191" s="49" t="s">
        <v>90</v>
      </c>
      <c r="D191" s="49" t="s">
        <v>91</v>
      </c>
      <c r="E191" s="31" t="s">
        <v>80</v>
      </c>
      <c r="F191" s="32">
        <v>40</v>
      </c>
      <c r="G191" s="15">
        <v>0.99743999999999999</v>
      </c>
    </row>
    <row r="192" spans="2:7" x14ac:dyDescent="0.3">
      <c r="B192" s="31" t="s">
        <v>194</v>
      </c>
      <c r="C192" s="49" t="s">
        <v>90</v>
      </c>
      <c r="D192" s="49" t="s">
        <v>91</v>
      </c>
      <c r="E192" s="31" t="s">
        <v>65</v>
      </c>
      <c r="F192" s="32">
        <v>25</v>
      </c>
      <c r="G192" s="15">
        <v>0.99783999999999995</v>
      </c>
    </row>
    <row r="193" spans="1:7" x14ac:dyDescent="0.3">
      <c r="B193" s="31" t="s">
        <v>194</v>
      </c>
      <c r="C193" s="49" t="s">
        <v>90</v>
      </c>
      <c r="D193" s="49" t="s">
        <v>91</v>
      </c>
      <c r="E193" s="31" t="s">
        <v>64</v>
      </c>
      <c r="F193" s="32">
        <v>21</v>
      </c>
      <c r="G193" s="15">
        <v>0.99817599999999995</v>
      </c>
    </row>
    <row r="194" spans="1:7" x14ac:dyDescent="0.3">
      <c r="B194" s="31" t="s">
        <v>194</v>
      </c>
      <c r="C194" s="49" t="s">
        <v>90</v>
      </c>
      <c r="D194" s="49" t="s">
        <v>91</v>
      </c>
      <c r="E194" s="31" t="s">
        <v>76</v>
      </c>
      <c r="F194" s="32">
        <v>20</v>
      </c>
      <c r="G194" s="15">
        <v>0.99849600000000005</v>
      </c>
    </row>
    <row r="195" spans="1:7" x14ac:dyDescent="0.3">
      <c r="B195" s="31" t="s">
        <v>194</v>
      </c>
      <c r="C195" s="49" t="s">
        <v>90</v>
      </c>
      <c r="D195" s="49" t="s">
        <v>91</v>
      </c>
      <c r="E195" s="31" t="s">
        <v>263</v>
      </c>
      <c r="F195" s="32">
        <v>18</v>
      </c>
      <c r="G195" s="15">
        <v>0.99878400000000001</v>
      </c>
    </row>
    <row r="196" spans="1:7" x14ac:dyDescent="0.3">
      <c r="B196" s="31" t="s">
        <v>194</v>
      </c>
      <c r="C196" s="49" t="s">
        <v>90</v>
      </c>
      <c r="D196" s="49" t="s">
        <v>91</v>
      </c>
      <c r="E196" s="31" t="s">
        <v>46</v>
      </c>
      <c r="F196" s="32">
        <v>16</v>
      </c>
      <c r="G196" s="15">
        <v>0.99929599999999996</v>
      </c>
    </row>
    <row r="197" spans="1:7" x14ac:dyDescent="0.3">
      <c r="B197" s="31" t="s">
        <v>194</v>
      </c>
      <c r="C197" s="49" t="s">
        <v>90</v>
      </c>
      <c r="D197" s="49" t="s">
        <v>91</v>
      </c>
      <c r="E197" s="31" t="s">
        <v>50</v>
      </c>
      <c r="F197" s="32">
        <v>16</v>
      </c>
      <c r="G197" s="15">
        <v>0.99929599999999996</v>
      </c>
    </row>
    <row r="198" spans="1:7" x14ac:dyDescent="0.3">
      <c r="B198" s="31" t="s">
        <v>194</v>
      </c>
      <c r="C198" s="49" t="s">
        <v>90</v>
      </c>
      <c r="D198" s="49" t="s">
        <v>91</v>
      </c>
      <c r="E198" s="31" t="s">
        <v>53</v>
      </c>
      <c r="F198" s="32">
        <v>15</v>
      </c>
      <c r="G198" s="15">
        <v>0.99953599999999998</v>
      </c>
    </row>
    <row r="199" spans="1:7" x14ac:dyDescent="0.3">
      <c r="B199" s="31" t="s">
        <v>194</v>
      </c>
      <c r="C199" s="49" t="s">
        <v>90</v>
      </c>
      <c r="D199" s="49" t="s">
        <v>91</v>
      </c>
      <c r="E199" s="31" t="s">
        <v>77</v>
      </c>
      <c r="F199" s="32">
        <v>11</v>
      </c>
      <c r="G199" s="15">
        <v>0.99971200000000005</v>
      </c>
    </row>
    <row r="200" spans="1:7" x14ac:dyDescent="0.3">
      <c r="B200" s="31" t="s">
        <v>194</v>
      </c>
      <c r="C200" s="49" t="s">
        <v>90</v>
      </c>
      <c r="D200" s="49" t="s">
        <v>91</v>
      </c>
      <c r="E200" s="31" t="s">
        <v>69</v>
      </c>
      <c r="F200" s="32">
        <v>8</v>
      </c>
      <c r="G200" s="15">
        <v>0.99983999999999995</v>
      </c>
    </row>
    <row r="201" spans="1:7" x14ac:dyDescent="0.3">
      <c r="B201" s="31" t="s">
        <v>194</v>
      </c>
      <c r="C201" s="49" t="s">
        <v>90</v>
      </c>
      <c r="D201" s="49" t="s">
        <v>91</v>
      </c>
      <c r="E201" s="31" t="s">
        <v>83</v>
      </c>
      <c r="F201" s="32">
        <v>7</v>
      </c>
      <c r="G201" s="15">
        <v>0.99995199999999995</v>
      </c>
    </row>
    <row r="202" spans="1:7" x14ac:dyDescent="0.3">
      <c r="B202" s="31" t="s">
        <v>194</v>
      </c>
      <c r="C202" s="49" t="s">
        <v>90</v>
      </c>
      <c r="D202" s="49" t="s">
        <v>91</v>
      </c>
      <c r="E202" s="31" t="s">
        <v>71</v>
      </c>
      <c r="F202" s="32">
        <v>3</v>
      </c>
      <c r="G202" s="15">
        <v>1</v>
      </c>
    </row>
    <row r="203" spans="1:7" x14ac:dyDescent="0.3">
      <c r="B203" s="31" t="s">
        <v>194</v>
      </c>
      <c r="C203" s="49" t="s">
        <v>90</v>
      </c>
      <c r="D203" s="49" t="s">
        <v>91</v>
      </c>
      <c r="E203" s="31" t="s">
        <v>73</v>
      </c>
      <c r="F203" s="32">
        <v>0</v>
      </c>
      <c r="G203" s="15">
        <v>1</v>
      </c>
    </row>
    <row r="204" spans="1:7" x14ac:dyDescent="0.3">
      <c r="B204" s="31" t="s">
        <v>194</v>
      </c>
      <c r="C204" s="49" t="s">
        <v>90</v>
      </c>
      <c r="D204" s="49" t="s">
        <v>91</v>
      </c>
      <c r="E204" s="31" t="s">
        <v>66</v>
      </c>
      <c r="F204" s="32">
        <v>0</v>
      </c>
      <c r="G204" s="15">
        <v>1</v>
      </c>
    </row>
    <row r="205" spans="1:7" x14ac:dyDescent="0.3">
      <c r="B205" s="31" t="s">
        <v>194</v>
      </c>
      <c r="C205" s="49" t="s">
        <v>90</v>
      </c>
      <c r="D205" s="49" t="s">
        <v>91</v>
      </c>
      <c r="E205" s="31" t="s">
        <v>52</v>
      </c>
      <c r="F205" s="32">
        <v>0</v>
      </c>
      <c r="G205" s="15">
        <v>1</v>
      </c>
    </row>
    <row r="206" spans="1:7" x14ac:dyDescent="0.3">
      <c r="B206" s="31" t="s">
        <v>194</v>
      </c>
      <c r="C206" s="49" t="s">
        <v>90</v>
      </c>
      <c r="D206" s="49" t="s">
        <v>91</v>
      </c>
      <c r="E206" s="31" t="s">
        <v>89</v>
      </c>
      <c r="F206" s="32">
        <v>0</v>
      </c>
      <c r="G206" s="15">
        <v>1</v>
      </c>
    </row>
    <row r="207" spans="1:7" x14ac:dyDescent="0.3">
      <c r="B207" s="10" t="s">
        <v>202</v>
      </c>
      <c r="C207" s="49" t="s">
        <v>90</v>
      </c>
      <c r="D207" s="49" t="s">
        <v>91</v>
      </c>
      <c r="E207" s="33" t="s">
        <v>17</v>
      </c>
      <c r="F207" s="34">
        <v>28616</v>
      </c>
      <c r="G207" s="15">
        <v>0.37580437580437598</v>
      </c>
    </row>
    <row r="208" spans="1:7" x14ac:dyDescent="0.3">
      <c r="A208" s="31"/>
      <c r="B208" s="33" t="s">
        <v>202</v>
      </c>
      <c r="C208" s="49" t="s">
        <v>90</v>
      </c>
      <c r="D208" s="49" t="s">
        <v>91</v>
      </c>
      <c r="E208" s="33" t="s">
        <v>23</v>
      </c>
      <c r="F208" s="34">
        <v>9425</v>
      </c>
      <c r="G208" s="15">
        <v>0.499579754681795</v>
      </c>
    </row>
    <row r="209" spans="1:7" x14ac:dyDescent="0.3">
      <c r="A209" s="31"/>
      <c r="B209" s="33" t="s">
        <v>202</v>
      </c>
      <c r="C209" s="49" t="s">
        <v>90</v>
      </c>
      <c r="D209" s="49" t="s">
        <v>91</v>
      </c>
      <c r="E209" s="33" t="s">
        <v>18</v>
      </c>
      <c r="F209" s="34">
        <v>5027</v>
      </c>
      <c r="G209" s="15">
        <v>0.56559766763848396</v>
      </c>
    </row>
    <row r="210" spans="1:7" x14ac:dyDescent="0.3">
      <c r="A210" s="31"/>
      <c r="B210" s="33" t="s">
        <v>202</v>
      </c>
      <c r="C210" s="49" t="s">
        <v>90</v>
      </c>
      <c r="D210" s="49" t="s">
        <v>91</v>
      </c>
      <c r="E210" s="33" t="s">
        <v>28</v>
      </c>
      <c r="F210" s="34">
        <v>4846</v>
      </c>
      <c r="G210" s="15">
        <v>0.62923856801407796</v>
      </c>
    </row>
    <row r="211" spans="1:7" x14ac:dyDescent="0.3">
      <c r="A211" s="31"/>
      <c r="B211" s="33" t="s">
        <v>202</v>
      </c>
      <c r="C211" s="49" t="s">
        <v>90</v>
      </c>
      <c r="D211" s="49" t="s">
        <v>91</v>
      </c>
      <c r="E211" s="33" t="s">
        <v>24</v>
      </c>
      <c r="F211" s="34">
        <v>3811</v>
      </c>
      <c r="G211" s="15">
        <v>0.67928715887899604</v>
      </c>
    </row>
    <row r="212" spans="1:7" x14ac:dyDescent="0.3">
      <c r="A212" s="31"/>
      <c r="B212" s="33" t="s">
        <v>202</v>
      </c>
      <c r="C212" s="49" t="s">
        <v>90</v>
      </c>
      <c r="D212" s="49" t="s">
        <v>91</v>
      </c>
      <c r="E212" s="33" t="s">
        <v>21</v>
      </c>
      <c r="F212" s="34">
        <v>3505</v>
      </c>
      <c r="G212" s="15">
        <v>0.72531715388858198</v>
      </c>
    </row>
    <row r="213" spans="1:7" x14ac:dyDescent="0.3">
      <c r="A213" s="31"/>
      <c r="B213" s="33" t="s">
        <v>202</v>
      </c>
      <c r="C213" s="49" t="s">
        <v>90</v>
      </c>
      <c r="D213" s="49" t="s">
        <v>91</v>
      </c>
      <c r="E213" s="33" t="s">
        <v>19</v>
      </c>
      <c r="F213" s="34">
        <v>3120</v>
      </c>
      <c r="G213" s="15">
        <v>0.76629107241352101</v>
      </c>
    </row>
    <row r="214" spans="1:7" x14ac:dyDescent="0.3">
      <c r="A214" s="31"/>
      <c r="B214" s="33" t="s">
        <v>202</v>
      </c>
      <c r="C214" s="49" t="s">
        <v>90</v>
      </c>
      <c r="D214" s="49" t="s">
        <v>91</v>
      </c>
      <c r="E214" s="33" t="s">
        <v>20</v>
      </c>
      <c r="F214" s="34">
        <v>3090</v>
      </c>
      <c r="G214" s="15">
        <v>0.80687101095264402</v>
      </c>
    </row>
    <row r="215" spans="1:7" x14ac:dyDescent="0.3">
      <c r="A215" s="31"/>
      <c r="B215" s="33" t="s">
        <v>202</v>
      </c>
      <c r="C215" s="49" t="s">
        <v>90</v>
      </c>
      <c r="D215" s="49" t="s">
        <v>91</v>
      </c>
      <c r="E215" s="33" t="s">
        <v>27</v>
      </c>
      <c r="F215" s="34">
        <v>2836</v>
      </c>
      <c r="G215" s="15">
        <v>0.84411525227851802</v>
      </c>
    </row>
    <row r="216" spans="1:7" x14ac:dyDescent="0.3">
      <c r="A216" s="31"/>
      <c r="B216" s="33" t="s">
        <v>202</v>
      </c>
      <c r="C216" s="49" t="s">
        <v>90</v>
      </c>
      <c r="D216" s="49" t="s">
        <v>91</v>
      </c>
      <c r="E216" s="33" t="s">
        <v>35</v>
      </c>
      <c r="F216" s="34">
        <v>1887</v>
      </c>
      <c r="G216" s="15">
        <v>0.86889659338638903</v>
      </c>
    </row>
    <row r="217" spans="1:7" x14ac:dyDescent="0.3">
      <c r="A217" s="31"/>
      <c r="B217" s="33" t="s">
        <v>202</v>
      </c>
      <c r="C217" s="49" t="s">
        <v>90</v>
      </c>
      <c r="D217" s="49" t="s">
        <v>91</v>
      </c>
      <c r="E217" s="33" t="s">
        <v>26</v>
      </c>
      <c r="F217" s="34">
        <v>1298</v>
      </c>
      <c r="G217" s="15">
        <v>0.88594279410605903</v>
      </c>
    </row>
    <row r="218" spans="1:7" x14ac:dyDescent="0.3">
      <c r="A218" s="31"/>
      <c r="B218" s="33" t="s">
        <v>202</v>
      </c>
      <c r="C218" s="49" t="s">
        <v>90</v>
      </c>
      <c r="D218" s="49" t="s">
        <v>91</v>
      </c>
      <c r="E218" s="33" t="s">
        <v>39</v>
      </c>
      <c r="F218" s="34">
        <v>985</v>
      </c>
      <c r="G218" s="15">
        <v>0.89887847030704204</v>
      </c>
    </row>
    <row r="219" spans="1:7" x14ac:dyDescent="0.3">
      <c r="A219" s="31"/>
      <c r="B219" s="33" t="s">
        <v>202</v>
      </c>
      <c r="C219" s="49" t="s">
        <v>90</v>
      </c>
      <c r="D219" s="49" t="s">
        <v>91</v>
      </c>
      <c r="E219" s="33" t="s">
        <v>44</v>
      </c>
      <c r="F219" s="34">
        <v>930</v>
      </c>
      <c r="G219" s="15">
        <v>0.91109184986736003</v>
      </c>
    </row>
    <row r="220" spans="1:7" x14ac:dyDescent="0.3">
      <c r="A220" s="31"/>
      <c r="B220" s="33" t="s">
        <v>202</v>
      </c>
      <c r="C220" s="49" t="s">
        <v>90</v>
      </c>
      <c r="D220" s="49" t="s">
        <v>91</v>
      </c>
      <c r="E220" s="33" t="s">
        <v>22</v>
      </c>
      <c r="F220" s="34">
        <v>847</v>
      </c>
      <c r="G220" s="15">
        <v>0.92221521813358598</v>
      </c>
    </row>
    <row r="221" spans="1:7" x14ac:dyDescent="0.3">
      <c r="A221" s="31"/>
      <c r="B221" s="33" t="s">
        <v>202</v>
      </c>
      <c r="C221" s="49" t="s">
        <v>90</v>
      </c>
      <c r="D221" s="49" t="s">
        <v>91</v>
      </c>
      <c r="E221" s="33" t="s">
        <v>36</v>
      </c>
      <c r="F221" s="34">
        <v>719</v>
      </c>
      <c r="G221" s="15">
        <v>0.93165760512699303</v>
      </c>
    </row>
    <row r="222" spans="1:7" x14ac:dyDescent="0.3">
      <c r="A222" s="31"/>
      <c r="B222" s="33" t="s">
        <v>202</v>
      </c>
      <c r="C222" s="49" t="s">
        <v>90</v>
      </c>
      <c r="D222" s="49" t="s">
        <v>91</v>
      </c>
      <c r="E222" s="33" t="s">
        <v>25</v>
      </c>
      <c r="F222" s="34">
        <v>716</v>
      </c>
      <c r="G222" s="15">
        <v>0.94106059412181897</v>
      </c>
    </row>
    <row r="223" spans="1:7" x14ac:dyDescent="0.3">
      <c r="A223" s="31"/>
      <c r="B223" s="33" t="s">
        <v>202</v>
      </c>
      <c r="C223" s="49" t="s">
        <v>90</v>
      </c>
      <c r="D223" s="49" t="s">
        <v>91</v>
      </c>
      <c r="E223" s="33" t="s">
        <v>29</v>
      </c>
      <c r="F223" s="34">
        <v>528</v>
      </c>
      <c r="G223" s="15">
        <v>0.94799464187219296</v>
      </c>
    </row>
    <row r="224" spans="1:7" x14ac:dyDescent="0.3">
      <c r="A224" s="31"/>
      <c r="B224" s="33" t="s">
        <v>202</v>
      </c>
      <c r="C224" s="49" t="s">
        <v>90</v>
      </c>
      <c r="D224" s="49" t="s">
        <v>91</v>
      </c>
      <c r="E224" s="33" t="s">
        <v>261</v>
      </c>
      <c r="F224" s="34">
        <v>474</v>
      </c>
      <c r="G224" s="15">
        <v>0.95421952564809698</v>
      </c>
    </row>
    <row r="225" spans="1:7" x14ac:dyDescent="0.3">
      <c r="A225" s="31"/>
      <c r="B225" s="33" t="s">
        <v>202</v>
      </c>
      <c r="C225" s="49" t="s">
        <v>90</v>
      </c>
      <c r="D225" s="49" t="s">
        <v>91</v>
      </c>
      <c r="E225" s="33" t="s">
        <v>30</v>
      </c>
      <c r="F225" s="34">
        <v>464</v>
      </c>
      <c r="G225" s="15">
        <v>0.96031308276206195</v>
      </c>
    </row>
    <row r="226" spans="1:7" x14ac:dyDescent="0.3">
      <c r="A226" s="31"/>
      <c r="B226" s="33" t="s">
        <v>202</v>
      </c>
      <c r="C226" s="49" t="s">
        <v>90</v>
      </c>
      <c r="D226" s="49" t="s">
        <v>91</v>
      </c>
      <c r="E226" s="33" t="s">
        <v>33</v>
      </c>
      <c r="F226" s="34">
        <v>398</v>
      </c>
      <c r="G226" s="15">
        <v>0.965539883907231</v>
      </c>
    </row>
    <row r="227" spans="1:7" x14ac:dyDescent="0.3">
      <c r="A227" s="31"/>
      <c r="B227" s="33" t="s">
        <v>202</v>
      </c>
      <c r="C227" s="49" t="s">
        <v>90</v>
      </c>
      <c r="D227" s="49" t="s">
        <v>91</v>
      </c>
      <c r="E227" s="33" t="s">
        <v>262</v>
      </c>
      <c r="F227" s="34">
        <v>380</v>
      </c>
      <c r="G227" s="15">
        <v>0.97053029706090899</v>
      </c>
    </row>
    <row r="228" spans="1:7" x14ac:dyDescent="0.3">
      <c r="A228" s="31"/>
      <c r="B228" s="33" t="s">
        <v>202</v>
      </c>
      <c r="C228" s="49" t="s">
        <v>90</v>
      </c>
      <c r="D228" s="49" t="s">
        <v>91</v>
      </c>
      <c r="E228" s="33" t="s">
        <v>32</v>
      </c>
      <c r="F228" s="34">
        <v>336</v>
      </c>
      <c r="G228" s="15">
        <v>0.97935544874320402</v>
      </c>
    </row>
    <row r="229" spans="1:7" x14ac:dyDescent="0.3">
      <c r="A229" s="31"/>
      <c r="B229" s="33" t="s">
        <v>202</v>
      </c>
      <c r="C229" s="49" t="s">
        <v>90</v>
      </c>
      <c r="D229" s="49" t="s">
        <v>91</v>
      </c>
      <c r="E229" s="33" t="s">
        <v>31</v>
      </c>
      <c r="F229" s="34">
        <v>336</v>
      </c>
      <c r="G229" s="15">
        <v>0.97935544874320402</v>
      </c>
    </row>
    <row r="230" spans="1:7" x14ac:dyDescent="0.3">
      <c r="A230" s="31"/>
      <c r="B230" s="33" t="s">
        <v>202</v>
      </c>
      <c r="C230" s="49" t="s">
        <v>90</v>
      </c>
      <c r="D230" s="49" t="s">
        <v>91</v>
      </c>
      <c r="E230" s="33" t="s">
        <v>48</v>
      </c>
      <c r="F230" s="34">
        <v>321</v>
      </c>
      <c r="G230" s="15">
        <v>0.98357103459144302</v>
      </c>
    </row>
    <row r="231" spans="1:7" x14ac:dyDescent="0.3">
      <c r="A231" s="31"/>
      <c r="B231" s="33" t="s">
        <v>202</v>
      </c>
      <c r="C231" s="49" t="s">
        <v>90</v>
      </c>
      <c r="D231" s="49" t="s">
        <v>91</v>
      </c>
      <c r="E231" s="33" t="s">
        <v>45</v>
      </c>
      <c r="F231" s="34">
        <v>250</v>
      </c>
      <c r="G231" s="15">
        <v>0.98685420113991495</v>
      </c>
    </row>
    <row r="232" spans="1:7" x14ac:dyDescent="0.3">
      <c r="A232" s="31"/>
      <c r="B232" s="33" t="s">
        <v>202</v>
      </c>
      <c r="C232" s="49" t="s">
        <v>90</v>
      </c>
      <c r="D232" s="49" t="s">
        <v>91</v>
      </c>
      <c r="E232" s="33" t="s">
        <v>56</v>
      </c>
      <c r="F232" s="34">
        <v>231</v>
      </c>
      <c r="G232" s="15">
        <v>0.98988784703070398</v>
      </c>
    </row>
    <row r="233" spans="1:7" x14ac:dyDescent="0.3">
      <c r="A233" s="31"/>
      <c r="B233" s="33" t="s">
        <v>202</v>
      </c>
      <c r="C233" s="49" t="s">
        <v>90</v>
      </c>
      <c r="D233" s="49" t="s">
        <v>91</v>
      </c>
      <c r="E233" s="33" t="s">
        <v>49</v>
      </c>
      <c r="F233" s="34">
        <v>174</v>
      </c>
      <c r="G233" s="15">
        <v>0.99217293094844095</v>
      </c>
    </row>
    <row r="234" spans="1:7" x14ac:dyDescent="0.3">
      <c r="A234" s="31"/>
      <c r="B234" s="33" t="s">
        <v>202</v>
      </c>
      <c r="C234" s="49" t="s">
        <v>90</v>
      </c>
      <c r="D234" s="49" t="s">
        <v>91</v>
      </c>
      <c r="E234" s="33" t="s">
        <v>43</v>
      </c>
      <c r="F234" s="34">
        <v>129</v>
      </c>
      <c r="G234" s="15">
        <v>0.99386704488745303</v>
      </c>
    </row>
    <row r="235" spans="1:7" x14ac:dyDescent="0.3">
      <c r="A235" s="31"/>
      <c r="B235" s="33" t="s">
        <v>202</v>
      </c>
      <c r="C235" s="49" t="s">
        <v>90</v>
      </c>
      <c r="D235" s="49" t="s">
        <v>91</v>
      </c>
      <c r="E235" s="33" t="s">
        <v>51</v>
      </c>
      <c r="F235" s="34">
        <v>106</v>
      </c>
      <c r="G235" s="15">
        <v>0.99525910750400504</v>
      </c>
    </row>
    <row r="236" spans="1:7" x14ac:dyDescent="0.3">
      <c r="A236" s="31"/>
      <c r="B236" s="33" t="s">
        <v>202</v>
      </c>
      <c r="C236" s="49" t="s">
        <v>90</v>
      </c>
      <c r="D236" s="49" t="s">
        <v>91</v>
      </c>
      <c r="E236" s="33" t="s">
        <v>80</v>
      </c>
      <c r="F236" s="34">
        <v>98</v>
      </c>
      <c r="G236" s="15">
        <v>0.99654610879100702</v>
      </c>
    </row>
    <row r="237" spans="1:7" x14ac:dyDescent="0.3">
      <c r="A237" s="31"/>
      <c r="B237" s="33" t="s">
        <v>202</v>
      </c>
      <c r="C237" s="49" t="s">
        <v>90</v>
      </c>
      <c r="D237" s="49" t="s">
        <v>91</v>
      </c>
      <c r="E237" s="33" t="s">
        <v>38</v>
      </c>
      <c r="F237" s="34">
        <v>52</v>
      </c>
      <c r="G237" s="15">
        <v>0.99722900743308895</v>
      </c>
    </row>
    <row r="238" spans="1:7" x14ac:dyDescent="0.3">
      <c r="A238" s="31"/>
      <c r="B238" s="33" t="s">
        <v>202</v>
      </c>
      <c r="C238" s="49" t="s">
        <v>90</v>
      </c>
      <c r="D238" s="49" t="s">
        <v>91</v>
      </c>
      <c r="E238" s="33" t="s">
        <v>46</v>
      </c>
      <c r="F238" s="34">
        <v>51</v>
      </c>
      <c r="G238" s="15">
        <v>0.99789877340897704</v>
      </c>
    </row>
    <row r="239" spans="1:7" x14ac:dyDescent="0.3">
      <c r="A239" s="31"/>
      <c r="B239" s="33" t="s">
        <v>202</v>
      </c>
      <c r="C239" s="49" t="s">
        <v>90</v>
      </c>
      <c r="D239" s="49" t="s">
        <v>91</v>
      </c>
      <c r="E239" s="33" t="s">
        <v>65</v>
      </c>
      <c r="F239" s="34">
        <v>42</v>
      </c>
      <c r="G239" s="15">
        <v>0.99845034538912103</v>
      </c>
    </row>
    <row r="240" spans="1:7" x14ac:dyDescent="0.3">
      <c r="A240" s="31"/>
      <c r="B240" s="33" t="s">
        <v>202</v>
      </c>
      <c r="C240" s="49" t="s">
        <v>90</v>
      </c>
      <c r="D240" s="49" t="s">
        <v>91</v>
      </c>
      <c r="E240" s="33" t="s">
        <v>64</v>
      </c>
      <c r="F240" s="34">
        <v>28</v>
      </c>
      <c r="G240" s="15">
        <v>0.99918577469597902</v>
      </c>
    </row>
    <row r="241" spans="1:7" x14ac:dyDescent="0.3">
      <c r="A241" s="31"/>
      <c r="B241" s="33" t="s">
        <v>202</v>
      </c>
      <c r="C241" s="49" t="s">
        <v>90</v>
      </c>
      <c r="D241" s="49" t="s">
        <v>91</v>
      </c>
      <c r="E241" s="33" t="s">
        <v>76</v>
      </c>
      <c r="F241" s="34">
        <v>28</v>
      </c>
      <c r="G241" s="15">
        <v>0.99918577469597902</v>
      </c>
    </row>
    <row r="242" spans="1:7" x14ac:dyDescent="0.3">
      <c r="A242" s="31"/>
      <c r="B242" s="33" t="s">
        <v>202</v>
      </c>
      <c r="C242" s="49" t="s">
        <v>90</v>
      </c>
      <c r="D242" s="49" t="s">
        <v>91</v>
      </c>
      <c r="E242" s="33" t="s">
        <v>55</v>
      </c>
      <c r="F242" s="34">
        <v>17</v>
      </c>
      <c r="G242" s="15">
        <v>0.99940903002127501</v>
      </c>
    </row>
    <row r="243" spans="1:7" x14ac:dyDescent="0.3">
      <c r="A243" s="31"/>
      <c r="B243" s="33" t="s">
        <v>202</v>
      </c>
      <c r="C243" s="49" t="s">
        <v>90</v>
      </c>
      <c r="D243" s="49" t="s">
        <v>91</v>
      </c>
      <c r="E243" s="33" t="s">
        <v>52</v>
      </c>
      <c r="F243" s="34">
        <v>13</v>
      </c>
      <c r="G243" s="15">
        <v>0.99957975468179505</v>
      </c>
    </row>
    <row r="244" spans="1:7" x14ac:dyDescent="0.3">
      <c r="A244" s="31"/>
      <c r="B244" s="33" t="s">
        <v>202</v>
      </c>
      <c r="C244" s="49" t="s">
        <v>90</v>
      </c>
      <c r="D244" s="49" t="s">
        <v>91</v>
      </c>
      <c r="E244" s="33" t="s">
        <v>50</v>
      </c>
      <c r="F244" s="34">
        <v>10</v>
      </c>
      <c r="G244" s="15">
        <v>0.99971108134373399</v>
      </c>
    </row>
    <row r="245" spans="1:7" x14ac:dyDescent="0.3">
      <c r="A245" s="31"/>
      <c r="B245" s="33" t="s">
        <v>202</v>
      </c>
      <c r="C245" s="49" t="s">
        <v>90</v>
      </c>
      <c r="D245" s="49" t="s">
        <v>91</v>
      </c>
      <c r="E245" s="33" t="s">
        <v>71</v>
      </c>
      <c r="F245" s="34">
        <v>5</v>
      </c>
      <c r="G245" s="15">
        <v>0.99977674467470401</v>
      </c>
    </row>
    <row r="246" spans="1:7" x14ac:dyDescent="0.3">
      <c r="A246" s="31"/>
      <c r="B246" s="33" t="s">
        <v>202</v>
      </c>
      <c r="C246" s="49" t="s">
        <v>90</v>
      </c>
      <c r="D246" s="49" t="s">
        <v>91</v>
      </c>
      <c r="E246" s="33" t="s">
        <v>77</v>
      </c>
      <c r="F246" s="34">
        <v>4</v>
      </c>
      <c r="G246" s="15">
        <v>0.99988180600425502</v>
      </c>
    </row>
    <row r="247" spans="1:7" x14ac:dyDescent="0.3">
      <c r="A247" s="31"/>
      <c r="B247" s="33" t="s">
        <v>202</v>
      </c>
      <c r="C247" s="49" t="s">
        <v>90</v>
      </c>
      <c r="D247" s="49" t="s">
        <v>91</v>
      </c>
      <c r="E247" s="33" t="s">
        <v>53</v>
      </c>
      <c r="F247" s="34">
        <v>4</v>
      </c>
      <c r="G247" s="15">
        <v>0.99988180600425502</v>
      </c>
    </row>
    <row r="248" spans="1:7" x14ac:dyDescent="0.3">
      <c r="A248" s="31"/>
      <c r="B248" s="33" t="s">
        <v>202</v>
      </c>
      <c r="C248" s="49" t="s">
        <v>90</v>
      </c>
      <c r="D248" s="49" t="s">
        <v>91</v>
      </c>
      <c r="E248" s="33" t="s">
        <v>84</v>
      </c>
      <c r="F248" s="34">
        <v>3</v>
      </c>
      <c r="G248" s="15">
        <v>0.99992120400283702</v>
      </c>
    </row>
    <row r="249" spans="1:7" x14ac:dyDescent="0.3">
      <c r="A249" s="31"/>
      <c r="B249" s="33" t="s">
        <v>202</v>
      </c>
      <c r="C249" s="49" t="s">
        <v>90</v>
      </c>
      <c r="D249" s="49" t="s">
        <v>91</v>
      </c>
      <c r="E249" s="33" t="s">
        <v>74</v>
      </c>
      <c r="F249" s="34">
        <v>2</v>
      </c>
      <c r="G249" s="15">
        <v>0.99997373466761197</v>
      </c>
    </row>
    <row r="250" spans="1:7" x14ac:dyDescent="0.3">
      <c r="A250" s="31"/>
      <c r="B250" s="33" t="s">
        <v>202</v>
      </c>
      <c r="C250" s="49" t="s">
        <v>90</v>
      </c>
      <c r="D250" s="49" t="s">
        <v>91</v>
      </c>
      <c r="E250" s="33" t="s">
        <v>58</v>
      </c>
      <c r="F250" s="34">
        <v>2</v>
      </c>
      <c r="G250" s="15">
        <v>0.99997373466761197</v>
      </c>
    </row>
    <row r="251" spans="1:7" x14ac:dyDescent="0.3">
      <c r="A251" s="31"/>
      <c r="B251" s="33" t="s">
        <v>202</v>
      </c>
      <c r="C251" s="49" t="s">
        <v>90</v>
      </c>
      <c r="D251" s="49" t="s">
        <v>91</v>
      </c>
      <c r="E251" s="33" t="s">
        <v>87</v>
      </c>
      <c r="F251" s="34">
        <v>1</v>
      </c>
      <c r="G251" s="15">
        <v>1</v>
      </c>
    </row>
    <row r="252" spans="1:7" x14ac:dyDescent="0.3">
      <c r="A252" s="31"/>
      <c r="B252" s="33" t="s">
        <v>202</v>
      </c>
      <c r="C252" s="49" t="s">
        <v>90</v>
      </c>
      <c r="D252" s="49" t="s">
        <v>91</v>
      </c>
      <c r="E252" s="33" t="s">
        <v>69</v>
      </c>
      <c r="F252" s="34">
        <v>1</v>
      </c>
      <c r="G252" s="15">
        <v>1</v>
      </c>
    </row>
    <row r="253" spans="1:7" x14ac:dyDescent="0.3">
      <c r="A253" s="31"/>
      <c r="B253" s="33" t="s">
        <v>202</v>
      </c>
      <c r="C253" s="49" t="s">
        <v>90</v>
      </c>
      <c r="D253" s="49" t="s">
        <v>91</v>
      </c>
      <c r="E253" s="33" t="s">
        <v>73</v>
      </c>
      <c r="F253" s="34">
        <v>0</v>
      </c>
      <c r="G253" s="15">
        <v>1</v>
      </c>
    </row>
    <row r="254" spans="1:7" x14ac:dyDescent="0.3">
      <c r="A254" s="31"/>
      <c r="B254" s="33" t="s">
        <v>202</v>
      </c>
      <c r="C254" s="49" t="s">
        <v>90</v>
      </c>
      <c r="D254" s="49" t="s">
        <v>91</v>
      </c>
      <c r="E254" s="33" t="s">
        <v>83</v>
      </c>
      <c r="F254" s="34">
        <v>0</v>
      </c>
      <c r="G254" s="15">
        <v>1</v>
      </c>
    </row>
    <row r="255" spans="1:7" x14ac:dyDescent="0.3">
      <c r="A255" s="31"/>
      <c r="B255" s="33" t="s">
        <v>202</v>
      </c>
      <c r="C255" s="49" t="s">
        <v>90</v>
      </c>
      <c r="D255" s="49" t="s">
        <v>91</v>
      </c>
      <c r="E255" s="33" t="s">
        <v>72</v>
      </c>
      <c r="F255" s="34">
        <v>0</v>
      </c>
      <c r="G255" s="15">
        <v>1</v>
      </c>
    </row>
    <row r="256" spans="1:7" x14ac:dyDescent="0.3">
      <c r="A256" s="31"/>
      <c r="B256" s="33" t="s">
        <v>202</v>
      </c>
      <c r="C256" s="49" t="s">
        <v>90</v>
      </c>
      <c r="D256" s="49" t="s">
        <v>91</v>
      </c>
      <c r="E256" s="33" t="s">
        <v>266</v>
      </c>
      <c r="F256" s="34">
        <v>0</v>
      </c>
      <c r="G256" s="15">
        <v>1</v>
      </c>
    </row>
    <row r="257" spans="1:7" x14ac:dyDescent="0.3">
      <c r="A257" s="31"/>
      <c r="B257" s="33" t="s">
        <v>202</v>
      </c>
      <c r="C257" s="49" t="s">
        <v>90</v>
      </c>
      <c r="D257" s="49" t="s">
        <v>91</v>
      </c>
      <c r="E257" s="33" t="s">
        <v>89</v>
      </c>
      <c r="F257" s="34">
        <v>0</v>
      </c>
      <c r="G257" s="15">
        <v>1</v>
      </c>
    </row>
    <row r="258" spans="1:7" x14ac:dyDescent="0.3">
      <c r="A258" s="31"/>
      <c r="B258" s="33" t="s">
        <v>202</v>
      </c>
      <c r="C258" s="49" t="s">
        <v>90</v>
      </c>
      <c r="D258" s="49" t="s">
        <v>91</v>
      </c>
      <c r="E258" s="33" t="s">
        <v>263</v>
      </c>
      <c r="F258" s="34">
        <v>0</v>
      </c>
      <c r="G258" s="15">
        <v>1</v>
      </c>
    </row>
    <row r="259" spans="1:7" x14ac:dyDescent="0.3">
      <c r="B259" s="10" t="s">
        <v>203</v>
      </c>
      <c r="C259" s="49" t="s">
        <v>90</v>
      </c>
      <c r="D259" s="49" t="s">
        <v>91</v>
      </c>
      <c r="E259" s="40" t="s">
        <v>17</v>
      </c>
      <c r="F259" s="41">
        <v>26538</v>
      </c>
      <c r="G259" s="15">
        <v>0.28778086232324102</v>
      </c>
    </row>
    <row r="260" spans="1:7" x14ac:dyDescent="0.3">
      <c r="B260" s="40" t="s">
        <v>203</v>
      </c>
      <c r="C260" s="49" t="s">
        <v>90</v>
      </c>
      <c r="D260" s="49" t="s">
        <v>91</v>
      </c>
      <c r="E260" s="40" t="s">
        <v>23</v>
      </c>
      <c r="F260" s="41">
        <v>22563</v>
      </c>
      <c r="G260" s="15">
        <v>0.53245640669731897</v>
      </c>
    </row>
    <row r="261" spans="1:7" x14ac:dyDescent="0.3">
      <c r="B261" s="40" t="s">
        <v>203</v>
      </c>
      <c r="C261" s="49" t="s">
        <v>90</v>
      </c>
      <c r="D261" s="49" t="s">
        <v>91</v>
      </c>
      <c r="E261" s="40" t="s">
        <v>28</v>
      </c>
      <c r="F261" s="41">
        <v>6894</v>
      </c>
      <c r="G261" s="15">
        <v>0.60721566756311296</v>
      </c>
    </row>
    <row r="262" spans="1:7" x14ac:dyDescent="0.3">
      <c r="B262" s="40" t="s">
        <v>203</v>
      </c>
      <c r="C262" s="49" t="s">
        <v>90</v>
      </c>
      <c r="D262" s="49" t="s">
        <v>91</v>
      </c>
      <c r="E262" s="40" t="s">
        <v>18</v>
      </c>
      <c r="F262" s="41">
        <v>4586</v>
      </c>
      <c r="G262" s="15">
        <v>0.65694673375553003</v>
      </c>
    </row>
    <row r="263" spans="1:7" x14ac:dyDescent="0.3">
      <c r="B263" s="40" t="s">
        <v>203</v>
      </c>
      <c r="C263" s="49" t="s">
        <v>90</v>
      </c>
      <c r="D263" s="49" t="s">
        <v>91</v>
      </c>
      <c r="E263" s="40" t="s">
        <v>20</v>
      </c>
      <c r="F263" s="41">
        <v>4444</v>
      </c>
      <c r="G263" s="15">
        <v>0.70513793701743699</v>
      </c>
    </row>
    <row r="264" spans="1:7" x14ac:dyDescent="0.3">
      <c r="B264" s="40" t="s">
        <v>203</v>
      </c>
      <c r="C264" s="49" t="s">
        <v>90</v>
      </c>
      <c r="D264" s="49" t="s">
        <v>91</v>
      </c>
      <c r="E264" s="40" t="s">
        <v>21</v>
      </c>
      <c r="F264" s="41">
        <v>3765</v>
      </c>
      <c r="G264" s="15">
        <v>0.74596599288626697</v>
      </c>
    </row>
    <row r="265" spans="1:7" x14ac:dyDescent="0.3">
      <c r="B265" s="40" t="s">
        <v>203</v>
      </c>
      <c r="C265" s="49" t="s">
        <v>90</v>
      </c>
      <c r="D265" s="49" t="s">
        <v>91</v>
      </c>
      <c r="E265" s="40" t="s">
        <v>27</v>
      </c>
      <c r="F265" s="41">
        <v>3547</v>
      </c>
      <c r="G265" s="15">
        <v>0.78443003383360799</v>
      </c>
    </row>
    <row r="266" spans="1:7" x14ac:dyDescent="0.3">
      <c r="B266" s="40" t="s">
        <v>203</v>
      </c>
      <c r="C266" s="49" t="s">
        <v>90</v>
      </c>
      <c r="D266" s="49" t="s">
        <v>91</v>
      </c>
      <c r="E266" s="40" t="s">
        <v>19</v>
      </c>
      <c r="F266" s="41">
        <v>2997</v>
      </c>
      <c r="G266" s="15">
        <v>0.81692981695150502</v>
      </c>
    </row>
    <row r="267" spans="1:7" x14ac:dyDescent="0.3">
      <c r="B267" s="40" t="s">
        <v>203</v>
      </c>
      <c r="C267" s="49" t="s">
        <v>90</v>
      </c>
      <c r="D267" s="49" t="s">
        <v>91</v>
      </c>
      <c r="E267" s="40" t="s">
        <v>35</v>
      </c>
      <c r="F267" s="41">
        <v>2897</v>
      </c>
      <c r="G267" s="15">
        <v>0.84834518955495797</v>
      </c>
    </row>
    <row r="268" spans="1:7" x14ac:dyDescent="0.3">
      <c r="B268" s="40" t="s">
        <v>203</v>
      </c>
      <c r="C268" s="49" t="s">
        <v>90</v>
      </c>
      <c r="D268" s="49" t="s">
        <v>91</v>
      </c>
      <c r="E268" s="40" t="s">
        <v>24</v>
      </c>
      <c r="F268" s="41">
        <v>2816</v>
      </c>
      <c r="G268" s="15">
        <v>0.87888218964171105</v>
      </c>
    </row>
    <row r="269" spans="1:7" x14ac:dyDescent="0.3">
      <c r="B269" s="40" t="s">
        <v>203</v>
      </c>
      <c r="C269" s="49" t="s">
        <v>90</v>
      </c>
      <c r="D269" s="49" t="s">
        <v>91</v>
      </c>
      <c r="E269" s="40" t="s">
        <v>25</v>
      </c>
      <c r="F269" s="41">
        <v>1382</v>
      </c>
      <c r="G269" s="15">
        <v>0.89386874295133201</v>
      </c>
    </row>
    <row r="270" spans="1:7" x14ac:dyDescent="0.3">
      <c r="B270" s="40" t="s">
        <v>203</v>
      </c>
      <c r="C270" s="49" t="s">
        <v>90</v>
      </c>
      <c r="D270" s="49" t="s">
        <v>91</v>
      </c>
      <c r="E270" s="40" t="s">
        <v>26</v>
      </c>
      <c r="F270" s="41">
        <v>1194</v>
      </c>
      <c r="G270" s="15">
        <v>0.90681660449379697</v>
      </c>
    </row>
    <row r="271" spans="1:7" x14ac:dyDescent="0.3">
      <c r="B271" s="40" t="s">
        <v>203</v>
      </c>
      <c r="C271" s="49" t="s">
        <v>90</v>
      </c>
      <c r="D271" s="49" t="s">
        <v>91</v>
      </c>
      <c r="E271" s="40" t="s">
        <v>22</v>
      </c>
      <c r="F271" s="41">
        <v>1071</v>
      </c>
      <c r="G271" s="15">
        <v>0.91843064110349604</v>
      </c>
    </row>
    <row r="272" spans="1:7" x14ac:dyDescent="0.3">
      <c r="B272" s="40" t="s">
        <v>203</v>
      </c>
      <c r="C272" s="49" t="s">
        <v>90</v>
      </c>
      <c r="D272" s="49" t="s">
        <v>91</v>
      </c>
      <c r="E272" s="40" t="s">
        <v>36</v>
      </c>
      <c r="F272" s="41">
        <v>878</v>
      </c>
      <c r="G272" s="15">
        <v>0.92795176542031799</v>
      </c>
    </row>
    <row r="273" spans="2:7" x14ac:dyDescent="0.3">
      <c r="B273" s="40" t="s">
        <v>203</v>
      </c>
      <c r="C273" s="49" t="s">
        <v>90</v>
      </c>
      <c r="D273" s="49" t="s">
        <v>91</v>
      </c>
      <c r="E273" s="40" t="s">
        <v>266</v>
      </c>
      <c r="F273" s="41">
        <v>707</v>
      </c>
      <c r="G273" s="15">
        <v>0.93561854775743902</v>
      </c>
    </row>
    <row r="274" spans="2:7" x14ac:dyDescent="0.3">
      <c r="B274" s="40" t="s">
        <v>203</v>
      </c>
      <c r="C274" s="49" t="s">
        <v>90</v>
      </c>
      <c r="D274" s="49" t="s">
        <v>91</v>
      </c>
      <c r="E274" s="40" t="s">
        <v>29</v>
      </c>
      <c r="F274" s="41">
        <v>626</v>
      </c>
      <c r="G274" s="15">
        <v>0.94240695757786097</v>
      </c>
    </row>
    <row r="275" spans="2:7" x14ac:dyDescent="0.3">
      <c r="B275" s="40" t="s">
        <v>203</v>
      </c>
      <c r="C275" s="49" t="s">
        <v>90</v>
      </c>
      <c r="D275" s="49" t="s">
        <v>91</v>
      </c>
      <c r="E275" s="40" t="s">
        <v>44</v>
      </c>
      <c r="F275" s="41">
        <v>608</v>
      </c>
      <c r="G275" s="15">
        <v>0.949000173505682</v>
      </c>
    </row>
    <row r="276" spans="2:7" x14ac:dyDescent="0.3">
      <c r="B276" s="40" t="s">
        <v>203</v>
      </c>
      <c r="C276" s="49" t="s">
        <v>90</v>
      </c>
      <c r="D276" s="49" t="s">
        <v>91</v>
      </c>
      <c r="E276" s="40" t="s">
        <v>262</v>
      </c>
      <c r="F276" s="41">
        <v>546</v>
      </c>
      <c r="G276" s="15">
        <v>0.95492105491454804</v>
      </c>
    </row>
    <row r="277" spans="2:7" x14ac:dyDescent="0.3">
      <c r="B277" s="40" t="s">
        <v>203</v>
      </c>
      <c r="C277" s="49" t="s">
        <v>90</v>
      </c>
      <c r="D277" s="49" t="s">
        <v>91</v>
      </c>
      <c r="E277" s="40" t="s">
        <v>261</v>
      </c>
      <c r="F277" s="41">
        <v>515</v>
      </c>
      <c r="G277" s="15">
        <v>0.96050576906393703</v>
      </c>
    </row>
    <row r="278" spans="2:7" x14ac:dyDescent="0.3">
      <c r="B278" s="40" t="s">
        <v>203</v>
      </c>
      <c r="C278" s="49" t="s">
        <v>90</v>
      </c>
      <c r="D278" s="49" t="s">
        <v>91</v>
      </c>
      <c r="E278" s="40" t="s">
        <v>30</v>
      </c>
      <c r="F278" s="41">
        <v>499</v>
      </c>
      <c r="G278" s="15">
        <v>0.96591697753101402</v>
      </c>
    </row>
    <row r="279" spans="2:7" x14ac:dyDescent="0.3">
      <c r="B279" s="40" t="s">
        <v>203</v>
      </c>
      <c r="C279" s="49" t="s">
        <v>90</v>
      </c>
      <c r="D279" s="49" t="s">
        <v>91</v>
      </c>
      <c r="E279" s="40" t="s">
        <v>31</v>
      </c>
      <c r="F279" s="41">
        <v>447</v>
      </c>
      <c r="G279" s="15">
        <v>0.97076429253058005</v>
      </c>
    </row>
    <row r="280" spans="2:7" x14ac:dyDescent="0.3">
      <c r="B280" s="40" t="s">
        <v>203</v>
      </c>
      <c r="C280" s="49" t="s">
        <v>90</v>
      </c>
      <c r="D280" s="49" t="s">
        <v>91</v>
      </c>
      <c r="E280" s="40" t="s">
        <v>48</v>
      </c>
      <c r="F280" s="41">
        <v>377</v>
      </c>
      <c r="G280" s="15">
        <v>0.97485252017003599</v>
      </c>
    </row>
    <row r="281" spans="2:7" x14ac:dyDescent="0.3">
      <c r="B281" s="40" t="s">
        <v>203</v>
      </c>
      <c r="C281" s="49" t="s">
        <v>90</v>
      </c>
      <c r="D281" s="49" t="s">
        <v>91</v>
      </c>
      <c r="E281" s="40" t="s">
        <v>39</v>
      </c>
      <c r="F281" s="41">
        <v>334</v>
      </c>
      <c r="G281" s="15">
        <v>0.97847445128828003</v>
      </c>
    </row>
    <row r="282" spans="2:7" x14ac:dyDescent="0.3">
      <c r="B282" s="40" t="s">
        <v>203</v>
      </c>
      <c r="C282" s="49" t="s">
        <v>90</v>
      </c>
      <c r="D282" s="49" t="s">
        <v>91</v>
      </c>
      <c r="E282" s="40" t="s">
        <v>33</v>
      </c>
      <c r="F282" s="41">
        <v>323</v>
      </c>
      <c r="G282" s="15">
        <v>0.98197709724993498</v>
      </c>
    </row>
    <row r="283" spans="2:7" x14ac:dyDescent="0.3">
      <c r="B283" s="40" t="s">
        <v>203</v>
      </c>
      <c r="C283" s="49" t="s">
        <v>90</v>
      </c>
      <c r="D283" s="49" t="s">
        <v>91</v>
      </c>
      <c r="E283" s="40" t="s">
        <v>55</v>
      </c>
      <c r="F283" s="41">
        <v>271</v>
      </c>
      <c r="G283" s="15">
        <v>0.98491584974407898</v>
      </c>
    </row>
    <row r="284" spans="2:7" x14ac:dyDescent="0.3">
      <c r="B284" s="40" t="s">
        <v>203</v>
      </c>
      <c r="C284" s="49" t="s">
        <v>90</v>
      </c>
      <c r="D284" s="49" t="s">
        <v>91</v>
      </c>
      <c r="E284" s="40" t="s">
        <v>32</v>
      </c>
      <c r="F284" s="41">
        <v>256</v>
      </c>
      <c r="G284" s="15">
        <v>0.98769194066105703</v>
      </c>
    </row>
    <row r="285" spans="2:7" x14ac:dyDescent="0.3">
      <c r="B285" s="40" t="s">
        <v>203</v>
      </c>
      <c r="C285" s="49" t="s">
        <v>90</v>
      </c>
      <c r="D285" s="49" t="s">
        <v>91</v>
      </c>
      <c r="E285" s="40" t="s">
        <v>267</v>
      </c>
      <c r="F285" s="41">
        <v>227</v>
      </c>
      <c r="G285" s="15">
        <v>0.99015355252884496</v>
      </c>
    </row>
    <row r="286" spans="2:7" x14ac:dyDescent="0.3">
      <c r="B286" s="40" t="s">
        <v>203</v>
      </c>
      <c r="C286" s="49" t="s">
        <v>90</v>
      </c>
      <c r="D286" s="49" t="s">
        <v>91</v>
      </c>
      <c r="E286" s="40" t="s">
        <v>56</v>
      </c>
      <c r="F286" s="41">
        <v>174</v>
      </c>
      <c r="G286" s="15">
        <v>0.99204042682397897</v>
      </c>
    </row>
    <row r="287" spans="2:7" x14ac:dyDescent="0.3">
      <c r="B287" s="40" t="s">
        <v>203</v>
      </c>
      <c r="C287" s="49" t="s">
        <v>90</v>
      </c>
      <c r="D287" s="49" t="s">
        <v>91</v>
      </c>
      <c r="E287" s="40" t="s">
        <v>43</v>
      </c>
      <c r="F287" s="41">
        <v>148</v>
      </c>
      <c r="G287" s="15">
        <v>0.99364535438535595</v>
      </c>
    </row>
    <row r="288" spans="2:7" x14ac:dyDescent="0.3">
      <c r="B288" s="40" t="s">
        <v>203</v>
      </c>
      <c r="C288" s="49" t="s">
        <v>90</v>
      </c>
      <c r="D288" s="49" t="s">
        <v>91</v>
      </c>
      <c r="E288" s="40" t="s">
        <v>80</v>
      </c>
      <c r="F288" s="41">
        <v>136</v>
      </c>
      <c r="G288" s="15">
        <v>0.99512015268499998</v>
      </c>
    </row>
    <row r="289" spans="2:7" x14ac:dyDescent="0.3">
      <c r="B289" s="40" t="s">
        <v>203</v>
      </c>
      <c r="C289" s="49" t="s">
        <v>90</v>
      </c>
      <c r="D289" s="49" t="s">
        <v>91</v>
      </c>
      <c r="E289" s="40" t="s">
        <v>49</v>
      </c>
      <c r="F289" s="41">
        <v>116</v>
      </c>
      <c r="G289" s="15">
        <v>0.99637806888175595</v>
      </c>
    </row>
    <row r="290" spans="2:7" x14ac:dyDescent="0.3">
      <c r="B290" s="40" t="s">
        <v>203</v>
      </c>
      <c r="C290" s="49" t="s">
        <v>90</v>
      </c>
      <c r="D290" s="49" t="s">
        <v>91</v>
      </c>
      <c r="E290" s="40" t="s">
        <v>51</v>
      </c>
      <c r="F290" s="41">
        <v>111</v>
      </c>
      <c r="G290" s="15">
        <v>0.99758176455278902</v>
      </c>
    </row>
    <row r="291" spans="2:7" x14ac:dyDescent="0.3">
      <c r="B291" s="40" t="s">
        <v>203</v>
      </c>
      <c r="C291" s="49" t="s">
        <v>90</v>
      </c>
      <c r="D291" s="49" t="s">
        <v>91</v>
      </c>
      <c r="E291" s="40" t="s">
        <v>268</v>
      </c>
      <c r="F291" s="41">
        <v>107</v>
      </c>
      <c r="G291" s="15">
        <v>0.99874208380324503</v>
      </c>
    </row>
    <row r="292" spans="2:7" x14ac:dyDescent="0.3">
      <c r="B292" s="40" t="s">
        <v>203</v>
      </c>
      <c r="C292" s="49" t="s">
        <v>90</v>
      </c>
      <c r="D292" s="49" t="s">
        <v>91</v>
      </c>
      <c r="E292" s="40" t="s">
        <v>76</v>
      </c>
      <c r="F292" s="41">
        <v>26</v>
      </c>
      <c r="G292" s="15">
        <v>0.99902403053699995</v>
      </c>
    </row>
    <row r="293" spans="2:7" x14ac:dyDescent="0.3">
      <c r="B293" s="40" t="s">
        <v>203</v>
      </c>
      <c r="C293" s="49" t="s">
        <v>90</v>
      </c>
      <c r="D293" s="49" t="s">
        <v>91</v>
      </c>
      <c r="E293" s="40" t="s">
        <v>65</v>
      </c>
      <c r="F293" s="41">
        <v>24</v>
      </c>
      <c r="G293" s="15">
        <v>0.99928428906046696</v>
      </c>
    </row>
    <row r="294" spans="2:7" x14ac:dyDescent="0.3">
      <c r="B294" s="40" t="s">
        <v>203</v>
      </c>
      <c r="C294" s="49" t="s">
        <v>90</v>
      </c>
      <c r="D294" s="49" t="s">
        <v>91</v>
      </c>
      <c r="E294" s="40" t="s">
        <v>45</v>
      </c>
      <c r="F294" s="41">
        <v>13</v>
      </c>
      <c r="G294" s="15">
        <v>0.99942526242734497</v>
      </c>
    </row>
    <row r="295" spans="2:7" x14ac:dyDescent="0.3">
      <c r="B295" s="40" t="s">
        <v>203</v>
      </c>
      <c r="C295" s="49" t="s">
        <v>90</v>
      </c>
      <c r="D295" s="49" t="s">
        <v>91</v>
      </c>
      <c r="E295" s="40" t="s">
        <v>263</v>
      </c>
      <c r="F295" s="41">
        <v>10</v>
      </c>
      <c r="G295" s="15">
        <v>0.999533703478789</v>
      </c>
    </row>
    <row r="296" spans="2:7" x14ac:dyDescent="0.3">
      <c r="B296" s="40" t="s">
        <v>203</v>
      </c>
      <c r="C296" s="49" t="s">
        <v>90</v>
      </c>
      <c r="D296" s="49" t="s">
        <v>91</v>
      </c>
      <c r="E296" s="40" t="s">
        <v>66</v>
      </c>
      <c r="F296" s="41">
        <v>9</v>
      </c>
      <c r="G296" s="15">
        <v>0.99972889737138904</v>
      </c>
    </row>
    <row r="297" spans="2:7" x14ac:dyDescent="0.3">
      <c r="B297" s="40" t="s">
        <v>203</v>
      </c>
      <c r="C297" s="49" t="s">
        <v>90</v>
      </c>
      <c r="D297" s="49" t="s">
        <v>91</v>
      </c>
      <c r="E297" s="40" t="s">
        <v>58</v>
      </c>
      <c r="F297" s="41">
        <v>9</v>
      </c>
      <c r="G297" s="15">
        <v>0.99972889737138904</v>
      </c>
    </row>
    <row r="298" spans="2:7" x14ac:dyDescent="0.3">
      <c r="B298" s="40" t="s">
        <v>203</v>
      </c>
      <c r="C298" s="49" t="s">
        <v>90</v>
      </c>
      <c r="D298" s="49" t="s">
        <v>91</v>
      </c>
      <c r="E298" s="40" t="s">
        <v>50</v>
      </c>
      <c r="F298" s="41">
        <v>8</v>
      </c>
      <c r="G298" s="15">
        <v>0.99990240305370004</v>
      </c>
    </row>
    <row r="299" spans="2:7" x14ac:dyDescent="0.3">
      <c r="B299" s="40" t="s">
        <v>203</v>
      </c>
      <c r="C299" s="49" t="s">
        <v>90</v>
      </c>
      <c r="D299" s="49" t="s">
        <v>91</v>
      </c>
      <c r="E299" s="40" t="s">
        <v>273</v>
      </c>
      <c r="F299" s="41">
        <v>8</v>
      </c>
      <c r="G299" s="15">
        <v>0.99990240305370004</v>
      </c>
    </row>
    <row r="300" spans="2:7" x14ac:dyDescent="0.3">
      <c r="B300" s="40" t="s">
        <v>203</v>
      </c>
      <c r="C300" s="49" t="s">
        <v>90</v>
      </c>
      <c r="D300" s="49" t="s">
        <v>91</v>
      </c>
      <c r="E300" s="40" t="s">
        <v>53</v>
      </c>
      <c r="F300" s="41">
        <v>5</v>
      </c>
      <c r="G300" s="15">
        <v>0.99995662357942205</v>
      </c>
    </row>
    <row r="301" spans="2:7" x14ac:dyDescent="0.3">
      <c r="B301" s="40" t="s">
        <v>203</v>
      </c>
      <c r="C301" s="49" t="s">
        <v>90</v>
      </c>
      <c r="D301" s="49" t="s">
        <v>91</v>
      </c>
      <c r="E301" s="40" t="s">
        <v>52</v>
      </c>
      <c r="F301" s="41">
        <v>4</v>
      </c>
      <c r="G301" s="15">
        <v>1</v>
      </c>
    </row>
    <row r="302" spans="2:7" x14ac:dyDescent="0.3">
      <c r="B302" s="40" t="s">
        <v>203</v>
      </c>
      <c r="C302" s="49" t="s">
        <v>90</v>
      </c>
      <c r="D302" s="49" t="s">
        <v>91</v>
      </c>
      <c r="E302" s="40" t="s">
        <v>73</v>
      </c>
      <c r="F302" s="41">
        <v>0</v>
      </c>
      <c r="G302" s="15">
        <v>1</v>
      </c>
    </row>
    <row r="303" spans="2:7" x14ac:dyDescent="0.3">
      <c r="B303" s="40" t="s">
        <v>203</v>
      </c>
      <c r="C303" s="49" t="s">
        <v>90</v>
      </c>
      <c r="D303" s="49" t="s">
        <v>91</v>
      </c>
      <c r="E303" s="40" t="s">
        <v>64</v>
      </c>
      <c r="F303" s="41">
        <v>0</v>
      </c>
      <c r="G303" s="15">
        <v>1</v>
      </c>
    </row>
    <row r="304" spans="2:7" x14ac:dyDescent="0.3">
      <c r="B304" s="40" t="s">
        <v>203</v>
      </c>
      <c r="C304" s="49" t="s">
        <v>90</v>
      </c>
      <c r="D304" s="49" t="s">
        <v>91</v>
      </c>
      <c r="E304" s="40" t="s">
        <v>69</v>
      </c>
      <c r="F304" s="41">
        <v>0</v>
      </c>
      <c r="G304" s="15">
        <v>1</v>
      </c>
    </row>
    <row r="305" spans="2:7" x14ac:dyDescent="0.3">
      <c r="B305" s="40" t="s">
        <v>203</v>
      </c>
      <c r="C305" s="49" t="s">
        <v>90</v>
      </c>
      <c r="D305" s="49" t="s">
        <v>91</v>
      </c>
      <c r="E305" s="40" t="s">
        <v>71</v>
      </c>
      <c r="F305" s="41">
        <v>0</v>
      </c>
      <c r="G305" s="15">
        <v>1</v>
      </c>
    </row>
    <row r="306" spans="2:7" x14ac:dyDescent="0.3">
      <c r="B306" s="40" t="s">
        <v>203</v>
      </c>
      <c r="C306" s="49" t="s">
        <v>90</v>
      </c>
      <c r="D306" s="49" t="s">
        <v>91</v>
      </c>
      <c r="E306" s="40" t="s">
        <v>89</v>
      </c>
      <c r="F306" s="41">
        <v>0</v>
      </c>
      <c r="G306" s="15">
        <v>1</v>
      </c>
    </row>
    <row r="307" spans="2:7" x14ac:dyDescent="0.3">
      <c r="B307" s="10" t="s">
        <v>205</v>
      </c>
      <c r="C307" s="49" t="s">
        <v>90</v>
      </c>
      <c r="D307" s="49" t="s">
        <v>91</v>
      </c>
      <c r="E307" s="44" t="s">
        <v>17</v>
      </c>
      <c r="F307" s="45">
        <v>24596</v>
      </c>
      <c r="G307" s="15">
        <v>0.27127542242025898</v>
      </c>
    </row>
    <row r="308" spans="2:7" x14ac:dyDescent="0.3">
      <c r="B308" s="44" t="s">
        <v>205</v>
      </c>
      <c r="C308" s="49" t="s">
        <v>90</v>
      </c>
      <c r="D308" s="49" t="s">
        <v>91</v>
      </c>
      <c r="E308" s="44" t="s">
        <v>23</v>
      </c>
      <c r="F308" s="45">
        <v>24163</v>
      </c>
      <c r="G308" s="15">
        <v>0.53777517977676803</v>
      </c>
    </row>
    <row r="309" spans="2:7" x14ac:dyDescent="0.3">
      <c r="B309" s="44" t="s">
        <v>205</v>
      </c>
      <c r="C309" s="49" t="s">
        <v>90</v>
      </c>
      <c r="D309" s="49" t="s">
        <v>91</v>
      </c>
      <c r="E309" s="44" t="s">
        <v>28</v>
      </c>
      <c r="F309" s="45">
        <v>5600</v>
      </c>
      <c r="G309" s="15">
        <v>0.59953897736798001</v>
      </c>
    </row>
    <row r="310" spans="2:7" x14ac:dyDescent="0.3">
      <c r="B310" s="44" t="s">
        <v>205</v>
      </c>
      <c r="C310" s="49" t="s">
        <v>90</v>
      </c>
      <c r="D310" s="49" t="s">
        <v>91</v>
      </c>
      <c r="E310" s="44" t="s">
        <v>18</v>
      </c>
      <c r="F310" s="45">
        <v>5196</v>
      </c>
      <c r="G310" s="15">
        <v>0.65684695813296901</v>
      </c>
    </row>
    <row r="311" spans="2:7" x14ac:dyDescent="0.3">
      <c r="B311" s="44" t="s">
        <v>205</v>
      </c>
      <c r="C311" s="49" t="s">
        <v>90</v>
      </c>
      <c r="D311" s="49" t="s">
        <v>91</v>
      </c>
      <c r="E311" s="44" t="s">
        <v>25</v>
      </c>
      <c r="F311" s="45">
        <v>4638</v>
      </c>
      <c r="G311" s="15">
        <v>0.70800061763797595</v>
      </c>
    </row>
    <row r="312" spans="2:7" x14ac:dyDescent="0.3">
      <c r="B312" s="44" t="s">
        <v>205</v>
      </c>
      <c r="C312" s="49" t="s">
        <v>90</v>
      </c>
      <c r="D312" s="49" t="s">
        <v>91</v>
      </c>
      <c r="E312" s="44" t="s">
        <v>19</v>
      </c>
      <c r="F312" s="45">
        <v>3941</v>
      </c>
      <c r="G312" s="15">
        <v>0.751466890192791</v>
      </c>
    </row>
    <row r="313" spans="2:7" x14ac:dyDescent="0.3">
      <c r="B313" s="44" t="s">
        <v>205</v>
      </c>
      <c r="C313" s="49" t="s">
        <v>90</v>
      </c>
      <c r="D313" s="49" t="s">
        <v>91</v>
      </c>
      <c r="E313" s="44" t="s">
        <v>20</v>
      </c>
      <c r="F313" s="45">
        <v>3301</v>
      </c>
      <c r="G313" s="15">
        <v>0.787874443022897</v>
      </c>
    </row>
    <row r="314" spans="2:7" x14ac:dyDescent="0.3">
      <c r="B314" s="44" t="s">
        <v>205</v>
      </c>
      <c r="C314" s="49" t="s">
        <v>90</v>
      </c>
      <c r="D314" s="49" t="s">
        <v>91</v>
      </c>
      <c r="E314" s="44" t="s">
        <v>21</v>
      </c>
      <c r="F314" s="45">
        <v>2497</v>
      </c>
      <c r="G314" s="15">
        <v>0.81541447919883503</v>
      </c>
    </row>
    <row r="315" spans="2:7" x14ac:dyDescent="0.3">
      <c r="B315" s="44" t="s">
        <v>205</v>
      </c>
      <c r="C315" s="49" t="s">
        <v>90</v>
      </c>
      <c r="D315" s="49" t="s">
        <v>91</v>
      </c>
      <c r="E315" s="44" t="s">
        <v>27</v>
      </c>
      <c r="F315" s="45">
        <v>2416</v>
      </c>
      <c r="G315" s="15">
        <v>0.84206114615961503</v>
      </c>
    </row>
    <row r="316" spans="2:7" x14ac:dyDescent="0.3">
      <c r="B316" s="44" t="s">
        <v>205</v>
      </c>
      <c r="C316" s="49" t="s">
        <v>90</v>
      </c>
      <c r="D316" s="49" t="s">
        <v>91</v>
      </c>
      <c r="E316" s="44" t="s">
        <v>35</v>
      </c>
      <c r="F316" s="45">
        <v>1833</v>
      </c>
      <c r="G316" s="15">
        <v>0.86227776062116701</v>
      </c>
    </row>
    <row r="317" spans="2:7" x14ac:dyDescent="0.3">
      <c r="B317" s="44" t="s">
        <v>205</v>
      </c>
      <c r="C317" s="49" t="s">
        <v>90</v>
      </c>
      <c r="D317" s="49" t="s">
        <v>91</v>
      </c>
      <c r="E317" s="44" t="s">
        <v>26</v>
      </c>
      <c r="F317" s="45">
        <v>1736</v>
      </c>
      <c r="G317" s="15">
        <v>0.88142453787444297</v>
      </c>
    </row>
    <row r="318" spans="2:7" x14ac:dyDescent="0.3">
      <c r="B318" s="44" t="s">
        <v>205</v>
      </c>
      <c r="C318" s="49" t="s">
        <v>90</v>
      </c>
      <c r="D318" s="49" t="s">
        <v>91</v>
      </c>
      <c r="E318" s="44" t="s">
        <v>33</v>
      </c>
      <c r="F318" s="45">
        <v>1602</v>
      </c>
      <c r="G318" s="15">
        <v>0.89909339568535795</v>
      </c>
    </row>
    <row r="319" spans="2:7" x14ac:dyDescent="0.3">
      <c r="B319" s="44" t="s">
        <v>205</v>
      </c>
      <c r="C319" s="49" t="s">
        <v>90</v>
      </c>
      <c r="D319" s="49" t="s">
        <v>91</v>
      </c>
      <c r="E319" s="44" t="s">
        <v>44</v>
      </c>
      <c r="F319" s="45">
        <v>1440</v>
      </c>
      <c r="G319" s="15">
        <v>0.91497551506595498</v>
      </c>
    </row>
    <row r="320" spans="2:7" x14ac:dyDescent="0.3">
      <c r="B320" s="44" t="s">
        <v>205</v>
      </c>
      <c r="C320" s="49" t="s">
        <v>90</v>
      </c>
      <c r="D320" s="49" t="s">
        <v>91</v>
      </c>
      <c r="E320" s="44" t="s">
        <v>36</v>
      </c>
      <c r="F320" s="45">
        <v>1217</v>
      </c>
      <c r="G320" s="15">
        <v>0.928398111792474</v>
      </c>
    </row>
    <row r="321" spans="2:7" x14ac:dyDescent="0.3">
      <c r="B321" s="44" t="s">
        <v>205</v>
      </c>
      <c r="C321" s="49" t="s">
        <v>90</v>
      </c>
      <c r="D321" s="49" t="s">
        <v>91</v>
      </c>
      <c r="E321" s="44" t="s">
        <v>55</v>
      </c>
      <c r="F321" s="45">
        <v>934</v>
      </c>
      <c r="G321" s="15">
        <v>0.93869943089072205</v>
      </c>
    </row>
    <row r="322" spans="2:7" x14ac:dyDescent="0.3">
      <c r="B322" s="44" t="s">
        <v>205</v>
      </c>
      <c r="C322" s="49" t="s">
        <v>90</v>
      </c>
      <c r="D322" s="49" t="s">
        <v>91</v>
      </c>
      <c r="E322" s="44" t="s">
        <v>24</v>
      </c>
      <c r="F322" s="45">
        <v>811</v>
      </c>
      <c r="G322" s="15">
        <v>0.94764415229187804</v>
      </c>
    </row>
    <row r="323" spans="2:7" x14ac:dyDescent="0.3">
      <c r="B323" s="44" t="s">
        <v>205</v>
      </c>
      <c r="C323" s="49" t="s">
        <v>90</v>
      </c>
      <c r="D323" s="49" t="s">
        <v>91</v>
      </c>
      <c r="E323" s="44" t="s">
        <v>29</v>
      </c>
      <c r="F323" s="45">
        <v>676</v>
      </c>
      <c r="G323" s="15">
        <v>0.95509992500110297</v>
      </c>
    </row>
    <row r="324" spans="2:7" x14ac:dyDescent="0.3">
      <c r="B324" s="44" t="s">
        <v>205</v>
      </c>
      <c r="C324" s="49" t="s">
        <v>90</v>
      </c>
      <c r="D324" s="49" t="s">
        <v>91</v>
      </c>
      <c r="E324" s="44" t="s">
        <v>261</v>
      </c>
      <c r="F324" s="45">
        <v>607</v>
      </c>
      <c r="G324" s="15">
        <v>0.96179467949000796</v>
      </c>
    </row>
    <row r="325" spans="2:7" x14ac:dyDescent="0.3">
      <c r="B325" s="44" t="s">
        <v>205</v>
      </c>
      <c r="C325" s="49" t="s">
        <v>90</v>
      </c>
      <c r="D325" s="49" t="s">
        <v>91</v>
      </c>
      <c r="E325" s="44" t="s">
        <v>262</v>
      </c>
      <c r="F325" s="45">
        <v>586</v>
      </c>
      <c r="G325" s="15">
        <v>0.968257819737945</v>
      </c>
    </row>
    <row r="326" spans="2:7" x14ac:dyDescent="0.3">
      <c r="B326" s="44" t="s">
        <v>205</v>
      </c>
      <c r="C326" s="49" t="s">
        <v>90</v>
      </c>
      <c r="D326" s="49" t="s">
        <v>91</v>
      </c>
      <c r="E326" s="44" t="s">
        <v>30</v>
      </c>
      <c r="F326" s="45">
        <v>529</v>
      </c>
      <c r="G326" s="15">
        <v>0.97409229276040099</v>
      </c>
    </row>
    <row r="327" spans="2:7" x14ac:dyDescent="0.3">
      <c r="B327" s="44" t="s">
        <v>205</v>
      </c>
      <c r="C327" s="49" t="s">
        <v>90</v>
      </c>
      <c r="D327" s="49" t="s">
        <v>91</v>
      </c>
      <c r="E327" s="44" t="s">
        <v>48</v>
      </c>
      <c r="F327" s="45">
        <v>478</v>
      </c>
      <c r="G327" s="15">
        <v>0.97936427405479298</v>
      </c>
    </row>
    <row r="328" spans="2:7" x14ac:dyDescent="0.3">
      <c r="B328" s="44" t="s">
        <v>205</v>
      </c>
      <c r="C328" s="49" t="s">
        <v>90</v>
      </c>
      <c r="D328" s="49" t="s">
        <v>91</v>
      </c>
      <c r="E328" s="44" t="s">
        <v>31</v>
      </c>
      <c r="F328" s="45">
        <v>462</v>
      </c>
      <c r="G328" s="15">
        <v>0.98445978735606798</v>
      </c>
    </row>
    <row r="329" spans="2:7" x14ac:dyDescent="0.3">
      <c r="B329" s="44" t="s">
        <v>205</v>
      </c>
      <c r="C329" s="49" t="s">
        <v>90</v>
      </c>
      <c r="D329" s="49" t="s">
        <v>91</v>
      </c>
      <c r="E329" s="44" t="s">
        <v>22</v>
      </c>
      <c r="F329" s="45">
        <v>365</v>
      </c>
      <c r="G329" s="15">
        <v>0.98848546344906696</v>
      </c>
    </row>
    <row r="330" spans="2:7" x14ac:dyDescent="0.3">
      <c r="B330" s="44" t="s">
        <v>205</v>
      </c>
      <c r="C330" s="49" t="s">
        <v>90</v>
      </c>
      <c r="D330" s="49" t="s">
        <v>91</v>
      </c>
      <c r="E330" s="44" t="s">
        <v>39</v>
      </c>
      <c r="F330" s="45">
        <v>210</v>
      </c>
      <c r="G330" s="15">
        <v>0.990801605858737</v>
      </c>
    </row>
    <row r="331" spans="2:7" x14ac:dyDescent="0.3">
      <c r="B331" s="44" t="s">
        <v>205</v>
      </c>
      <c r="C331" s="49" t="s">
        <v>90</v>
      </c>
      <c r="D331" s="49" t="s">
        <v>91</v>
      </c>
      <c r="E331" s="44" t="s">
        <v>56</v>
      </c>
      <c r="F331" s="45">
        <v>137</v>
      </c>
      <c r="G331" s="15">
        <v>0.992312613049808</v>
      </c>
    </row>
    <row r="332" spans="2:7" x14ac:dyDescent="0.3">
      <c r="B332" s="44" t="s">
        <v>205</v>
      </c>
      <c r="C332" s="49" t="s">
        <v>90</v>
      </c>
      <c r="D332" s="49" t="s">
        <v>91</v>
      </c>
      <c r="E332" s="44" t="s">
        <v>80</v>
      </c>
      <c r="F332" s="45">
        <v>134</v>
      </c>
      <c r="G332" s="15">
        <v>0.99379053249216898</v>
      </c>
    </row>
    <row r="333" spans="2:7" x14ac:dyDescent="0.3">
      <c r="B333" s="44" t="s">
        <v>205</v>
      </c>
      <c r="C333" s="49" t="s">
        <v>90</v>
      </c>
      <c r="D333" s="49" t="s">
        <v>91</v>
      </c>
      <c r="E333" s="44" t="s">
        <v>49</v>
      </c>
      <c r="F333" s="45">
        <v>117</v>
      </c>
      <c r="G333" s="15">
        <v>0.99508095469184299</v>
      </c>
    </row>
    <row r="334" spans="2:7" x14ac:dyDescent="0.3">
      <c r="B334" s="44" t="s">
        <v>205</v>
      </c>
      <c r="C334" s="49" t="s">
        <v>90</v>
      </c>
      <c r="D334" s="49" t="s">
        <v>91</v>
      </c>
      <c r="E334" s="44" t="s">
        <v>32</v>
      </c>
      <c r="F334" s="45">
        <v>106</v>
      </c>
      <c r="G334" s="15">
        <v>0.99625005514624798</v>
      </c>
    </row>
    <row r="335" spans="2:7" x14ac:dyDescent="0.3">
      <c r="B335" s="44" t="s">
        <v>205</v>
      </c>
      <c r="C335" s="49" t="s">
        <v>90</v>
      </c>
      <c r="D335" s="49" t="s">
        <v>91</v>
      </c>
      <c r="E335" s="44" t="s">
        <v>43</v>
      </c>
      <c r="F335" s="45">
        <v>87</v>
      </c>
      <c r="G335" s="15">
        <v>0.99720959985882596</v>
      </c>
    </row>
    <row r="336" spans="2:7" x14ac:dyDescent="0.3">
      <c r="B336" s="44" t="s">
        <v>205</v>
      </c>
      <c r="C336" s="49" t="s">
        <v>90</v>
      </c>
      <c r="D336" s="49" t="s">
        <v>91</v>
      </c>
      <c r="E336" s="44" t="s">
        <v>263</v>
      </c>
      <c r="F336" s="45">
        <v>81</v>
      </c>
      <c r="G336" s="15">
        <v>0.99810296907398399</v>
      </c>
    </row>
    <row r="337" spans="2:7" x14ac:dyDescent="0.3">
      <c r="B337" s="44" t="s">
        <v>205</v>
      </c>
      <c r="C337" s="49" t="s">
        <v>90</v>
      </c>
      <c r="D337" s="49" t="s">
        <v>91</v>
      </c>
      <c r="E337" s="44" t="s">
        <v>65</v>
      </c>
      <c r="F337" s="45">
        <v>33</v>
      </c>
      <c r="G337" s="15">
        <v>0.99846693430979006</v>
      </c>
    </row>
    <row r="338" spans="2:7" x14ac:dyDescent="0.3">
      <c r="B338" s="44" t="s">
        <v>205</v>
      </c>
      <c r="C338" s="49" t="s">
        <v>90</v>
      </c>
      <c r="D338" s="49" t="s">
        <v>91</v>
      </c>
      <c r="E338" s="44" t="s">
        <v>51</v>
      </c>
      <c r="F338" s="45">
        <v>29</v>
      </c>
      <c r="G338" s="15">
        <v>0.99878678254731501</v>
      </c>
    </row>
    <row r="339" spans="2:7" x14ac:dyDescent="0.3">
      <c r="B339" s="44" t="s">
        <v>205</v>
      </c>
      <c r="C339" s="49" t="s">
        <v>90</v>
      </c>
      <c r="D339" s="49" t="s">
        <v>91</v>
      </c>
      <c r="E339" s="44" t="s">
        <v>76</v>
      </c>
      <c r="F339" s="45">
        <v>22</v>
      </c>
      <c r="G339" s="15">
        <v>0.99902942603785205</v>
      </c>
    </row>
    <row r="340" spans="2:7" x14ac:dyDescent="0.3">
      <c r="B340" s="44" t="s">
        <v>205</v>
      </c>
      <c r="C340" s="49" t="s">
        <v>90</v>
      </c>
      <c r="D340" s="49" t="s">
        <v>91</v>
      </c>
      <c r="E340" s="44" t="s">
        <v>52</v>
      </c>
      <c r="F340" s="45">
        <v>21</v>
      </c>
      <c r="G340" s="15">
        <v>0.99926104027881901</v>
      </c>
    </row>
    <row r="341" spans="2:7" x14ac:dyDescent="0.3">
      <c r="B341" s="44" t="s">
        <v>205</v>
      </c>
      <c r="C341" s="49" t="s">
        <v>90</v>
      </c>
      <c r="D341" s="49" t="s">
        <v>91</v>
      </c>
      <c r="E341" s="44" t="s">
        <v>50</v>
      </c>
      <c r="F341" s="45">
        <v>18</v>
      </c>
      <c r="G341" s="15">
        <v>0.99945956677107695</v>
      </c>
    </row>
    <row r="342" spans="2:7" x14ac:dyDescent="0.3">
      <c r="B342" s="44" t="s">
        <v>205</v>
      </c>
      <c r="C342" s="49" t="s">
        <v>90</v>
      </c>
      <c r="D342" s="49" t="s">
        <v>91</v>
      </c>
      <c r="E342" s="44" t="s">
        <v>45</v>
      </c>
      <c r="F342" s="45">
        <v>14</v>
      </c>
      <c r="G342" s="15">
        <v>0.99961397626505499</v>
      </c>
    </row>
    <row r="343" spans="2:7" x14ac:dyDescent="0.3">
      <c r="B343" s="44" t="s">
        <v>205</v>
      </c>
      <c r="C343" s="49" t="s">
        <v>90</v>
      </c>
      <c r="D343" s="49" t="s">
        <v>91</v>
      </c>
      <c r="E343" s="44" t="s">
        <v>64</v>
      </c>
      <c r="F343" s="45">
        <v>11</v>
      </c>
      <c r="G343" s="15">
        <v>0.99985661975559204</v>
      </c>
    </row>
    <row r="344" spans="2:7" x14ac:dyDescent="0.3">
      <c r="B344" s="44" t="s">
        <v>205</v>
      </c>
      <c r="C344" s="49" t="s">
        <v>90</v>
      </c>
      <c r="D344" s="49" t="s">
        <v>91</v>
      </c>
      <c r="E344" s="44" t="s">
        <v>53</v>
      </c>
      <c r="F344" s="45">
        <v>11</v>
      </c>
      <c r="G344" s="15">
        <v>0.99985661975559204</v>
      </c>
    </row>
    <row r="345" spans="2:7" x14ac:dyDescent="0.3">
      <c r="B345" s="44" t="s">
        <v>205</v>
      </c>
      <c r="C345" s="49" t="s">
        <v>90</v>
      </c>
      <c r="D345" s="49" t="s">
        <v>91</v>
      </c>
      <c r="E345" s="44" t="s">
        <v>267</v>
      </c>
      <c r="F345" s="45">
        <v>6</v>
      </c>
      <c r="G345" s="15">
        <v>0.99992279525301098</v>
      </c>
    </row>
    <row r="346" spans="2:7" x14ac:dyDescent="0.3">
      <c r="B346" s="44" t="s">
        <v>205</v>
      </c>
      <c r="C346" s="49" t="s">
        <v>90</v>
      </c>
      <c r="D346" s="49" t="s">
        <v>91</v>
      </c>
      <c r="E346" s="44" t="s">
        <v>69</v>
      </c>
      <c r="F346" s="45">
        <v>4</v>
      </c>
      <c r="G346" s="15">
        <v>0.99996691225128997</v>
      </c>
    </row>
    <row r="347" spans="2:7" x14ac:dyDescent="0.3">
      <c r="B347" s="44" t="s">
        <v>205</v>
      </c>
      <c r="C347" s="49" t="s">
        <v>90</v>
      </c>
      <c r="D347" s="49" t="s">
        <v>91</v>
      </c>
      <c r="E347" s="44" t="s">
        <v>62</v>
      </c>
      <c r="F347" s="45">
        <v>2</v>
      </c>
      <c r="G347" s="15">
        <v>0.99998897075043003</v>
      </c>
    </row>
    <row r="348" spans="2:7" x14ac:dyDescent="0.3">
      <c r="B348" s="44" t="s">
        <v>205</v>
      </c>
      <c r="C348" s="49" t="s">
        <v>90</v>
      </c>
      <c r="D348" s="49" t="s">
        <v>91</v>
      </c>
      <c r="E348" s="44" t="s">
        <v>38</v>
      </c>
      <c r="F348" s="45">
        <v>1</v>
      </c>
      <c r="G348" s="15">
        <v>1</v>
      </c>
    </row>
    <row r="349" spans="2:7" x14ac:dyDescent="0.3">
      <c r="B349" s="44" t="s">
        <v>205</v>
      </c>
      <c r="C349" s="49" t="s">
        <v>90</v>
      </c>
      <c r="D349" s="49" t="s">
        <v>91</v>
      </c>
      <c r="E349" s="44" t="s">
        <v>73</v>
      </c>
      <c r="F349" s="45">
        <v>0</v>
      </c>
      <c r="G349" s="15">
        <v>1</v>
      </c>
    </row>
    <row r="350" spans="2:7" x14ac:dyDescent="0.3">
      <c r="B350" s="44" t="s">
        <v>205</v>
      </c>
      <c r="C350" s="49" t="s">
        <v>90</v>
      </c>
      <c r="D350" s="49" t="s">
        <v>91</v>
      </c>
      <c r="E350" s="44" t="s">
        <v>71</v>
      </c>
      <c r="F350" s="45">
        <v>0</v>
      </c>
      <c r="G350" s="15">
        <v>1</v>
      </c>
    </row>
    <row r="351" spans="2:7" x14ac:dyDescent="0.3">
      <c r="B351" s="44" t="s">
        <v>205</v>
      </c>
      <c r="C351" s="49" t="s">
        <v>90</v>
      </c>
      <c r="D351" s="49" t="s">
        <v>91</v>
      </c>
      <c r="E351" s="44" t="s">
        <v>89</v>
      </c>
      <c r="F351" s="45">
        <v>0</v>
      </c>
      <c r="G351" s="15">
        <v>1</v>
      </c>
    </row>
    <row r="352" spans="2:7" x14ac:dyDescent="0.3">
      <c r="B352" s="10" t="s">
        <v>237</v>
      </c>
      <c r="C352" s="49" t="s">
        <v>90</v>
      </c>
      <c r="D352" s="49" t="s">
        <v>91</v>
      </c>
      <c r="E352" s="46" t="s">
        <v>17</v>
      </c>
      <c r="F352" s="47">
        <v>1789</v>
      </c>
      <c r="G352" s="15">
        <v>0.32831712240778099</v>
      </c>
    </row>
    <row r="353" spans="2:7" x14ac:dyDescent="0.3">
      <c r="B353" s="46" t="s">
        <v>237</v>
      </c>
      <c r="C353" s="49" t="s">
        <v>90</v>
      </c>
      <c r="D353" s="49" t="s">
        <v>91</v>
      </c>
      <c r="E353" s="46" t="s">
        <v>28</v>
      </c>
      <c r="F353" s="47">
        <v>397</v>
      </c>
      <c r="G353" s="15">
        <v>0.401174527436227</v>
      </c>
    </row>
    <row r="354" spans="2:7" x14ac:dyDescent="0.3">
      <c r="B354" s="46" t="s">
        <v>237</v>
      </c>
      <c r="C354" s="49" t="s">
        <v>90</v>
      </c>
      <c r="D354" s="49" t="s">
        <v>91</v>
      </c>
      <c r="E354" s="46" t="s">
        <v>25</v>
      </c>
      <c r="F354" s="47">
        <v>366</v>
      </c>
      <c r="G354" s="15">
        <v>0.46834281519544901</v>
      </c>
    </row>
    <row r="355" spans="2:7" x14ac:dyDescent="0.3">
      <c r="B355" s="46" t="s">
        <v>237</v>
      </c>
      <c r="C355" s="49" t="s">
        <v>90</v>
      </c>
      <c r="D355" s="49" t="s">
        <v>91</v>
      </c>
      <c r="E355" s="46" t="s">
        <v>18</v>
      </c>
      <c r="F355" s="47">
        <v>363</v>
      </c>
      <c r="G355" s="15">
        <v>0.53496054321893904</v>
      </c>
    </row>
    <row r="356" spans="2:7" x14ac:dyDescent="0.3">
      <c r="B356" s="46" t="s">
        <v>237</v>
      </c>
      <c r="C356" s="49" t="s">
        <v>90</v>
      </c>
      <c r="D356" s="49" t="s">
        <v>91</v>
      </c>
      <c r="E356" s="46" t="s">
        <v>19</v>
      </c>
      <c r="F356" s="47">
        <v>333</v>
      </c>
      <c r="G356" s="15">
        <v>0.59607267388511698</v>
      </c>
    </row>
    <row r="357" spans="2:7" x14ac:dyDescent="0.3">
      <c r="B357" s="46" t="s">
        <v>237</v>
      </c>
      <c r="C357" s="49" t="s">
        <v>90</v>
      </c>
      <c r="D357" s="49" t="s">
        <v>91</v>
      </c>
      <c r="E357" s="46" t="s">
        <v>23</v>
      </c>
      <c r="F357" s="47">
        <v>306</v>
      </c>
      <c r="G357" s="15">
        <v>0.65222976692971202</v>
      </c>
    </row>
    <row r="358" spans="2:7" x14ac:dyDescent="0.3">
      <c r="B358" s="46" t="s">
        <v>237</v>
      </c>
      <c r="C358" s="49" t="s">
        <v>90</v>
      </c>
      <c r="D358" s="49" t="s">
        <v>91</v>
      </c>
      <c r="E358" s="46" t="s">
        <v>20</v>
      </c>
      <c r="F358" s="47">
        <v>276</v>
      </c>
      <c r="G358" s="15">
        <v>0.70288126261699402</v>
      </c>
    </row>
    <row r="359" spans="2:7" x14ac:dyDescent="0.3">
      <c r="B359" s="46" t="s">
        <v>237</v>
      </c>
      <c r="C359" s="49" t="s">
        <v>90</v>
      </c>
      <c r="D359" s="49" t="s">
        <v>91</v>
      </c>
      <c r="E359" s="46" t="s">
        <v>26</v>
      </c>
      <c r="F359" s="47">
        <v>251</v>
      </c>
      <c r="G359" s="15">
        <v>0.74894476050651504</v>
      </c>
    </row>
    <row r="360" spans="2:7" x14ac:dyDescent="0.3">
      <c r="B360" s="46" t="s">
        <v>237</v>
      </c>
      <c r="C360" s="49" t="s">
        <v>90</v>
      </c>
      <c r="D360" s="49" t="s">
        <v>91</v>
      </c>
      <c r="E360" s="46" t="s">
        <v>27</v>
      </c>
      <c r="F360" s="47">
        <v>242</v>
      </c>
      <c r="G360" s="15">
        <v>0.79335657918884195</v>
      </c>
    </row>
    <row r="361" spans="2:7" x14ac:dyDescent="0.3">
      <c r="B361" s="46" t="s">
        <v>237</v>
      </c>
      <c r="C361" s="49" t="s">
        <v>90</v>
      </c>
      <c r="D361" s="49" t="s">
        <v>91</v>
      </c>
      <c r="E361" s="46" t="s">
        <v>33</v>
      </c>
      <c r="F361" s="47">
        <v>221</v>
      </c>
      <c r="G361" s="15">
        <v>0.83391447972105004</v>
      </c>
    </row>
    <row r="362" spans="2:7" x14ac:dyDescent="0.3">
      <c r="B362" s="46" t="s">
        <v>237</v>
      </c>
      <c r="C362" s="49" t="s">
        <v>90</v>
      </c>
      <c r="D362" s="49" t="s">
        <v>91</v>
      </c>
      <c r="E362" s="46" t="s">
        <v>55</v>
      </c>
      <c r="F362" s="47">
        <v>163</v>
      </c>
      <c r="G362" s="15">
        <v>0.86382822536245196</v>
      </c>
    </row>
    <row r="363" spans="2:7" x14ac:dyDescent="0.3">
      <c r="B363" s="46" t="s">
        <v>237</v>
      </c>
      <c r="C363" s="49" t="s">
        <v>90</v>
      </c>
      <c r="D363" s="49" t="s">
        <v>91</v>
      </c>
      <c r="E363" s="46" t="s">
        <v>21</v>
      </c>
      <c r="F363" s="47">
        <v>152</v>
      </c>
      <c r="G363" s="15">
        <v>0.89172325197283897</v>
      </c>
    </row>
    <row r="364" spans="2:7" x14ac:dyDescent="0.3">
      <c r="B364" s="46" t="s">
        <v>237</v>
      </c>
      <c r="C364" s="49" t="s">
        <v>90</v>
      </c>
      <c r="D364" s="49" t="s">
        <v>91</v>
      </c>
      <c r="E364" s="46" t="s">
        <v>35</v>
      </c>
      <c r="F364" s="47">
        <v>79</v>
      </c>
      <c r="G364" s="15">
        <v>0.90622132501376396</v>
      </c>
    </row>
    <row r="365" spans="2:7" x14ac:dyDescent="0.3">
      <c r="B365" s="46" t="s">
        <v>237</v>
      </c>
      <c r="C365" s="49" t="s">
        <v>90</v>
      </c>
      <c r="D365" s="49" t="s">
        <v>91</v>
      </c>
      <c r="E365" s="46" t="s">
        <v>261</v>
      </c>
      <c r="F365" s="47">
        <v>77</v>
      </c>
      <c r="G365" s="15">
        <v>0.92035235823086803</v>
      </c>
    </row>
    <row r="366" spans="2:7" x14ac:dyDescent="0.3">
      <c r="B366" s="46" t="s">
        <v>237</v>
      </c>
      <c r="C366" s="49" t="s">
        <v>90</v>
      </c>
      <c r="D366" s="49" t="s">
        <v>91</v>
      </c>
      <c r="E366" s="46" t="s">
        <v>262</v>
      </c>
      <c r="F366" s="47">
        <v>58</v>
      </c>
      <c r="G366" s="15">
        <v>0.93099651312167397</v>
      </c>
    </row>
    <row r="367" spans="2:7" x14ac:dyDescent="0.3">
      <c r="B367" s="46" t="s">
        <v>237</v>
      </c>
      <c r="C367" s="49" t="s">
        <v>90</v>
      </c>
      <c r="D367" s="49" t="s">
        <v>91</v>
      </c>
      <c r="E367" s="46" t="s">
        <v>29</v>
      </c>
      <c r="F367" s="47">
        <v>52</v>
      </c>
      <c r="G367" s="15">
        <v>0.94053954854101696</v>
      </c>
    </row>
    <row r="368" spans="2:7" x14ac:dyDescent="0.3">
      <c r="B368" s="46" t="s">
        <v>237</v>
      </c>
      <c r="C368" s="49" t="s">
        <v>90</v>
      </c>
      <c r="D368" s="49" t="s">
        <v>91</v>
      </c>
      <c r="E368" s="46" t="s">
        <v>31</v>
      </c>
      <c r="F368" s="47">
        <v>49</v>
      </c>
      <c r="G368" s="15">
        <v>0.94953202422462801</v>
      </c>
    </row>
    <row r="369" spans="2:7" x14ac:dyDescent="0.3">
      <c r="B369" s="46" t="s">
        <v>237</v>
      </c>
      <c r="C369" s="49" t="s">
        <v>90</v>
      </c>
      <c r="D369" s="49" t="s">
        <v>91</v>
      </c>
      <c r="E369" s="46" t="s">
        <v>36</v>
      </c>
      <c r="F369" s="47">
        <v>48</v>
      </c>
      <c r="G369" s="15">
        <v>0.95834097999632994</v>
      </c>
    </row>
    <row r="370" spans="2:7" x14ac:dyDescent="0.3">
      <c r="B370" s="46" t="s">
        <v>237</v>
      </c>
      <c r="C370" s="49" t="s">
        <v>90</v>
      </c>
      <c r="D370" s="49" t="s">
        <v>91</v>
      </c>
      <c r="E370" s="46" t="s">
        <v>30</v>
      </c>
      <c r="F370" s="47">
        <v>45</v>
      </c>
      <c r="G370" s="15">
        <v>0.96659937603229995</v>
      </c>
    </row>
    <row r="371" spans="2:7" x14ac:dyDescent="0.3">
      <c r="B371" s="46" t="s">
        <v>237</v>
      </c>
      <c r="C371" s="49" t="s">
        <v>90</v>
      </c>
      <c r="D371" s="49" t="s">
        <v>91</v>
      </c>
      <c r="E371" s="46" t="s">
        <v>48</v>
      </c>
      <c r="F371" s="47">
        <v>35</v>
      </c>
      <c r="G371" s="15">
        <v>0.97302257294916505</v>
      </c>
    </row>
    <row r="372" spans="2:7" x14ac:dyDescent="0.3">
      <c r="B372" s="46" t="s">
        <v>237</v>
      </c>
      <c r="C372" s="49" t="s">
        <v>90</v>
      </c>
      <c r="D372" s="49" t="s">
        <v>91</v>
      </c>
      <c r="E372" s="46" t="s">
        <v>44</v>
      </c>
      <c r="F372" s="47">
        <v>31</v>
      </c>
      <c r="G372" s="15">
        <v>0.978711690218389</v>
      </c>
    </row>
    <row r="373" spans="2:7" x14ac:dyDescent="0.3">
      <c r="B373" s="46" t="s">
        <v>237</v>
      </c>
      <c r="C373" s="49" t="s">
        <v>90</v>
      </c>
      <c r="D373" s="49" t="s">
        <v>91</v>
      </c>
      <c r="E373" s="46" t="s">
        <v>51</v>
      </c>
      <c r="F373" s="47">
        <v>26</v>
      </c>
      <c r="G373" s="15">
        <v>0.98348320792805999</v>
      </c>
    </row>
    <row r="374" spans="2:7" x14ac:dyDescent="0.3">
      <c r="B374" s="46" t="s">
        <v>237</v>
      </c>
      <c r="C374" s="49" t="s">
        <v>90</v>
      </c>
      <c r="D374" s="49" t="s">
        <v>91</v>
      </c>
      <c r="E374" s="46" t="s">
        <v>24</v>
      </c>
      <c r="F374" s="47">
        <v>19</v>
      </c>
      <c r="G374" s="15">
        <v>0.986970086254359</v>
      </c>
    </row>
    <row r="375" spans="2:7" x14ac:dyDescent="0.3">
      <c r="B375" s="46" t="s">
        <v>237</v>
      </c>
      <c r="C375" s="49" t="s">
        <v>90</v>
      </c>
      <c r="D375" s="49" t="s">
        <v>91</v>
      </c>
      <c r="E375" s="46" t="s">
        <v>22</v>
      </c>
      <c r="F375" s="47">
        <v>18</v>
      </c>
      <c r="G375" s="15">
        <v>0.990273444668747</v>
      </c>
    </row>
    <row r="376" spans="2:7" x14ac:dyDescent="0.3">
      <c r="B376" s="46" t="s">
        <v>237</v>
      </c>
      <c r="C376" s="49" t="s">
        <v>90</v>
      </c>
      <c r="D376" s="49" t="s">
        <v>91</v>
      </c>
      <c r="E376" s="46" t="s">
        <v>49</v>
      </c>
      <c r="F376" s="47">
        <v>17</v>
      </c>
      <c r="G376" s="15">
        <v>0.993393283171224</v>
      </c>
    </row>
    <row r="377" spans="2:7" x14ac:dyDescent="0.3">
      <c r="B377" s="46" t="s">
        <v>237</v>
      </c>
      <c r="C377" s="49" t="s">
        <v>90</v>
      </c>
      <c r="D377" s="49" t="s">
        <v>91</v>
      </c>
      <c r="E377" s="46" t="s">
        <v>43</v>
      </c>
      <c r="F377" s="47">
        <v>14</v>
      </c>
      <c r="G377" s="15">
        <v>0.99596256193796995</v>
      </c>
    </row>
    <row r="378" spans="2:7" x14ac:dyDescent="0.3">
      <c r="B378" s="46" t="s">
        <v>237</v>
      </c>
      <c r="C378" s="49" t="s">
        <v>90</v>
      </c>
      <c r="D378" s="49" t="s">
        <v>91</v>
      </c>
      <c r="E378" s="46" t="s">
        <v>80</v>
      </c>
      <c r="F378" s="47">
        <v>10</v>
      </c>
      <c r="G378" s="15">
        <v>0.99779776105707496</v>
      </c>
    </row>
    <row r="379" spans="2:7" x14ac:dyDescent="0.3">
      <c r="B379" s="46" t="s">
        <v>237</v>
      </c>
      <c r="C379" s="49" t="s">
        <v>90</v>
      </c>
      <c r="D379" s="49" t="s">
        <v>91</v>
      </c>
      <c r="E379" s="46" t="s">
        <v>65</v>
      </c>
      <c r="F379" s="47">
        <v>8</v>
      </c>
      <c r="G379" s="15">
        <v>0.99926592035235795</v>
      </c>
    </row>
    <row r="380" spans="2:7" x14ac:dyDescent="0.3">
      <c r="B380" s="46" t="s">
        <v>237</v>
      </c>
      <c r="C380" s="49" t="s">
        <v>90</v>
      </c>
      <c r="D380" s="49" t="s">
        <v>91</v>
      </c>
      <c r="E380" s="46" t="s">
        <v>53</v>
      </c>
      <c r="F380" s="47">
        <v>2</v>
      </c>
      <c r="G380" s="15">
        <v>0.99963296017617898</v>
      </c>
    </row>
    <row r="381" spans="2:7" x14ac:dyDescent="0.3">
      <c r="B381" s="46" t="s">
        <v>237</v>
      </c>
      <c r="C381" s="49" t="s">
        <v>90</v>
      </c>
      <c r="D381" s="49" t="s">
        <v>91</v>
      </c>
      <c r="E381" s="46" t="s">
        <v>64</v>
      </c>
      <c r="F381" s="47">
        <v>1</v>
      </c>
      <c r="G381" s="15">
        <v>1</v>
      </c>
    </row>
    <row r="382" spans="2:7" x14ac:dyDescent="0.3">
      <c r="B382" s="46" t="s">
        <v>237</v>
      </c>
      <c r="C382" s="49" t="s">
        <v>90</v>
      </c>
      <c r="D382" s="49" t="s">
        <v>91</v>
      </c>
      <c r="E382" s="46" t="s">
        <v>76</v>
      </c>
      <c r="F382" s="47">
        <v>1</v>
      </c>
      <c r="G382" s="15">
        <v>1</v>
      </c>
    </row>
    <row r="383" spans="2:7" x14ac:dyDescent="0.3">
      <c r="B383" s="46" t="s">
        <v>237</v>
      </c>
      <c r="C383" s="49" t="s">
        <v>90</v>
      </c>
      <c r="D383" s="49" t="s">
        <v>91</v>
      </c>
      <c r="E383" s="46" t="s">
        <v>73</v>
      </c>
      <c r="F383" s="47">
        <v>0</v>
      </c>
      <c r="G383" s="15">
        <v>1</v>
      </c>
    </row>
    <row r="384" spans="2:7" x14ac:dyDescent="0.3">
      <c r="B384" s="46" t="s">
        <v>237</v>
      </c>
      <c r="C384" s="49" t="s">
        <v>90</v>
      </c>
      <c r="D384" s="49" t="s">
        <v>91</v>
      </c>
      <c r="E384" s="46" t="s">
        <v>32</v>
      </c>
      <c r="F384" s="47">
        <v>0</v>
      </c>
      <c r="G384" s="15">
        <v>1</v>
      </c>
    </row>
    <row r="385" spans="1:7" x14ac:dyDescent="0.3">
      <c r="B385" s="46" t="s">
        <v>237</v>
      </c>
      <c r="C385" s="49" t="s">
        <v>90</v>
      </c>
      <c r="D385" s="49" t="s">
        <v>91</v>
      </c>
      <c r="E385" s="46" t="s">
        <v>39</v>
      </c>
      <c r="F385" s="47">
        <v>0</v>
      </c>
      <c r="G385" s="15">
        <v>1</v>
      </c>
    </row>
    <row r="386" spans="1:7" x14ac:dyDescent="0.3">
      <c r="B386" s="46" t="s">
        <v>237</v>
      </c>
      <c r="C386" s="49" t="s">
        <v>90</v>
      </c>
      <c r="D386" s="49" t="s">
        <v>91</v>
      </c>
      <c r="E386" s="46" t="s">
        <v>58</v>
      </c>
      <c r="F386" s="47">
        <v>0</v>
      </c>
      <c r="G386" s="15">
        <v>1</v>
      </c>
    </row>
    <row r="387" spans="1:7" x14ac:dyDescent="0.3">
      <c r="B387" s="46" t="s">
        <v>237</v>
      </c>
      <c r="C387" s="49" t="s">
        <v>90</v>
      </c>
      <c r="D387" s="49" t="s">
        <v>91</v>
      </c>
      <c r="E387" s="46" t="s">
        <v>89</v>
      </c>
      <c r="F387" s="47">
        <v>0</v>
      </c>
      <c r="G387" s="15">
        <v>1</v>
      </c>
    </row>
    <row r="388" spans="1:7" x14ac:dyDescent="0.3">
      <c r="B388" s="46" t="s">
        <v>237</v>
      </c>
      <c r="C388" s="49" t="s">
        <v>90</v>
      </c>
      <c r="D388" s="49" t="s">
        <v>91</v>
      </c>
      <c r="E388" s="46" t="s">
        <v>263</v>
      </c>
      <c r="F388" s="47">
        <v>0</v>
      </c>
      <c r="G388" s="15">
        <v>1</v>
      </c>
    </row>
    <row r="389" spans="1:7" x14ac:dyDescent="0.3">
      <c r="B389" s="10" t="s">
        <v>92</v>
      </c>
      <c r="C389" s="10" t="s">
        <v>90</v>
      </c>
      <c r="D389" s="10" t="s">
        <v>206</v>
      </c>
      <c r="E389" s="51" t="s">
        <v>210</v>
      </c>
      <c r="F389" s="52">
        <v>58034</v>
      </c>
      <c r="G389" s="15">
        <v>0.584266269329897</v>
      </c>
    </row>
    <row r="390" spans="1:7" x14ac:dyDescent="0.3">
      <c r="A390" s="49"/>
      <c r="B390" s="51" t="s">
        <v>92</v>
      </c>
      <c r="C390" s="59" t="s">
        <v>90</v>
      </c>
      <c r="D390" s="59" t="s">
        <v>206</v>
      </c>
      <c r="E390" s="51" t="s">
        <v>213</v>
      </c>
      <c r="F390" s="52">
        <v>23817</v>
      </c>
      <c r="G390" s="15">
        <v>0.82404759987113396</v>
      </c>
    </row>
    <row r="391" spans="1:7" x14ac:dyDescent="0.3">
      <c r="A391" s="49"/>
      <c r="B391" s="51" t="s">
        <v>92</v>
      </c>
      <c r="C391" s="59" t="s">
        <v>90</v>
      </c>
      <c r="D391" s="59" t="s">
        <v>206</v>
      </c>
      <c r="E391" s="51" t="s">
        <v>211</v>
      </c>
      <c r="F391" s="52">
        <v>10418</v>
      </c>
      <c r="G391" s="15">
        <v>0.92893242590206204</v>
      </c>
    </row>
    <row r="392" spans="1:7" x14ac:dyDescent="0.3">
      <c r="A392" s="49"/>
      <c r="B392" s="51" t="s">
        <v>92</v>
      </c>
      <c r="C392" s="59" t="s">
        <v>90</v>
      </c>
      <c r="D392" s="59" t="s">
        <v>206</v>
      </c>
      <c r="E392" s="51" t="s">
        <v>212</v>
      </c>
      <c r="F392" s="52">
        <v>6614</v>
      </c>
      <c r="G392" s="15">
        <v>0.99551989368556704</v>
      </c>
    </row>
    <row r="393" spans="1:7" x14ac:dyDescent="0.3">
      <c r="A393" s="49"/>
      <c r="B393" s="51" t="s">
        <v>92</v>
      </c>
      <c r="C393" s="59" t="s">
        <v>90</v>
      </c>
      <c r="D393" s="59" t="s">
        <v>206</v>
      </c>
      <c r="E393" s="51" t="s">
        <v>214</v>
      </c>
      <c r="F393" s="52">
        <v>264</v>
      </c>
      <c r="G393" s="15">
        <v>0.99817775451030899</v>
      </c>
    </row>
    <row r="394" spans="1:7" x14ac:dyDescent="0.3">
      <c r="A394" s="49"/>
      <c r="B394" s="51" t="s">
        <v>92</v>
      </c>
      <c r="C394" s="59" t="s">
        <v>90</v>
      </c>
      <c r="D394" s="59" t="s">
        <v>206</v>
      </c>
      <c r="E394" s="51" t="s">
        <v>215</v>
      </c>
      <c r="F394" s="52">
        <v>83</v>
      </c>
      <c r="G394" s="15">
        <v>0.99901336984536104</v>
      </c>
    </row>
    <row r="395" spans="1:7" x14ac:dyDescent="0.3">
      <c r="A395" s="49"/>
      <c r="B395" s="51" t="s">
        <v>92</v>
      </c>
      <c r="C395" s="59" t="s">
        <v>90</v>
      </c>
      <c r="D395" s="59" t="s">
        <v>206</v>
      </c>
      <c r="E395" s="51" t="s">
        <v>218</v>
      </c>
      <c r="F395" s="52">
        <v>56</v>
      </c>
      <c r="G395" s="15">
        <v>0.99957715850515505</v>
      </c>
    </row>
    <row r="396" spans="1:7" x14ac:dyDescent="0.3">
      <c r="A396" s="49"/>
      <c r="B396" s="51" t="s">
        <v>92</v>
      </c>
      <c r="C396" s="59" t="s">
        <v>90</v>
      </c>
      <c r="D396" s="59" t="s">
        <v>206</v>
      </c>
      <c r="E396" s="51" t="s">
        <v>216</v>
      </c>
      <c r="F396" s="52">
        <v>42</v>
      </c>
      <c r="G396" s="15">
        <v>1</v>
      </c>
    </row>
    <row r="397" spans="1:7" x14ac:dyDescent="0.3">
      <c r="B397" s="10" t="s">
        <v>191</v>
      </c>
      <c r="C397" s="59" t="s">
        <v>90</v>
      </c>
      <c r="D397" s="59" t="s">
        <v>206</v>
      </c>
      <c r="E397" s="56" t="s">
        <v>210</v>
      </c>
      <c r="F397" s="57">
        <v>45012</v>
      </c>
      <c r="G397" s="15">
        <v>0.54977831519548603</v>
      </c>
    </row>
    <row r="398" spans="1:7" x14ac:dyDescent="0.3">
      <c r="B398" s="56" t="s">
        <v>191</v>
      </c>
      <c r="C398" s="59" t="s">
        <v>90</v>
      </c>
      <c r="D398" s="59" t="s">
        <v>206</v>
      </c>
      <c r="E398" s="56" t="s">
        <v>213</v>
      </c>
      <c r="F398" s="57">
        <v>20014</v>
      </c>
      <c r="G398" s="15">
        <v>0.79423008806322004</v>
      </c>
    </row>
    <row r="399" spans="1:7" x14ac:dyDescent="0.3">
      <c r="B399" s="56" t="s">
        <v>191</v>
      </c>
      <c r="C399" s="59" t="s">
        <v>90</v>
      </c>
      <c r="D399" s="59" t="s">
        <v>206</v>
      </c>
      <c r="E399" s="56" t="s">
        <v>211</v>
      </c>
      <c r="F399" s="57">
        <v>9471</v>
      </c>
      <c r="G399" s="15">
        <v>0.90990924969159503</v>
      </c>
    </row>
    <row r="400" spans="1:7" x14ac:dyDescent="0.3">
      <c r="B400" s="56" t="s">
        <v>191</v>
      </c>
      <c r="C400" s="59" t="s">
        <v>90</v>
      </c>
      <c r="D400" s="59" t="s">
        <v>206</v>
      </c>
      <c r="E400" s="56" t="s">
        <v>212</v>
      </c>
      <c r="F400" s="57">
        <v>7194</v>
      </c>
      <c r="G400" s="15">
        <v>0.99777704493544905</v>
      </c>
    </row>
    <row r="401" spans="2:7" x14ac:dyDescent="0.3">
      <c r="B401" s="56" t="s">
        <v>191</v>
      </c>
      <c r="C401" s="59" t="s">
        <v>90</v>
      </c>
      <c r="D401" s="59" t="s">
        <v>206</v>
      </c>
      <c r="E401" s="56" t="s">
        <v>214</v>
      </c>
      <c r="F401" s="57">
        <v>168</v>
      </c>
      <c r="G401" s="15">
        <v>0.999829003456573</v>
      </c>
    </row>
    <row r="402" spans="2:7" x14ac:dyDescent="0.3">
      <c r="B402" s="56" t="s">
        <v>191</v>
      </c>
      <c r="C402" s="59" t="s">
        <v>90</v>
      </c>
      <c r="D402" s="59" t="s">
        <v>206</v>
      </c>
      <c r="E402" s="56" t="s">
        <v>217</v>
      </c>
      <c r="F402" s="57">
        <v>7</v>
      </c>
      <c r="G402" s="15">
        <v>0.999914501728286</v>
      </c>
    </row>
    <row r="403" spans="2:7" x14ac:dyDescent="0.3">
      <c r="B403" s="56" t="s">
        <v>191</v>
      </c>
      <c r="C403" s="59" t="s">
        <v>90</v>
      </c>
      <c r="D403" s="59" t="s">
        <v>206</v>
      </c>
      <c r="E403" s="56" t="s">
        <v>215</v>
      </c>
      <c r="F403" s="57">
        <v>6</v>
      </c>
      <c r="G403" s="15">
        <v>0.99998778596118398</v>
      </c>
    </row>
    <row r="404" spans="2:7" x14ac:dyDescent="0.3">
      <c r="B404" s="56" t="s">
        <v>191</v>
      </c>
      <c r="C404" s="59" t="s">
        <v>90</v>
      </c>
      <c r="D404" s="59" t="s">
        <v>206</v>
      </c>
      <c r="E404" s="56" t="s">
        <v>216</v>
      </c>
      <c r="F404" s="57">
        <v>1</v>
      </c>
      <c r="G404" s="15">
        <v>1</v>
      </c>
    </row>
    <row r="405" spans="2:7" x14ac:dyDescent="0.3">
      <c r="B405" s="10" t="s">
        <v>192</v>
      </c>
      <c r="C405" s="87" t="s">
        <v>90</v>
      </c>
      <c r="D405" s="87" t="s">
        <v>206</v>
      </c>
      <c r="E405" s="61" t="s">
        <v>210</v>
      </c>
      <c r="F405" s="62">
        <v>48448</v>
      </c>
      <c r="G405" s="15">
        <v>0.71597676858734705</v>
      </c>
    </row>
    <row r="406" spans="2:7" x14ac:dyDescent="0.3">
      <c r="B406" s="61" t="s">
        <v>192</v>
      </c>
      <c r="C406" s="87" t="s">
        <v>90</v>
      </c>
      <c r="D406" s="87" t="s">
        <v>206</v>
      </c>
      <c r="E406" s="61" t="s">
        <v>211</v>
      </c>
      <c r="F406" s="62">
        <v>9242</v>
      </c>
      <c r="G406" s="15">
        <v>0.85255737656464703</v>
      </c>
    </row>
    <row r="407" spans="2:7" x14ac:dyDescent="0.3">
      <c r="B407" s="61" t="s">
        <v>192</v>
      </c>
      <c r="C407" s="87" t="s">
        <v>90</v>
      </c>
      <c r="D407" s="87" t="s">
        <v>206</v>
      </c>
      <c r="E407" s="61" t="s">
        <v>212</v>
      </c>
      <c r="F407" s="62">
        <v>6678</v>
      </c>
      <c r="G407" s="15">
        <v>0.95124654558351895</v>
      </c>
    </row>
    <row r="408" spans="2:7" x14ac:dyDescent="0.3">
      <c r="B408" s="61" t="s">
        <v>192</v>
      </c>
      <c r="C408" s="87" t="s">
        <v>90</v>
      </c>
      <c r="D408" s="87" t="s">
        <v>206</v>
      </c>
      <c r="E408" s="61" t="s">
        <v>213</v>
      </c>
      <c r="F408" s="62">
        <v>3166</v>
      </c>
      <c r="G408" s="15">
        <v>0.99803449244092401</v>
      </c>
    </row>
    <row r="409" spans="2:7" x14ac:dyDescent="0.3">
      <c r="B409" s="61" t="s">
        <v>192</v>
      </c>
      <c r="C409" s="87" t="s">
        <v>90</v>
      </c>
      <c r="D409" s="87" t="s">
        <v>206</v>
      </c>
      <c r="E409" s="61" t="s">
        <v>214</v>
      </c>
      <c r="F409" s="62">
        <v>121</v>
      </c>
      <c r="G409" s="15">
        <v>0.99982266097211303</v>
      </c>
    </row>
    <row r="410" spans="2:7" x14ac:dyDescent="0.3">
      <c r="B410" s="61" t="s">
        <v>192</v>
      </c>
      <c r="C410" s="87" t="s">
        <v>90</v>
      </c>
      <c r="D410" s="87" t="s">
        <v>206</v>
      </c>
      <c r="E410" s="61" t="s">
        <v>215</v>
      </c>
      <c r="F410" s="62">
        <v>10</v>
      </c>
      <c r="G410" s="15">
        <v>0.99997044349535202</v>
      </c>
    </row>
    <row r="411" spans="2:7" x14ac:dyDescent="0.3">
      <c r="B411" s="61" t="s">
        <v>192</v>
      </c>
      <c r="C411" s="87" t="s">
        <v>90</v>
      </c>
      <c r="D411" s="87" t="s">
        <v>206</v>
      </c>
      <c r="E411" s="61" t="s">
        <v>216</v>
      </c>
      <c r="F411" s="62">
        <v>2</v>
      </c>
      <c r="G411" s="15">
        <v>1</v>
      </c>
    </row>
    <row r="412" spans="2:7" x14ac:dyDescent="0.3">
      <c r="B412" s="10" t="s">
        <v>194</v>
      </c>
      <c r="C412" s="87" t="s">
        <v>90</v>
      </c>
      <c r="D412" s="87" t="s">
        <v>206</v>
      </c>
      <c r="E412" s="68" t="s">
        <v>210</v>
      </c>
      <c r="F412" s="69">
        <v>46897</v>
      </c>
      <c r="G412" s="15">
        <v>0.75751506243034095</v>
      </c>
    </row>
    <row r="413" spans="2:7" x14ac:dyDescent="0.3">
      <c r="B413" s="68" t="s">
        <v>194</v>
      </c>
      <c r="C413" s="87" t="s">
        <v>90</v>
      </c>
      <c r="D413" s="87" t="s">
        <v>206</v>
      </c>
      <c r="E413" s="68" t="s">
        <v>211</v>
      </c>
      <c r="F413" s="69">
        <v>7858</v>
      </c>
      <c r="G413" s="15">
        <v>0.88444329580513303</v>
      </c>
    </row>
    <row r="414" spans="2:7" x14ac:dyDescent="0.3">
      <c r="B414" s="68" t="s">
        <v>194</v>
      </c>
      <c r="C414" s="87" t="s">
        <v>90</v>
      </c>
      <c r="D414" s="87" t="s">
        <v>206</v>
      </c>
      <c r="E414" s="68" t="s">
        <v>212</v>
      </c>
      <c r="F414" s="69">
        <v>6974</v>
      </c>
      <c r="G414" s="15">
        <v>0.99709250674376904</v>
      </c>
    </row>
    <row r="415" spans="2:7" x14ac:dyDescent="0.3">
      <c r="B415" s="68" t="s">
        <v>194</v>
      </c>
      <c r="C415" s="87" t="s">
        <v>90</v>
      </c>
      <c r="D415" s="87" t="s">
        <v>206</v>
      </c>
      <c r="E415" s="68" t="s">
        <v>213</v>
      </c>
      <c r="F415" s="69">
        <v>74</v>
      </c>
      <c r="G415" s="15">
        <v>0.99948311231000297</v>
      </c>
    </row>
    <row r="416" spans="2:7" x14ac:dyDescent="0.3">
      <c r="B416" s="68" t="s">
        <v>194</v>
      </c>
      <c r="C416" s="87" t="s">
        <v>90</v>
      </c>
      <c r="D416" s="87" t="s">
        <v>206</v>
      </c>
      <c r="E416" s="68" t="s">
        <v>214</v>
      </c>
      <c r="F416" s="69">
        <v>74</v>
      </c>
      <c r="G416" s="15">
        <v>0.99948311231000297</v>
      </c>
    </row>
    <row r="417" spans="2:7" x14ac:dyDescent="0.3">
      <c r="B417" s="68" t="s">
        <v>194</v>
      </c>
      <c r="C417" s="87" t="s">
        <v>90</v>
      </c>
      <c r="D417" s="87" t="s">
        <v>206</v>
      </c>
      <c r="E417" s="68" t="s">
        <v>215</v>
      </c>
      <c r="F417" s="69">
        <v>13</v>
      </c>
      <c r="G417" s="15">
        <v>0.99969309793406402</v>
      </c>
    </row>
    <row r="418" spans="2:7" x14ac:dyDescent="0.3">
      <c r="B418" s="68" t="s">
        <v>194</v>
      </c>
      <c r="C418" s="87" t="s">
        <v>90</v>
      </c>
      <c r="D418" s="87" t="s">
        <v>206</v>
      </c>
      <c r="E418" s="68" t="s">
        <v>216</v>
      </c>
      <c r="F418" s="69">
        <v>11</v>
      </c>
      <c r="G418" s="15">
        <v>0.99987077807750102</v>
      </c>
    </row>
    <row r="419" spans="2:7" x14ac:dyDescent="0.3">
      <c r="B419" s="68" t="s">
        <v>194</v>
      </c>
      <c r="C419" s="87" t="s">
        <v>90</v>
      </c>
      <c r="D419" s="87" t="s">
        <v>206</v>
      </c>
      <c r="E419" s="68" t="s">
        <v>217</v>
      </c>
      <c r="F419" s="69">
        <v>8</v>
      </c>
      <c r="G419" s="15">
        <v>1</v>
      </c>
    </row>
    <row r="420" spans="2:7" x14ac:dyDescent="0.3">
      <c r="B420" s="10" t="s">
        <v>202</v>
      </c>
      <c r="C420" s="87" t="s">
        <v>90</v>
      </c>
      <c r="D420" s="87" t="s">
        <v>206</v>
      </c>
      <c r="E420" s="73" t="s">
        <v>210</v>
      </c>
      <c r="F420" s="74">
        <v>43331</v>
      </c>
      <c r="G420" s="15">
        <v>0.74787276273321901</v>
      </c>
    </row>
    <row r="421" spans="2:7" x14ac:dyDescent="0.3">
      <c r="B421" s="73" t="s">
        <v>202</v>
      </c>
      <c r="C421" s="87" t="s">
        <v>90</v>
      </c>
      <c r="D421" s="87" t="s">
        <v>206</v>
      </c>
      <c r="E421" s="73" t="s">
        <v>211</v>
      </c>
      <c r="F421" s="74">
        <v>7741</v>
      </c>
      <c r="G421" s="15">
        <v>0.88147879666545803</v>
      </c>
    </row>
    <row r="422" spans="2:7" x14ac:dyDescent="0.3">
      <c r="B422" s="73" t="s">
        <v>202</v>
      </c>
      <c r="C422" s="87" t="s">
        <v>90</v>
      </c>
      <c r="D422" s="87" t="s">
        <v>206</v>
      </c>
      <c r="E422" s="73" t="s">
        <v>212</v>
      </c>
      <c r="F422" s="74">
        <v>4989</v>
      </c>
      <c r="G422" s="15">
        <v>0.96758659969968397</v>
      </c>
    </row>
    <row r="423" spans="2:7" x14ac:dyDescent="0.3">
      <c r="B423" s="73" t="s">
        <v>202</v>
      </c>
      <c r="C423" s="87" t="s">
        <v>90</v>
      </c>
      <c r="D423" s="87" t="s">
        <v>206</v>
      </c>
      <c r="E423" s="73" t="s">
        <v>213</v>
      </c>
      <c r="F423" s="74">
        <v>1187</v>
      </c>
      <c r="G423" s="15">
        <v>0.98807366368076799</v>
      </c>
    </row>
    <row r="424" spans="2:7" x14ac:dyDescent="0.3">
      <c r="B424" s="73" t="s">
        <v>202</v>
      </c>
      <c r="C424" s="87" t="s">
        <v>90</v>
      </c>
      <c r="D424" s="87" t="s">
        <v>206</v>
      </c>
      <c r="E424" s="73" t="s">
        <v>214</v>
      </c>
      <c r="F424" s="74">
        <v>643</v>
      </c>
      <c r="G424" s="15">
        <v>0.99917154248433704</v>
      </c>
    </row>
    <row r="425" spans="2:7" x14ac:dyDescent="0.3">
      <c r="B425" s="73" t="s">
        <v>202</v>
      </c>
      <c r="C425" s="87" t="s">
        <v>90</v>
      </c>
      <c r="D425" s="87" t="s">
        <v>206</v>
      </c>
      <c r="E425" s="73" t="s">
        <v>216</v>
      </c>
      <c r="F425" s="74">
        <v>32</v>
      </c>
      <c r="G425" s="15">
        <v>0.99972384749477905</v>
      </c>
    </row>
    <row r="426" spans="2:7" x14ac:dyDescent="0.3">
      <c r="B426" s="73" t="s">
        <v>202</v>
      </c>
      <c r="C426" s="87" t="s">
        <v>90</v>
      </c>
      <c r="D426" s="87" t="s">
        <v>206</v>
      </c>
      <c r="E426" s="73" t="s">
        <v>215</v>
      </c>
      <c r="F426" s="74">
        <v>16</v>
      </c>
      <c r="G426" s="15">
        <v>1</v>
      </c>
    </row>
    <row r="427" spans="2:7" x14ac:dyDescent="0.3">
      <c r="B427" s="10" t="s">
        <v>203</v>
      </c>
      <c r="C427" s="87" t="s">
        <v>90</v>
      </c>
      <c r="D427" s="87" t="s">
        <v>206</v>
      </c>
      <c r="E427" s="77" t="s">
        <v>210</v>
      </c>
      <c r="F427" s="78">
        <v>47225</v>
      </c>
      <c r="G427" s="15">
        <v>0.725177359417708</v>
      </c>
    </row>
    <row r="428" spans="2:7" x14ac:dyDescent="0.3">
      <c r="B428" s="77" t="s">
        <v>203</v>
      </c>
      <c r="C428" s="87" t="s">
        <v>90</v>
      </c>
      <c r="D428" s="87" t="s">
        <v>206</v>
      </c>
      <c r="E428" s="77" t="s">
        <v>211</v>
      </c>
      <c r="F428" s="78">
        <v>8547</v>
      </c>
      <c r="G428" s="15">
        <v>0.85642332852185099</v>
      </c>
    </row>
    <row r="429" spans="2:7" x14ac:dyDescent="0.3">
      <c r="B429" s="77" t="s">
        <v>203</v>
      </c>
      <c r="C429" s="87" t="s">
        <v>90</v>
      </c>
      <c r="D429" s="87" t="s">
        <v>206</v>
      </c>
      <c r="E429" s="77" t="s">
        <v>212</v>
      </c>
      <c r="F429" s="78">
        <v>7987</v>
      </c>
      <c r="G429" s="15">
        <v>0.979070053131046</v>
      </c>
    </row>
    <row r="430" spans="2:7" x14ac:dyDescent="0.3">
      <c r="B430" s="77" t="s">
        <v>203</v>
      </c>
      <c r="C430" s="87" t="s">
        <v>90</v>
      </c>
      <c r="D430" s="87" t="s">
        <v>206</v>
      </c>
      <c r="E430" s="77" t="s">
        <v>213</v>
      </c>
      <c r="F430" s="78">
        <v>1000</v>
      </c>
      <c r="G430" s="15">
        <v>0.99442584687202495</v>
      </c>
    </row>
    <row r="431" spans="2:7" x14ac:dyDescent="0.3">
      <c r="B431" s="77" t="s">
        <v>203</v>
      </c>
      <c r="C431" s="87" t="s">
        <v>90</v>
      </c>
      <c r="D431" s="87" t="s">
        <v>206</v>
      </c>
      <c r="E431" s="77" t="s">
        <v>214</v>
      </c>
      <c r="F431" s="78">
        <v>246</v>
      </c>
      <c r="G431" s="15">
        <v>0.99820337213230503</v>
      </c>
    </row>
    <row r="432" spans="2:7" x14ac:dyDescent="0.3">
      <c r="B432" s="77" t="s">
        <v>203</v>
      </c>
      <c r="C432" s="87" t="s">
        <v>90</v>
      </c>
      <c r="D432" s="87" t="s">
        <v>206</v>
      </c>
      <c r="E432" s="77" t="s">
        <v>215</v>
      </c>
      <c r="F432" s="78">
        <v>91</v>
      </c>
      <c r="G432" s="15">
        <v>0.99960074936273502</v>
      </c>
    </row>
    <row r="433" spans="1:7" x14ac:dyDescent="0.3">
      <c r="B433" s="77" t="s">
        <v>203</v>
      </c>
      <c r="C433" s="87" t="s">
        <v>90</v>
      </c>
      <c r="D433" s="87" t="s">
        <v>206</v>
      </c>
      <c r="E433" s="77" t="s">
        <v>216</v>
      </c>
      <c r="F433" s="78">
        <v>15</v>
      </c>
      <c r="G433" s="15">
        <v>0.99983108626884898</v>
      </c>
    </row>
    <row r="434" spans="1:7" x14ac:dyDescent="0.3">
      <c r="B434" s="77" t="s">
        <v>203</v>
      </c>
      <c r="C434" s="87" t="s">
        <v>90</v>
      </c>
      <c r="D434" s="87" t="s">
        <v>206</v>
      </c>
      <c r="E434" s="77" t="s">
        <v>217</v>
      </c>
      <c r="F434" s="78">
        <v>9</v>
      </c>
      <c r="G434" s="15">
        <v>0.99996928841251798</v>
      </c>
    </row>
    <row r="435" spans="1:7" x14ac:dyDescent="0.3">
      <c r="B435" s="77" t="s">
        <v>203</v>
      </c>
      <c r="C435" s="87" t="s">
        <v>90</v>
      </c>
      <c r="D435" s="87" t="s">
        <v>206</v>
      </c>
      <c r="E435" s="77" t="s">
        <v>218</v>
      </c>
      <c r="F435" s="78">
        <v>2</v>
      </c>
      <c r="G435" s="15">
        <v>1</v>
      </c>
    </row>
    <row r="436" spans="1:7" x14ac:dyDescent="0.3">
      <c r="B436" s="10" t="s">
        <v>205</v>
      </c>
      <c r="C436" s="87" t="s">
        <v>90</v>
      </c>
      <c r="D436" s="87" t="s">
        <v>206</v>
      </c>
      <c r="E436" s="79" t="s">
        <v>210</v>
      </c>
      <c r="F436" s="80">
        <v>58182</v>
      </c>
      <c r="G436" s="15">
        <v>0.68474384775624098</v>
      </c>
    </row>
    <row r="437" spans="1:7" x14ac:dyDescent="0.3">
      <c r="A437" s="77"/>
      <c r="B437" s="79" t="s">
        <v>205</v>
      </c>
      <c r="C437" s="87" t="s">
        <v>90</v>
      </c>
      <c r="D437" s="87" t="s">
        <v>206</v>
      </c>
      <c r="E437" s="79" t="s">
        <v>218</v>
      </c>
      <c r="F437" s="80">
        <v>17688</v>
      </c>
      <c r="G437" s="15">
        <v>0.89291388624086399</v>
      </c>
    </row>
    <row r="438" spans="1:7" x14ac:dyDescent="0.3">
      <c r="A438" s="77"/>
      <c r="B438" s="79" t="s">
        <v>205</v>
      </c>
      <c r="C438" s="87" t="s">
        <v>90</v>
      </c>
      <c r="D438" s="87" t="s">
        <v>206</v>
      </c>
      <c r="E438" s="79" t="s">
        <v>211</v>
      </c>
      <c r="F438" s="80">
        <v>5725</v>
      </c>
      <c r="G438" s="15">
        <v>0.96029140039308503</v>
      </c>
    </row>
    <row r="439" spans="1:7" x14ac:dyDescent="0.3">
      <c r="A439" s="77"/>
      <c r="B439" s="79" t="s">
        <v>205</v>
      </c>
      <c r="C439" s="87" t="s">
        <v>90</v>
      </c>
      <c r="D439" s="87" t="s">
        <v>206</v>
      </c>
      <c r="E439" s="79" t="s">
        <v>212</v>
      </c>
      <c r="F439" s="80">
        <v>3001</v>
      </c>
      <c r="G439" s="15">
        <v>0.99561016370676403</v>
      </c>
    </row>
    <row r="440" spans="1:7" x14ac:dyDescent="0.3">
      <c r="A440" s="77"/>
      <c r="B440" s="79" t="s">
        <v>205</v>
      </c>
      <c r="C440" s="87" t="s">
        <v>90</v>
      </c>
      <c r="D440" s="87" t="s">
        <v>206</v>
      </c>
      <c r="E440" s="79" t="s">
        <v>213</v>
      </c>
      <c r="F440" s="80">
        <v>202</v>
      </c>
      <c r="G440" s="15">
        <v>0.99798750132401204</v>
      </c>
    </row>
    <row r="441" spans="1:7" x14ac:dyDescent="0.3">
      <c r="A441" s="77"/>
      <c r="B441" s="79" t="s">
        <v>205</v>
      </c>
      <c r="C441" s="87" t="s">
        <v>90</v>
      </c>
      <c r="D441" s="87" t="s">
        <v>206</v>
      </c>
      <c r="E441" s="79" t="s">
        <v>214</v>
      </c>
      <c r="F441" s="80">
        <v>123</v>
      </c>
      <c r="G441" s="15">
        <v>0.99943508809095105</v>
      </c>
    </row>
    <row r="442" spans="1:7" x14ac:dyDescent="0.3">
      <c r="A442" s="77"/>
      <c r="B442" s="79" t="s">
        <v>205</v>
      </c>
      <c r="C442" s="87" t="s">
        <v>90</v>
      </c>
      <c r="D442" s="87" t="s">
        <v>206</v>
      </c>
      <c r="E442" s="79" t="s">
        <v>215</v>
      </c>
      <c r="F442" s="80">
        <v>26</v>
      </c>
      <c r="G442" s="15">
        <v>0.99974108204168599</v>
      </c>
    </row>
    <row r="443" spans="1:7" x14ac:dyDescent="0.3">
      <c r="A443" s="77"/>
      <c r="B443" s="79" t="s">
        <v>205</v>
      </c>
      <c r="C443" s="87" t="s">
        <v>90</v>
      </c>
      <c r="D443" s="87" t="s">
        <v>206</v>
      </c>
      <c r="E443" s="79" t="s">
        <v>217</v>
      </c>
      <c r="F443" s="80">
        <v>14</v>
      </c>
      <c r="G443" s="15">
        <v>0.99990584801515803</v>
      </c>
    </row>
    <row r="444" spans="1:7" x14ac:dyDescent="0.3">
      <c r="A444" s="77"/>
      <c r="B444" s="79" t="s">
        <v>205</v>
      </c>
      <c r="C444" s="87" t="s">
        <v>90</v>
      </c>
      <c r="D444" s="87" t="s">
        <v>206</v>
      </c>
      <c r="E444" s="79" t="s">
        <v>216</v>
      </c>
      <c r="F444" s="80">
        <v>8</v>
      </c>
      <c r="G444" s="15">
        <v>1</v>
      </c>
    </row>
    <row r="445" spans="1:7" x14ac:dyDescent="0.3">
      <c r="B445" s="10" t="s">
        <v>237</v>
      </c>
      <c r="C445" s="87" t="s">
        <v>90</v>
      </c>
      <c r="D445" s="87" t="s">
        <v>206</v>
      </c>
      <c r="E445" s="87" t="s">
        <v>218</v>
      </c>
      <c r="F445" s="88">
        <v>21419</v>
      </c>
      <c r="G445" s="15">
        <v>0.80643825301204797</v>
      </c>
    </row>
    <row r="446" spans="1:7" x14ac:dyDescent="0.3">
      <c r="A446" s="85"/>
      <c r="B446" s="87" t="s">
        <v>237</v>
      </c>
      <c r="C446" s="87" t="s">
        <v>90</v>
      </c>
      <c r="D446" s="87" t="s">
        <v>206</v>
      </c>
      <c r="E446" s="87" t="s">
        <v>210</v>
      </c>
      <c r="F446" s="88">
        <v>5135</v>
      </c>
      <c r="G446" s="15">
        <v>0.99977409638554204</v>
      </c>
    </row>
    <row r="447" spans="1:7" x14ac:dyDescent="0.3">
      <c r="A447" s="85"/>
      <c r="B447" s="87" t="s">
        <v>237</v>
      </c>
      <c r="C447" s="87" t="s">
        <v>90</v>
      </c>
      <c r="D447" s="87" t="s">
        <v>206</v>
      </c>
      <c r="E447" s="87" t="s">
        <v>213</v>
      </c>
      <c r="F447" s="88">
        <v>6</v>
      </c>
      <c r="G447" s="15">
        <v>1</v>
      </c>
    </row>
    <row r="448" spans="1:7" x14ac:dyDescent="0.3">
      <c r="A448" s="85"/>
      <c r="B448" s="87" t="s">
        <v>237</v>
      </c>
      <c r="C448" s="87" t="s">
        <v>90</v>
      </c>
      <c r="D448" s="87" t="s">
        <v>206</v>
      </c>
      <c r="E448" s="87" t="s">
        <v>214</v>
      </c>
      <c r="F448" s="88">
        <v>0</v>
      </c>
      <c r="G448" s="15">
        <v>1</v>
      </c>
    </row>
    <row r="449" spans="1:7" x14ac:dyDescent="0.3">
      <c r="B449" s="10" t="s">
        <v>92</v>
      </c>
      <c r="C449" s="10" t="s">
        <v>219</v>
      </c>
      <c r="D449" s="10" t="s">
        <v>91</v>
      </c>
      <c r="E449" s="89" t="s">
        <v>210</v>
      </c>
      <c r="F449" s="90">
        <v>47768</v>
      </c>
      <c r="G449" s="15">
        <v>0.94276466408778703</v>
      </c>
    </row>
    <row r="450" spans="1:7" x14ac:dyDescent="0.3">
      <c r="A450" s="87"/>
      <c r="B450" s="89" t="s">
        <v>92</v>
      </c>
      <c r="C450" s="89" t="s">
        <v>219</v>
      </c>
      <c r="D450" s="89" t="s">
        <v>91</v>
      </c>
      <c r="E450" s="89" t="s">
        <v>220</v>
      </c>
      <c r="F450" s="90">
        <v>1578</v>
      </c>
      <c r="G450" s="15">
        <v>0.97390858135312197</v>
      </c>
    </row>
    <row r="451" spans="1:7" x14ac:dyDescent="0.3">
      <c r="A451" s="87"/>
      <c r="B451" s="89" t="s">
        <v>92</v>
      </c>
      <c r="C451" s="89" t="s">
        <v>219</v>
      </c>
      <c r="D451" s="89" t="s">
        <v>91</v>
      </c>
      <c r="E451" s="89" t="s">
        <v>221</v>
      </c>
      <c r="F451" s="90">
        <v>928</v>
      </c>
      <c r="G451" s="15">
        <v>0.99222388884502999</v>
      </c>
    </row>
    <row r="452" spans="1:7" x14ac:dyDescent="0.3">
      <c r="A452" s="87"/>
      <c r="B452" s="89" t="s">
        <v>92</v>
      </c>
      <c r="C452" s="89" t="s">
        <v>219</v>
      </c>
      <c r="D452" s="89" t="s">
        <v>91</v>
      </c>
      <c r="E452" s="89" t="s">
        <v>214</v>
      </c>
      <c r="F452" s="90">
        <v>233</v>
      </c>
      <c r="G452" s="15">
        <v>0.99682245204073605</v>
      </c>
    </row>
    <row r="453" spans="1:7" x14ac:dyDescent="0.3">
      <c r="A453" s="87"/>
      <c r="B453" s="89" t="s">
        <v>92</v>
      </c>
      <c r="C453" s="89" t="s">
        <v>219</v>
      </c>
      <c r="D453" s="89" t="s">
        <v>91</v>
      </c>
      <c r="E453" s="89" t="s">
        <v>211</v>
      </c>
      <c r="F453" s="90">
        <v>86</v>
      </c>
      <c r="G453" s="15">
        <v>0.99851977579537399</v>
      </c>
    </row>
    <row r="454" spans="1:7" x14ac:dyDescent="0.3">
      <c r="A454" s="87"/>
      <c r="B454" s="89" t="s">
        <v>92</v>
      </c>
      <c r="C454" s="89" t="s">
        <v>219</v>
      </c>
      <c r="D454" s="89" t="s">
        <v>91</v>
      </c>
      <c r="E454" s="89" t="s">
        <v>215</v>
      </c>
      <c r="F454" s="90">
        <v>49</v>
      </c>
      <c r="G454" s="15">
        <v>0.99948685560906303</v>
      </c>
    </row>
    <row r="455" spans="1:7" x14ac:dyDescent="0.3">
      <c r="A455" s="87"/>
      <c r="B455" s="89" t="s">
        <v>92</v>
      </c>
      <c r="C455" s="89" t="s">
        <v>219</v>
      </c>
      <c r="D455" s="89" t="s">
        <v>91</v>
      </c>
      <c r="E455" s="89" t="s">
        <v>216</v>
      </c>
      <c r="F455" s="90">
        <v>22</v>
      </c>
      <c r="G455" s="15">
        <v>0.99992105470908699</v>
      </c>
    </row>
    <row r="456" spans="1:7" x14ac:dyDescent="0.3">
      <c r="A456" s="87"/>
      <c r="B456" s="89" t="s">
        <v>92</v>
      </c>
      <c r="C456" s="89" t="s">
        <v>219</v>
      </c>
      <c r="D456" s="89" t="s">
        <v>91</v>
      </c>
      <c r="E456" s="89" t="s">
        <v>218</v>
      </c>
      <c r="F456" s="90">
        <v>3</v>
      </c>
      <c r="G456" s="15">
        <v>0.999980263677272</v>
      </c>
    </row>
    <row r="457" spans="1:7" x14ac:dyDescent="0.3">
      <c r="A457" s="87"/>
      <c r="B457" s="89" t="s">
        <v>92</v>
      </c>
      <c r="C457" s="89" t="s">
        <v>219</v>
      </c>
      <c r="D457" s="89" t="s">
        <v>91</v>
      </c>
      <c r="E457" s="89" t="s">
        <v>217</v>
      </c>
      <c r="F457" s="90">
        <v>1</v>
      </c>
      <c r="G457" s="15">
        <v>1</v>
      </c>
    </row>
    <row r="458" spans="1:7" x14ac:dyDescent="0.3">
      <c r="B458" s="10" t="s">
        <v>191</v>
      </c>
      <c r="C458" s="10" t="s">
        <v>219</v>
      </c>
      <c r="D458" s="10" t="s">
        <v>91</v>
      </c>
      <c r="E458" s="93" t="s">
        <v>210</v>
      </c>
      <c r="F458" s="94">
        <v>37685</v>
      </c>
      <c r="G458" s="15">
        <v>0.94439153969526901</v>
      </c>
    </row>
    <row r="459" spans="1:7" x14ac:dyDescent="0.3">
      <c r="B459" s="93" t="s">
        <v>191</v>
      </c>
      <c r="C459" s="126" t="s">
        <v>219</v>
      </c>
      <c r="D459" s="126" t="s">
        <v>91</v>
      </c>
      <c r="E459" s="93" t="s">
        <v>220</v>
      </c>
      <c r="F459" s="94">
        <v>1040</v>
      </c>
      <c r="G459" s="15">
        <v>0.97045408981555703</v>
      </c>
    </row>
    <row r="460" spans="1:7" x14ac:dyDescent="0.3">
      <c r="B460" s="93" t="s">
        <v>191</v>
      </c>
      <c r="C460" s="126" t="s">
        <v>219</v>
      </c>
      <c r="D460" s="126" t="s">
        <v>91</v>
      </c>
      <c r="E460" s="93" t="s">
        <v>221</v>
      </c>
      <c r="F460" s="94">
        <v>782</v>
      </c>
      <c r="G460" s="15">
        <v>0.99005112269446705</v>
      </c>
    </row>
    <row r="461" spans="1:7" x14ac:dyDescent="0.3">
      <c r="B461" s="93" t="s">
        <v>191</v>
      </c>
      <c r="C461" s="126" t="s">
        <v>219</v>
      </c>
      <c r="D461" s="126" t="s">
        <v>91</v>
      </c>
      <c r="E461" s="93" t="s">
        <v>211</v>
      </c>
      <c r="F461" s="94">
        <v>185</v>
      </c>
      <c r="G461" s="15">
        <v>0.99468724939855702</v>
      </c>
    </row>
    <row r="462" spans="1:7" x14ac:dyDescent="0.3">
      <c r="B462" s="93" t="s">
        <v>191</v>
      </c>
      <c r="C462" s="126" t="s">
        <v>219</v>
      </c>
      <c r="D462" s="126" t="s">
        <v>91</v>
      </c>
      <c r="E462" s="93" t="s">
        <v>214</v>
      </c>
      <c r="F462" s="94">
        <v>164</v>
      </c>
      <c r="G462" s="15">
        <v>0.99879711307137098</v>
      </c>
    </row>
    <row r="463" spans="1:7" x14ac:dyDescent="0.3">
      <c r="B463" s="93" t="s">
        <v>191</v>
      </c>
      <c r="C463" s="126" t="s">
        <v>219</v>
      </c>
      <c r="D463" s="126" t="s">
        <v>91</v>
      </c>
      <c r="E463" s="93" t="s">
        <v>215</v>
      </c>
      <c r="F463" s="94">
        <v>19</v>
      </c>
      <c r="G463" s="15">
        <v>0.99927325581395399</v>
      </c>
    </row>
    <row r="464" spans="1:7" x14ac:dyDescent="0.3">
      <c r="B464" s="93" t="s">
        <v>191</v>
      </c>
      <c r="C464" s="126" t="s">
        <v>219</v>
      </c>
      <c r="D464" s="126" t="s">
        <v>91</v>
      </c>
      <c r="E464" s="93" t="s">
        <v>216</v>
      </c>
      <c r="F464" s="94">
        <v>17</v>
      </c>
      <c r="G464" s="15">
        <v>0.99969927826784299</v>
      </c>
    </row>
    <row r="465" spans="2:7" x14ac:dyDescent="0.3">
      <c r="B465" s="93" t="s">
        <v>191</v>
      </c>
      <c r="C465" s="126" t="s">
        <v>219</v>
      </c>
      <c r="D465" s="126" t="s">
        <v>91</v>
      </c>
      <c r="E465" s="93" t="s">
        <v>217</v>
      </c>
      <c r="F465" s="94">
        <v>12</v>
      </c>
      <c r="G465" s="15">
        <v>1</v>
      </c>
    </row>
    <row r="466" spans="2:7" x14ac:dyDescent="0.3">
      <c r="B466" s="10" t="s">
        <v>192</v>
      </c>
      <c r="C466" s="126" t="s">
        <v>219</v>
      </c>
      <c r="D466" s="126" t="s">
        <v>91</v>
      </c>
      <c r="E466" s="99" t="s">
        <v>210</v>
      </c>
      <c r="F466" s="100">
        <v>39055</v>
      </c>
      <c r="G466" s="15">
        <v>0.96017209588199104</v>
      </c>
    </row>
    <row r="467" spans="2:7" x14ac:dyDescent="0.3">
      <c r="B467" s="99" t="s">
        <v>192</v>
      </c>
      <c r="C467" s="126" t="s">
        <v>219</v>
      </c>
      <c r="D467" s="126" t="s">
        <v>91</v>
      </c>
      <c r="E467" s="99" t="s">
        <v>221</v>
      </c>
      <c r="F467" s="100">
        <v>761</v>
      </c>
      <c r="G467" s="15">
        <v>0.978881376767056</v>
      </c>
    </row>
    <row r="468" spans="2:7" x14ac:dyDescent="0.3">
      <c r="B468" s="99" t="s">
        <v>192</v>
      </c>
      <c r="C468" s="126" t="s">
        <v>219</v>
      </c>
      <c r="D468" s="126" t="s">
        <v>91</v>
      </c>
      <c r="E468" s="99" t="s">
        <v>220</v>
      </c>
      <c r="F468" s="100">
        <v>476</v>
      </c>
      <c r="G468" s="15">
        <v>0.99058389674247105</v>
      </c>
    </row>
    <row r="469" spans="2:7" x14ac:dyDescent="0.3">
      <c r="B469" s="99" t="s">
        <v>192</v>
      </c>
      <c r="C469" s="126" t="s">
        <v>219</v>
      </c>
      <c r="D469" s="126" t="s">
        <v>91</v>
      </c>
      <c r="E469" s="99" t="s">
        <v>214</v>
      </c>
      <c r="F469" s="100">
        <v>200</v>
      </c>
      <c r="G469" s="15">
        <v>0.99550092194222495</v>
      </c>
    </row>
    <row r="470" spans="2:7" x14ac:dyDescent="0.3">
      <c r="B470" s="99" t="s">
        <v>192</v>
      </c>
      <c r="C470" s="126" t="s">
        <v>219</v>
      </c>
      <c r="D470" s="126" t="s">
        <v>91</v>
      </c>
      <c r="E470" s="99" t="s">
        <v>211</v>
      </c>
      <c r="F470" s="100">
        <v>161</v>
      </c>
      <c r="G470" s="15">
        <v>0.99945912722802699</v>
      </c>
    </row>
    <row r="471" spans="2:7" x14ac:dyDescent="0.3">
      <c r="B471" s="99" t="s">
        <v>192</v>
      </c>
      <c r="C471" s="126" t="s">
        <v>219</v>
      </c>
      <c r="D471" s="126" t="s">
        <v>91</v>
      </c>
      <c r="E471" s="99" t="s">
        <v>215</v>
      </c>
      <c r="F471" s="100">
        <v>14</v>
      </c>
      <c r="G471" s="15">
        <v>0.99980331899201003</v>
      </c>
    </row>
    <row r="472" spans="2:7" x14ac:dyDescent="0.3">
      <c r="B472" s="99" t="s">
        <v>192</v>
      </c>
      <c r="C472" s="126" t="s">
        <v>219</v>
      </c>
      <c r="D472" s="126" t="s">
        <v>91</v>
      </c>
      <c r="E472" s="99" t="s">
        <v>216</v>
      </c>
      <c r="F472" s="100">
        <v>8</v>
      </c>
      <c r="G472" s="15">
        <v>1</v>
      </c>
    </row>
    <row r="473" spans="2:7" x14ac:dyDescent="0.3">
      <c r="B473" s="99" t="s">
        <v>192</v>
      </c>
      <c r="C473" s="126" t="s">
        <v>219</v>
      </c>
      <c r="D473" s="126" t="s">
        <v>91</v>
      </c>
      <c r="E473" s="99" t="s">
        <v>217</v>
      </c>
      <c r="F473" s="100">
        <v>0</v>
      </c>
      <c r="G473" s="15">
        <v>1</v>
      </c>
    </row>
    <row r="474" spans="2:7" x14ac:dyDescent="0.3">
      <c r="B474" s="10" t="s">
        <v>194</v>
      </c>
      <c r="C474" s="126" t="s">
        <v>219</v>
      </c>
      <c r="D474" s="126" t="s">
        <v>91</v>
      </c>
      <c r="E474" s="104" t="s">
        <v>210</v>
      </c>
      <c r="F474" s="105">
        <v>38864</v>
      </c>
      <c r="G474" s="15">
        <v>0.95872906233811095</v>
      </c>
    </row>
    <row r="475" spans="2:7" x14ac:dyDescent="0.3">
      <c r="B475" s="104" t="s">
        <v>194</v>
      </c>
      <c r="C475" s="126" t="s">
        <v>219</v>
      </c>
      <c r="D475" s="126" t="s">
        <v>91</v>
      </c>
      <c r="E475" s="104" t="s">
        <v>221</v>
      </c>
      <c r="F475" s="105">
        <v>776</v>
      </c>
      <c r="G475" s="15">
        <v>0.97787206749389399</v>
      </c>
    </row>
    <row r="476" spans="2:7" x14ac:dyDescent="0.3">
      <c r="B476" s="104" t="s">
        <v>194</v>
      </c>
      <c r="C476" s="126" t="s">
        <v>219</v>
      </c>
      <c r="D476" s="126" t="s">
        <v>91</v>
      </c>
      <c r="E476" s="104" t="s">
        <v>220</v>
      </c>
      <c r="F476" s="105">
        <v>582</v>
      </c>
      <c r="G476" s="15">
        <v>0.99222932136073205</v>
      </c>
    </row>
    <row r="477" spans="2:7" x14ac:dyDescent="0.3">
      <c r="B477" s="104" t="s">
        <v>194</v>
      </c>
      <c r="C477" s="126" t="s">
        <v>219</v>
      </c>
      <c r="D477" s="126" t="s">
        <v>91</v>
      </c>
      <c r="E477" s="104" t="s">
        <v>211</v>
      </c>
      <c r="F477" s="105">
        <v>212</v>
      </c>
      <c r="G477" s="15">
        <v>0.99745911142906496</v>
      </c>
    </row>
    <row r="478" spans="2:7" x14ac:dyDescent="0.3">
      <c r="B478" s="104" t="s">
        <v>194</v>
      </c>
      <c r="C478" s="126" t="s">
        <v>219</v>
      </c>
      <c r="D478" s="126" t="s">
        <v>91</v>
      </c>
      <c r="E478" s="104" t="s">
        <v>214</v>
      </c>
      <c r="F478" s="105">
        <v>101</v>
      </c>
      <c r="G478" s="15">
        <v>0.99995066235784602</v>
      </c>
    </row>
    <row r="479" spans="2:7" x14ac:dyDescent="0.3">
      <c r="B479" s="104" t="s">
        <v>194</v>
      </c>
      <c r="C479" s="126" t="s">
        <v>219</v>
      </c>
      <c r="D479" s="126" t="s">
        <v>91</v>
      </c>
      <c r="E479" s="104" t="s">
        <v>216</v>
      </c>
      <c r="F479" s="105">
        <v>2</v>
      </c>
      <c r="G479" s="15">
        <v>1</v>
      </c>
    </row>
    <row r="480" spans="2:7" x14ac:dyDescent="0.3">
      <c r="B480" s="10" t="s">
        <v>202</v>
      </c>
      <c r="C480" s="126" t="s">
        <v>219</v>
      </c>
      <c r="D480" s="126" t="s">
        <v>91</v>
      </c>
      <c r="E480" s="109" t="s">
        <v>210</v>
      </c>
      <c r="F480" s="110">
        <v>42199</v>
      </c>
      <c r="G480" s="15">
        <v>0.94925205263749901</v>
      </c>
    </row>
    <row r="481" spans="1:7" x14ac:dyDescent="0.3">
      <c r="B481" s="109" t="s">
        <v>202</v>
      </c>
      <c r="C481" s="126" t="s">
        <v>219</v>
      </c>
      <c r="D481" s="126" t="s">
        <v>91</v>
      </c>
      <c r="E481" s="109" t="s">
        <v>220</v>
      </c>
      <c r="F481" s="110">
        <v>988</v>
      </c>
      <c r="G481" s="15">
        <v>0.97147677426611201</v>
      </c>
    </row>
    <row r="482" spans="1:7" x14ac:dyDescent="0.3">
      <c r="B482" s="109" t="s">
        <v>202</v>
      </c>
      <c r="C482" s="126" t="s">
        <v>219</v>
      </c>
      <c r="D482" s="126" t="s">
        <v>91</v>
      </c>
      <c r="E482" s="109" t="s">
        <v>221</v>
      </c>
      <c r="F482" s="110">
        <v>849</v>
      </c>
      <c r="G482" s="15">
        <v>0.99057473849960598</v>
      </c>
    </row>
    <row r="483" spans="1:7" x14ac:dyDescent="0.3">
      <c r="B483" s="109" t="s">
        <v>202</v>
      </c>
      <c r="C483" s="126" t="s">
        <v>219</v>
      </c>
      <c r="D483" s="126" t="s">
        <v>91</v>
      </c>
      <c r="E483" s="109" t="s">
        <v>214</v>
      </c>
      <c r="F483" s="110">
        <v>258</v>
      </c>
      <c r="G483" s="15">
        <v>0.99637836013946701</v>
      </c>
    </row>
    <row r="484" spans="1:7" x14ac:dyDescent="0.3">
      <c r="B484" s="109" t="s">
        <v>202</v>
      </c>
      <c r="C484" s="126" t="s">
        <v>219</v>
      </c>
      <c r="D484" s="126" t="s">
        <v>91</v>
      </c>
      <c r="E484" s="109" t="s">
        <v>211</v>
      </c>
      <c r="F484" s="110">
        <v>107</v>
      </c>
      <c r="G484" s="15">
        <v>0.99878528849398296</v>
      </c>
    </row>
    <row r="485" spans="1:7" x14ac:dyDescent="0.3">
      <c r="B485" s="109" t="s">
        <v>202</v>
      </c>
      <c r="C485" s="126" t="s">
        <v>219</v>
      </c>
      <c r="D485" s="126" t="s">
        <v>91</v>
      </c>
      <c r="E485" s="109" t="s">
        <v>216</v>
      </c>
      <c r="F485" s="110">
        <v>21</v>
      </c>
      <c r="G485" s="15">
        <v>0.99925767630187801</v>
      </c>
    </row>
    <row r="486" spans="1:7" x14ac:dyDescent="0.3">
      <c r="B486" s="109" t="s">
        <v>202</v>
      </c>
      <c r="C486" s="126" t="s">
        <v>219</v>
      </c>
      <c r="D486" s="126" t="s">
        <v>91</v>
      </c>
      <c r="E486" s="109" t="s">
        <v>215</v>
      </c>
      <c r="F486" s="110">
        <v>17</v>
      </c>
      <c r="G486" s="15">
        <v>0.99964008547969896</v>
      </c>
    </row>
    <row r="487" spans="1:7" x14ac:dyDescent="0.3">
      <c r="B487" s="109" t="s">
        <v>202</v>
      </c>
      <c r="C487" s="126" t="s">
        <v>219</v>
      </c>
      <c r="D487" s="126" t="s">
        <v>91</v>
      </c>
      <c r="E487" s="109" t="s">
        <v>217</v>
      </c>
      <c r="F487" s="110">
        <v>16</v>
      </c>
      <c r="G487" s="15">
        <v>1</v>
      </c>
    </row>
    <row r="488" spans="1:7" x14ac:dyDescent="0.3">
      <c r="B488" s="10" t="s">
        <v>203</v>
      </c>
      <c r="C488" s="126" t="s">
        <v>219</v>
      </c>
      <c r="D488" s="126" t="s">
        <v>91</v>
      </c>
      <c r="E488" s="111" t="s">
        <v>210</v>
      </c>
      <c r="F488" s="112">
        <v>40969</v>
      </c>
      <c r="G488" s="15">
        <v>0.97078337519548796</v>
      </c>
    </row>
    <row r="489" spans="1:7" x14ac:dyDescent="0.3">
      <c r="A489" s="109"/>
      <c r="B489" s="111" t="s">
        <v>203</v>
      </c>
      <c r="C489" s="126" t="s">
        <v>219</v>
      </c>
      <c r="D489" s="126" t="s">
        <v>91</v>
      </c>
      <c r="E489" s="111" t="s">
        <v>220</v>
      </c>
      <c r="F489" s="112">
        <v>506</v>
      </c>
      <c r="G489" s="15">
        <v>0.98277332827828101</v>
      </c>
    </row>
    <row r="490" spans="1:7" x14ac:dyDescent="0.3">
      <c r="A490" s="109"/>
      <c r="B490" s="111" t="s">
        <v>203</v>
      </c>
      <c r="C490" s="126" t="s">
        <v>219</v>
      </c>
      <c r="D490" s="126" t="s">
        <v>91</v>
      </c>
      <c r="E490" s="111" t="s">
        <v>221</v>
      </c>
      <c r="F490" s="112">
        <v>470</v>
      </c>
      <c r="G490" s="15">
        <v>0.99391024122079497</v>
      </c>
    </row>
    <row r="491" spans="1:7" x14ac:dyDescent="0.3">
      <c r="A491" s="109"/>
      <c r="B491" s="111" t="s">
        <v>203</v>
      </c>
      <c r="C491" s="126" t="s">
        <v>219</v>
      </c>
      <c r="D491" s="126" t="s">
        <v>91</v>
      </c>
      <c r="E491" s="111" t="s">
        <v>214</v>
      </c>
      <c r="F491" s="112">
        <v>127</v>
      </c>
      <c r="G491" s="15">
        <v>0.99691957727121905</v>
      </c>
    </row>
    <row r="492" spans="1:7" x14ac:dyDescent="0.3">
      <c r="A492" s="109"/>
      <c r="B492" s="111" t="s">
        <v>203</v>
      </c>
      <c r="C492" s="126" t="s">
        <v>219</v>
      </c>
      <c r="D492" s="126" t="s">
        <v>91</v>
      </c>
      <c r="E492" s="111" t="s">
        <v>215</v>
      </c>
      <c r="F492" s="112">
        <v>69</v>
      </c>
      <c r="G492" s="15">
        <v>0.99855457087341803</v>
      </c>
    </row>
    <row r="493" spans="1:7" x14ac:dyDescent="0.3">
      <c r="A493" s="109"/>
      <c r="B493" s="111" t="s">
        <v>203</v>
      </c>
      <c r="C493" s="126" t="s">
        <v>219</v>
      </c>
      <c r="D493" s="126" t="s">
        <v>91</v>
      </c>
      <c r="E493" s="111" t="s">
        <v>211</v>
      </c>
      <c r="F493" s="112">
        <v>56</v>
      </c>
      <c r="G493" s="15">
        <v>0.99988152220273896</v>
      </c>
    </row>
    <row r="494" spans="1:7" x14ac:dyDescent="0.3">
      <c r="A494" s="109"/>
      <c r="B494" s="111" t="s">
        <v>203</v>
      </c>
      <c r="C494" s="126" t="s">
        <v>219</v>
      </c>
      <c r="D494" s="126" t="s">
        <v>91</v>
      </c>
      <c r="E494" s="111" t="s">
        <v>216</v>
      </c>
      <c r="F494" s="112">
        <v>5</v>
      </c>
      <c r="G494" s="15">
        <v>1</v>
      </c>
    </row>
    <row r="495" spans="1:7" x14ac:dyDescent="0.3">
      <c r="A495" s="109"/>
      <c r="B495" s="111" t="s">
        <v>203</v>
      </c>
      <c r="C495" s="126" t="s">
        <v>219</v>
      </c>
      <c r="D495" s="126" t="s">
        <v>91</v>
      </c>
      <c r="E495" s="111" t="s">
        <v>218</v>
      </c>
      <c r="F495" s="112">
        <v>0</v>
      </c>
      <c r="G495" s="15">
        <v>1</v>
      </c>
    </row>
    <row r="496" spans="1:7" x14ac:dyDescent="0.3">
      <c r="B496" s="10" t="s">
        <v>205</v>
      </c>
      <c r="C496" s="126" t="s">
        <v>219</v>
      </c>
      <c r="D496" s="126" t="s">
        <v>91</v>
      </c>
      <c r="E496" s="118" t="s">
        <v>210</v>
      </c>
      <c r="F496" s="119">
        <v>52651</v>
      </c>
      <c r="G496" s="15">
        <v>0.88848951214161598</v>
      </c>
    </row>
    <row r="497" spans="2:7" x14ac:dyDescent="0.3">
      <c r="B497" s="118" t="s">
        <v>205</v>
      </c>
      <c r="C497" s="126" t="s">
        <v>219</v>
      </c>
      <c r="D497" s="126" t="s">
        <v>91</v>
      </c>
      <c r="E497" s="118" t="s">
        <v>218</v>
      </c>
      <c r="F497" s="119">
        <v>4917</v>
      </c>
      <c r="G497" s="15">
        <v>0.97146425015609394</v>
      </c>
    </row>
    <row r="498" spans="2:7" x14ac:dyDescent="0.3">
      <c r="B498" s="118" t="s">
        <v>205</v>
      </c>
      <c r="C498" s="126" t="s">
        <v>219</v>
      </c>
      <c r="D498" s="126" t="s">
        <v>91</v>
      </c>
      <c r="E498" s="118" t="s">
        <v>221</v>
      </c>
      <c r="F498" s="119">
        <v>832</v>
      </c>
      <c r="G498" s="15">
        <v>0.98550431158136298</v>
      </c>
    </row>
    <row r="499" spans="2:7" x14ac:dyDescent="0.3">
      <c r="B499" s="118" t="s">
        <v>205</v>
      </c>
      <c r="C499" s="126" t="s">
        <v>219</v>
      </c>
      <c r="D499" s="126" t="s">
        <v>91</v>
      </c>
      <c r="E499" s="118" t="s">
        <v>220</v>
      </c>
      <c r="F499" s="119">
        <v>499</v>
      </c>
      <c r="G499" s="15">
        <v>0.99392497342175901</v>
      </c>
    </row>
    <row r="500" spans="2:7" x14ac:dyDescent="0.3">
      <c r="B500" s="118" t="s">
        <v>205</v>
      </c>
      <c r="C500" s="126" t="s">
        <v>219</v>
      </c>
      <c r="D500" s="126" t="s">
        <v>91</v>
      </c>
      <c r="E500" s="118" t="s">
        <v>211</v>
      </c>
      <c r="F500" s="119">
        <v>146</v>
      </c>
      <c r="G500" s="15">
        <v>0.99638873420071195</v>
      </c>
    </row>
    <row r="501" spans="2:7" x14ac:dyDescent="0.3">
      <c r="B501" s="118" t="s">
        <v>205</v>
      </c>
      <c r="C501" s="126" t="s">
        <v>219</v>
      </c>
      <c r="D501" s="126" t="s">
        <v>91</v>
      </c>
      <c r="E501" s="118" t="s">
        <v>214</v>
      </c>
      <c r="F501" s="119">
        <v>129</v>
      </c>
      <c r="G501" s="15">
        <v>0.99856561872458205</v>
      </c>
    </row>
    <row r="502" spans="2:7" x14ac:dyDescent="0.3">
      <c r="B502" s="118" t="s">
        <v>205</v>
      </c>
      <c r="C502" s="126" t="s">
        <v>219</v>
      </c>
      <c r="D502" s="126" t="s">
        <v>91</v>
      </c>
      <c r="E502" s="118" t="s">
        <v>215</v>
      </c>
      <c r="F502" s="119">
        <v>85</v>
      </c>
      <c r="G502" s="15">
        <v>1</v>
      </c>
    </row>
    <row r="503" spans="2:7" x14ac:dyDescent="0.3">
      <c r="B503" s="10" t="s">
        <v>92</v>
      </c>
      <c r="C503" s="10" t="s">
        <v>219</v>
      </c>
      <c r="D503" s="10" t="s">
        <v>206</v>
      </c>
      <c r="E503" s="126" t="s">
        <v>222</v>
      </c>
      <c r="F503" s="127">
        <v>17321</v>
      </c>
      <c r="G503" s="15">
        <v>0.41056698587276003</v>
      </c>
    </row>
    <row r="504" spans="2:7" x14ac:dyDescent="0.3">
      <c r="B504" s="126" t="s">
        <v>92</v>
      </c>
      <c r="C504" s="163" t="s">
        <v>219</v>
      </c>
      <c r="D504" s="163" t="s">
        <v>206</v>
      </c>
      <c r="E504" s="126" t="s">
        <v>23</v>
      </c>
      <c r="F504" s="127">
        <v>8007</v>
      </c>
      <c r="G504" s="15">
        <v>0.60036029202616903</v>
      </c>
    </row>
    <row r="505" spans="2:7" x14ac:dyDescent="0.3">
      <c r="B505" s="126" t="s">
        <v>92</v>
      </c>
      <c r="C505" s="163" t="s">
        <v>219</v>
      </c>
      <c r="D505" s="163" t="s">
        <v>206</v>
      </c>
      <c r="E505" s="126" t="s">
        <v>18</v>
      </c>
      <c r="F505" s="127">
        <v>6166</v>
      </c>
      <c r="G505" s="15">
        <v>0.74651559685218505</v>
      </c>
    </row>
    <row r="506" spans="2:7" x14ac:dyDescent="0.3">
      <c r="B506" s="126" t="s">
        <v>92</v>
      </c>
      <c r="C506" s="163" t="s">
        <v>219</v>
      </c>
      <c r="D506" s="163" t="s">
        <v>206</v>
      </c>
      <c r="E506" s="126" t="s">
        <v>223</v>
      </c>
      <c r="F506" s="127">
        <v>4337</v>
      </c>
      <c r="G506" s="15">
        <v>0.84931734142410198</v>
      </c>
    </row>
    <row r="507" spans="2:7" x14ac:dyDescent="0.3">
      <c r="B507" s="126" t="s">
        <v>92</v>
      </c>
      <c r="C507" s="163" t="s">
        <v>219</v>
      </c>
      <c r="D507" s="163" t="s">
        <v>206</v>
      </c>
      <c r="E507" s="126" t="s">
        <v>44</v>
      </c>
      <c r="F507" s="127">
        <v>1435</v>
      </c>
      <c r="G507" s="15">
        <v>0.883331753105148</v>
      </c>
    </row>
    <row r="508" spans="2:7" x14ac:dyDescent="0.3">
      <c r="B508" s="126" t="s">
        <v>92</v>
      </c>
      <c r="C508" s="163" t="s">
        <v>219</v>
      </c>
      <c r="D508" s="163" t="s">
        <v>206</v>
      </c>
      <c r="E508" s="126" t="s">
        <v>24</v>
      </c>
      <c r="F508" s="127">
        <v>1328</v>
      </c>
      <c r="G508" s="15">
        <v>0.91480989854935102</v>
      </c>
    </row>
    <row r="509" spans="2:7" x14ac:dyDescent="0.3">
      <c r="B509" s="126" t="s">
        <v>92</v>
      </c>
      <c r="C509" s="163" t="s">
        <v>219</v>
      </c>
      <c r="D509" s="163" t="s">
        <v>206</v>
      </c>
      <c r="E509" s="126" t="s">
        <v>221</v>
      </c>
      <c r="F509" s="127">
        <v>1187</v>
      </c>
      <c r="G509" s="15">
        <v>0.94294586138238401</v>
      </c>
    </row>
    <row r="510" spans="2:7" x14ac:dyDescent="0.3">
      <c r="B510" s="126" t="s">
        <v>92</v>
      </c>
      <c r="C510" s="163" t="s">
        <v>219</v>
      </c>
      <c r="D510" s="163" t="s">
        <v>206</v>
      </c>
      <c r="E510" s="126" t="s">
        <v>28</v>
      </c>
      <c r="F510" s="127">
        <v>540</v>
      </c>
      <c r="G510" s="15">
        <v>0.95574570968047801</v>
      </c>
    </row>
    <row r="511" spans="2:7" x14ac:dyDescent="0.3">
      <c r="B511" s="126" t="s">
        <v>92</v>
      </c>
      <c r="C511" s="163" t="s">
        <v>219</v>
      </c>
      <c r="D511" s="163" t="s">
        <v>206</v>
      </c>
      <c r="E511" s="126" t="s">
        <v>26</v>
      </c>
      <c r="F511" s="127">
        <v>523</v>
      </c>
      <c r="G511" s="15">
        <v>0.96814259979141004</v>
      </c>
    </row>
    <row r="512" spans="2:7" x14ac:dyDescent="0.3">
      <c r="B512" s="126" t="s">
        <v>92</v>
      </c>
      <c r="C512" s="163" t="s">
        <v>219</v>
      </c>
      <c r="D512" s="163" t="s">
        <v>206</v>
      </c>
      <c r="E512" s="126" t="s">
        <v>50</v>
      </c>
      <c r="F512" s="127">
        <v>501</v>
      </c>
      <c r="G512" s="15">
        <v>0.980018014601308</v>
      </c>
    </row>
    <row r="513" spans="2:7" x14ac:dyDescent="0.3">
      <c r="B513" s="126" t="s">
        <v>92</v>
      </c>
      <c r="C513" s="163" t="s">
        <v>219</v>
      </c>
      <c r="D513" s="163" t="s">
        <v>206</v>
      </c>
      <c r="E513" s="126" t="s">
        <v>20</v>
      </c>
      <c r="F513" s="127">
        <v>201</v>
      </c>
      <c r="G513" s="15">
        <v>0.98478240257893201</v>
      </c>
    </row>
    <row r="514" spans="2:7" x14ac:dyDescent="0.3">
      <c r="B514" s="126" t="s">
        <v>92</v>
      </c>
      <c r="C514" s="163" t="s">
        <v>219</v>
      </c>
      <c r="D514" s="163" t="s">
        <v>206</v>
      </c>
      <c r="E514" s="126" t="s">
        <v>32</v>
      </c>
      <c r="F514" s="127">
        <v>164</v>
      </c>
      <c r="G514" s="15">
        <v>0.98866976391390904</v>
      </c>
    </row>
    <row r="515" spans="2:7" x14ac:dyDescent="0.3">
      <c r="B515" s="126" t="s">
        <v>92</v>
      </c>
      <c r="C515" s="163" t="s">
        <v>219</v>
      </c>
      <c r="D515" s="163" t="s">
        <v>206</v>
      </c>
      <c r="E515" s="126" t="s">
        <v>224</v>
      </c>
      <c r="F515" s="127">
        <v>85</v>
      </c>
      <c r="G515" s="15">
        <v>0.99068455484971996</v>
      </c>
    </row>
    <row r="516" spans="2:7" x14ac:dyDescent="0.3">
      <c r="B516" s="126" t="s">
        <v>92</v>
      </c>
      <c r="C516" s="163" t="s">
        <v>219</v>
      </c>
      <c r="D516" s="163" t="s">
        <v>206</v>
      </c>
      <c r="E516" s="126" t="s">
        <v>22</v>
      </c>
      <c r="F516" s="127">
        <v>73</v>
      </c>
      <c r="G516" s="15">
        <v>0.99241490471224003</v>
      </c>
    </row>
    <row r="517" spans="2:7" x14ac:dyDescent="0.3">
      <c r="B517" s="126" t="s">
        <v>92</v>
      </c>
      <c r="C517" s="163" t="s">
        <v>219</v>
      </c>
      <c r="D517" s="163" t="s">
        <v>206</v>
      </c>
      <c r="E517" s="126" t="s">
        <v>262</v>
      </c>
      <c r="F517" s="127">
        <v>72</v>
      </c>
      <c r="G517" s="15">
        <v>0.99412155115198597</v>
      </c>
    </row>
    <row r="518" spans="2:7" x14ac:dyDescent="0.3">
      <c r="B518" s="126" t="s">
        <v>92</v>
      </c>
      <c r="C518" s="163" t="s">
        <v>219</v>
      </c>
      <c r="D518" s="163" t="s">
        <v>206</v>
      </c>
      <c r="E518" s="126" t="s">
        <v>45</v>
      </c>
      <c r="F518" s="127">
        <v>66</v>
      </c>
      <c r="G518" s="15">
        <v>0.99568597705508699</v>
      </c>
    </row>
    <row r="519" spans="2:7" x14ac:dyDescent="0.3">
      <c r="B519" s="126" t="s">
        <v>92</v>
      </c>
      <c r="C519" s="163" t="s">
        <v>219</v>
      </c>
      <c r="D519" s="163" t="s">
        <v>206</v>
      </c>
      <c r="E519" s="126" t="s">
        <v>261</v>
      </c>
      <c r="F519" s="127">
        <v>52</v>
      </c>
      <c r="G519" s="15">
        <v>0.99691855503934801</v>
      </c>
    </row>
    <row r="520" spans="2:7" x14ac:dyDescent="0.3">
      <c r="B520" s="126" t="s">
        <v>92</v>
      </c>
      <c r="C520" s="163" t="s">
        <v>219</v>
      </c>
      <c r="D520" s="163" t="s">
        <v>206</v>
      </c>
      <c r="E520" s="126" t="s">
        <v>225</v>
      </c>
      <c r="F520" s="127">
        <v>31</v>
      </c>
      <c r="G520" s="15">
        <v>0.99838816725135104</v>
      </c>
    </row>
    <row r="521" spans="2:7" x14ac:dyDescent="0.3">
      <c r="B521" s="126" t="s">
        <v>92</v>
      </c>
      <c r="C521" s="163" t="s">
        <v>219</v>
      </c>
      <c r="D521" s="163" t="s">
        <v>206</v>
      </c>
      <c r="E521" s="126" t="s">
        <v>39</v>
      </c>
      <c r="F521" s="127">
        <v>31</v>
      </c>
      <c r="G521" s="15">
        <v>0.99838816725135104</v>
      </c>
    </row>
    <row r="522" spans="2:7" x14ac:dyDescent="0.3">
      <c r="B522" s="126" t="s">
        <v>92</v>
      </c>
      <c r="C522" s="163" t="s">
        <v>219</v>
      </c>
      <c r="D522" s="163" t="s">
        <v>206</v>
      </c>
      <c r="E522" s="126" t="s">
        <v>27</v>
      </c>
      <c r="F522" s="127">
        <v>30</v>
      </c>
      <c r="G522" s="15">
        <v>0.99909926993457898</v>
      </c>
    </row>
    <row r="523" spans="2:7" x14ac:dyDescent="0.3">
      <c r="B523" s="126" t="s">
        <v>92</v>
      </c>
      <c r="C523" s="163" t="s">
        <v>219</v>
      </c>
      <c r="D523" s="163" t="s">
        <v>206</v>
      </c>
      <c r="E523" s="126" t="s">
        <v>35</v>
      </c>
      <c r="F523" s="127">
        <v>16</v>
      </c>
      <c r="G523" s="15">
        <v>0.99947852469896703</v>
      </c>
    </row>
    <row r="524" spans="2:7" x14ac:dyDescent="0.3">
      <c r="B524" s="126" t="s">
        <v>92</v>
      </c>
      <c r="C524" s="163" t="s">
        <v>219</v>
      </c>
      <c r="D524" s="163" t="s">
        <v>206</v>
      </c>
      <c r="E524" s="126" t="s">
        <v>65</v>
      </c>
      <c r="F524" s="127">
        <v>6</v>
      </c>
      <c r="G524" s="15">
        <v>0.99962074523561195</v>
      </c>
    </row>
    <row r="525" spans="2:7" x14ac:dyDescent="0.3">
      <c r="B525" s="126" t="s">
        <v>92</v>
      </c>
      <c r="C525" s="163" t="s">
        <v>219</v>
      </c>
      <c r="D525" s="163" t="s">
        <v>206</v>
      </c>
      <c r="E525" s="126" t="s">
        <v>33</v>
      </c>
      <c r="F525" s="127">
        <v>3</v>
      </c>
      <c r="G525" s="15">
        <v>0.99983407604058006</v>
      </c>
    </row>
    <row r="526" spans="2:7" x14ac:dyDescent="0.3">
      <c r="B526" s="126" t="s">
        <v>92</v>
      </c>
      <c r="C526" s="163" t="s">
        <v>219</v>
      </c>
      <c r="D526" s="163" t="s">
        <v>206</v>
      </c>
      <c r="E526" s="126" t="s">
        <v>77</v>
      </c>
      <c r="F526" s="127">
        <v>3</v>
      </c>
      <c r="G526" s="15">
        <v>0.99983407604058006</v>
      </c>
    </row>
    <row r="527" spans="2:7" x14ac:dyDescent="0.3">
      <c r="B527" s="126" t="s">
        <v>92</v>
      </c>
      <c r="C527" s="163" t="s">
        <v>219</v>
      </c>
      <c r="D527" s="163" t="s">
        <v>206</v>
      </c>
      <c r="E527" s="126" t="s">
        <v>66</v>
      </c>
      <c r="F527" s="127">
        <v>3</v>
      </c>
      <c r="G527" s="15">
        <v>0.99983407604058006</v>
      </c>
    </row>
    <row r="528" spans="2:7" x14ac:dyDescent="0.3">
      <c r="B528" s="126" t="s">
        <v>92</v>
      </c>
      <c r="C528" s="163" t="s">
        <v>219</v>
      </c>
      <c r="D528" s="163" t="s">
        <v>206</v>
      </c>
      <c r="E528" s="126" t="s">
        <v>76</v>
      </c>
      <c r="F528" s="127">
        <v>2</v>
      </c>
      <c r="G528" s="15">
        <v>0.99992888973167704</v>
      </c>
    </row>
    <row r="529" spans="1:7" x14ac:dyDescent="0.3">
      <c r="B529" s="126" t="s">
        <v>92</v>
      </c>
      <c r="C529" s="163" t="s">
        <v>219</v>
      </c>
      <c r="D529" s="163" t="s">
        <v>206</v>
      </c>
      <c r="E529" s="126" t="s">
        <v>43</v>
      </c>
      <c r="F529" s="127">
        <v>2</v>
      </c>
      <c r="G529" s="15">
        <v>0.99992888973167704</v>
      </c>
    </row>
    <row r="530" spans="1:7" x14ac:dyDescent="0.3">
      <c r="B530" s="126" t="s">
        <v>92</v>
      </c>
      <c r="C530" s="163" t="s">
        <v>219</v>
      </c>
      <c r="D530" s="163" t="s">
        <v>206</v>
      </c>
      <c r="E530" s="126" t="s">
        <v>49</v>
      </c>
      <c r="F530" s="127">
        <v>1</v>
      </c>
      <c r="G530" s="15">
        <v>1</v>
      </c>
    </row>
    <row r="531" spans="1:7" x14ac:dyDescent="0.3">
      <c r="B531" s="126" t="s">
        <v>92</v>
      </c>
      <c r="C531" s="163" t="s">
        <v>219</v>
      </c>
      <c r="D531" s="163" t="s">
        <v>206</v>
      </c>
      <c r="E531" s="126" t="s">
        <v>30</v>
      </c>
      <c r="F531" s="127">
        <v>1</v>
      </c>
      <c r="G531" s="15">
        <v>1</v>
      </c>
    </row>
    <row r="532" spans="1:7" x14ac:dyDescent="0.3">
      <c r="B532" s="126" t="s">
        <v>92</v>
      </c>
      <c r="C532" s="163" t="s">
        <v>219</v>
      </c>
      <c r="D532" s="163" t="s">
        <v>206</v>
      </c>
      <c r="E532" s="126" t="s">
        <v>25</v>
      </c>
      <c r="F532" s="127">
        <v>1</v>
      </c>
      <c r="G532" s="15">
        <v>1</v>
      </c>
    </row>
    <row r="533" spans="1:7" x14ac:dyDescent="0.3">
      <c r="B533" s="126" t="s">
        <v>92</v>
      </c>
      <c r="C533" s="163" t="s">
        <v>219</v>
      </c>
      <c r="D533" s="163" t="s">
        <v>206</v>
      </c>
      <c r="E533" s="126" t="s">
        <v>38</v>
      </c>
      <c r="F533" s="127">
        <v>0</v>
      </c>
      <c r="G533" s="15">
        <v>1</v>
      </c>
    </row>
    <row r="534" spans="1:7" x14ac:dyDescent="0.3">
      <c r="B534" s="126" t="s">
        <v>92</v>
      </c>
      <c r="C534" s="163" t="s">
        <v>219</v>
      </c>
      <c r="D534" s="163" t="s">
        <v>206</v>
      </c>
      <c r="E534" s="126" t="s">
        <v>46</v>
      </c>
      <c r="F534" s="127">
        <v>0</v>
      </c>
      <c r="G534" s="15">
        <v>1</v>
      </c>
    </row>
    <row r="535" spans="1:7" x14ac:dyDescent="0.3">
      <c r="B535" s="126" t="s">
        <v>92</v>
      </c>
      <c r="C535" s="163" t="s">
        <v>219</v>
      </c>
      <c r="D535" s="163" t="s">
        <v>206</v>
      </c>
      <c r="E535" s="126" t="s">
        <v>84</v>
      </c>
      <c r="F535" s="127">
        <v>0</v>
      </c>
      <c r="G535" s="15">
        <v>1</v>
      </c>
    </row>
    <row r="536" spans="1:7" x14ac:dyDescent="0.3">
      <c r="B536" s="126" t="s">
        <v>92</v>
      </c>
      <c r="C536" s="163" t="s">
        <v>219</v>
      </c>
      <c r="D536" s="163" t="s">
        <v>206</v>
      </c>
      <c r="E536" s="126" t="s">
        <v>89</v>
      </c>
      <c r="F536" s="127">
        <v>0</v>
      </c>
      <c r="G536" s="15">
        <v>1</v>
      </c>
    </row>
    <row r="537" spans="1:7" x14ac:dyDescent="0.3">
      <c r="B537" s="10" t="s">
        <v>191</v>
      </c>
      <c r="C537" s="163" t="s">
        <v>219</v>
      </c>
      <c r="D537" s="163" t="s">
        <v>206</v>
      </c>
      <c r="E537" s="131" t="s">
        <v>23</v>
      </c>
      <c r="F537" s="132">
        <v>8809</v>
      </c>
      <c r="G537" s="15">
        <v>0.32233158915437798</v>
      </c>
    </row>
    <row r="538" spans="1:7" x14ac:dyDescent="0.3">
      <c r="A538" s="129"/>
      <c r="B538" s="131" t="s">
        <v>191</v>
      </c>
      <c r="C538" s="163" t="s">
        <v>219</v>
      </c>
      <c r="D538" s="163" t="s">
        <v>206</v>
      </c>
      <c r="E538" s="131" t="s">
        <v>222</v>
      </c>
      <c r="F538" s="132">
        <v>6396</v>
      </c>
      <c r="G538" s="15">
        <v>0.55636869259760702</v>
      </c>
    </row>
    <row r="539" spans="1:7" x14ac:dyDescent="0.3">
      <c r="A539" s="129"/>
      <c r="B539" s="131" t="s">
        <v>191</v>
      </c>
      <c r="C539" s="163" t="s">
        <v>219</v>
      </c>
      <c r="D539" s="163" t="s">
        <v>206</v>
      </c>
      <c r="E539" s="131" t="s">
        <v>223</v>
      </c>
      <c r="F539" s="132">
        <v>3381</v>
      </c>
      <c r="G539" s="15">
        <v>0.68008342786051401</v>
      </c>
    </row>
    <row r="540" spans="1:7" x14ac:dyDescent="0.3">
      <c r="A540" s="129"/>
      <c r="B540" s="131" t="s">
        <v>191</v>
      </c>
      <c r="C540" s="163" t="s">
        <v>219</v>
      </c>
      <c r="D540" s="163" t="s">
        <v>206</v>
      </c>
      <c r="E540" s="131" t="s">
        <v>18</v>
      </c>
      <c r="F540" s="132">
        <v>2978</v>
      </c>
      <c r="G540" s="15">
        <v>0.78905192286582004</v>
      </c>
    </row>
    <row r="541" spans="1:7" x14ac:dyDescent="0.3">
      <c r="A541" s="129"/>
      <c r="B541" s="131" t="s">
        <v>191</v>
      </c>
      <c r="C541" s="163" t="s">
        <v>219</v>
      </c>
      <c r="D541" s="163" t="s">
        <v>206</v>
      </c>
      <c r="E541" s="131" t="s">
        <v>221</v>
      </c>
      <c r="F541" s="132">
        <v>1290</v>
      </c>
      <c r="G541" s="15">
        <v>0.83625452815690304</v>
      </c>
    </row>
    <row r="542" spans="1:7" x14ac:dyDescent="0.3">
      <c r="A542" s="129"/>
      <c r="B542" s="131" t="s">
        <v>191</v>
      </c>
      <c r="C542" s="163" t="s">
        <v>219</v>
      </c>
      <c r="D542" s="163" t="s">
        <v>206</v>
      </c>
      <c r="E542" s="131" t="s">
        <v>44</v>
      </c>
      <c r="F542" s="132">
        <v>891</v>
      </c>
      <c r="G542" s="15">
        <v>0.86885725785795298</v>
      </c>
    </row>
    <row r="543" spans="1:7" x14ac:dyDescent="0.3">
      <c r="A543" s="129"/>
      <c r="B543" s="131" t="s">
        <v>191</v>
      </c>
      <c r="C543" s="163" t="s">
        <v>219</v>
      </c>
      <c r="D543" s="163" t="s">
        <v>206</v>
      </c>
      <c r="E543" s="131" t="s">
        <v>24</v>
      </c>
      <c r="F543" s="132">
        <v>814</v>
      </c>
      <c r="G543" s="15">
        <v>0.89864246770829503</v>
      </c>
    </row>
    <row r="544" spans="1:7" x14ac:dyDescent="0.3">
      <c r="A544" s="129"/>
      <c r="B544" s="131" t="s">
        <v>191</v>
      </c>
      <c r="C544" s="163" t="s">
        <v>219</v>
      </c>
      <c r="D544" s="163" t="s">
        <v>206</v>
      </c>
      <c r="E544" s="131" t="s">
        <v>26</v>
      </c>
      <c r="F544" s="132">
        <v>517</v>
      </c>
      <c r="G544" s="15">
        <v>0.917560100991621</v>
      </c>
    </row>
    <row r="545" spans="1:7" x14ac:dyDescent="0.3">
      <c r="A545" s="129"/>
      <c r="B545" s="131" t="s">
        <v>191</v>
      </c>
      <c r="C545" s="163" t="s">
        <v>219</v>
      </c>
      <c r="D545" s="163" t="s">
        <v>206</v>
      </c>
      <c r="E545" s="131" t="s">
        <v>35</v>
      </c>
      <c r="F545" s="132">
        <v>446</v>
      </c>
      <c r="G545" s="15">
        <v>0.93387976142559204</v>
      </c>
    </row>
    <row r="546" spans="1:7" x14ac:dyDescent="0.3">
      <c r="A546" s="129"/>
      <c r="B546" s="131" t="s">
        <v>191</v>
      </c>
      <c r="C546" s="163" t="s">
        <v>219</v>
      </c>
      <c r="D546" s="163" t="s">
        <v>206</v>
      </c>
      <c r="E546" s="131" t="s">
        <v>50</v>
      </c>
      <c r="F546" s="132">
        <v>441</v>
      </c>
      <c r="G546" s="15">
        <v>0.95001646602510204</v>
      </c>
    </row>
    <row r="547" spans="1:7" x14ac:dyDescent="0.3">
      <c r="A547" s="129"/>
      <c r="B547" s="131" t="s">
        <v>191</v>
      </c>
      <c r="C547" s="163" t="s">
        <v>219</v>
      </c>
      <c r="D547" s="163" t="s">
        <v>206</v>
      </c>
      <c r="E547" s="131" t="s">
        <v>28</v>
      </c>
      <c r="F547" s="132">
        <v>350</v>
      </c>
      <c r="G547" s="15">
        <v>0.96282337443741095</v>
      </c>
    </row>
    <row r="548" spans="1:7" x14ac:dyDescent="0.3">
      <c r="A548" s="129"/>
      <c r="B548" s="131" t="s">
        <v>191</v>
      </c>
      <c r="C548" s="163" t="s">
        <v>219</v>
      </c>
      <c r="D548" s="163" t="s">
        <v>206</v>
      </c>
      <c r="E548" s="131" t="s">
        <v>20</v>
      </c>
      <c r="F548" s="132">
        <v>252</v>
      </c>
      <c r="G548" s="15">
        <v>0.97204434849427301</v>
      </c>
    </row>
    <row r="549" spans="1:7" x14ac:dyDescent="0.3">
      <c r="A549" s="129"/>
      <c r="B549" s="131" t="s">
        <v>191</v>
      </c>
      <c r="C549" s="163" t="s">
        <v>219</v>
      </c>
      <c r="D549" s="163" t="s">
        <v>206</v>
      </c>
      <c r="E549" s="131" t="s">
        <v>27</v>
      </c>
      <c r="F549" s="132">
        <v>235</v>
      </c>
      <c r="G549" s="15">
        <v>0.98064327271396701</v>
      </c>
    </row>
    <row r="550" spans="1:7" x14ac:dyDescent="0.3">
      <c r="A550" s="129"/>
      <c r="B550" s="131" t="s">
        <v>191</v>
      </c>
      <c r="C550" s="163" t="s">
        <v>219</v>
      </c>
      <c r="D550" s="163" t="s">
        <v>206</v>
      </c>
      <c r="E550" s="131" t="s">
        <v>225</v>
      </c>
      <c r="F550" s="132">
        <v>110</v>
      </c>
      <c r="G550" s="15">
        <v>0.984668301072121</v>
      </c>
    </row>
    <row r="551" spans="1:7" x14ac:dyDescent="0.3">
      <c r="A551" s="129"/>
      <c r="B551" s="131" t="s">
        <v>191</v>
      </c>
      <c r="C551" s="163" t="s">
        <v>219</v>
      </c>
      <c r="D551" s="163" t="s">
        <v>206</v>
      </c>
      <c r="E551" s="131" t="s">
        <v>32</v>
      </c>
      <c r="F551" s="132">
        <v>96</v>
      </c>
      <c r="G551" s="15">
        <v>0.98818105309378301</v>
      </c>
    </row>
    <row r="552" spans="1:7" x14ac:dyDescent="0.3">
      <c r="A552" s="129"/>
      <c r="B552" s="131" t="s">
        <v>191</v>
      </c>
      <c r="C552" s="163" t="s">
        <v>219</v>
      </c>
      <c r="D552" s="163" t="s">
        <v>206</v>
      </c>
      <c r="E552" s="131" t="s">
        <v>262</v>
      </c>
      <c r="F552" s="132">
        <v>67</v>
      </c>
      <c r="G552" s="15">
        <v>0.99063266127556804</v>
      </c>
    </row>
    <row r="553" spans="1:7" x14ac:dyDescent="0.3">
      <c r="A553" s="129"/>
      <c r="B553" s="131" t="s">
        <v>191</v>
      </c>
      <c r="C553" s="163" t="s">
        <v>219</v>
      </c>
      <c r="D553" s="163" t="s">
        <v>206</v>
      </c>
      <c r="E553" s="131" t="s">
        <v>261</v>
      </c>
      <c r="F553" s="132">
        <v>66</v>
      </c>
      <c r="G553" s="15">
        <v>0.99304767829046103</v>
      </c>
    </row>
    <row r="554" spans="1:7" x14ac:dyDescent="0.3">
      <c r="A554" s="129"/>
      <c r="B554" s="131" t="s">
        <v>191</v>
      </c>
      <c r="C554" s="163" t="s">
        <v>219</v>
      </c>
      <c r="D554" s="163" t="s">
        <v>206</v>
      </c>
      <c r="E554" s="131" t="s">
        <v>39</v>
      </c>
      <c r="F554" s="132">
        <v>65</v>
      </c>
      <c r="G554" s="15">
        <v>0.995426104138461</v>
      </c>
    </row>
    <row r="555" spans="1:7" x14ac:dyDescent="0.3">
      <c r="A555" s="129"/>
      <c r="B555" s="131" t="s">
        <v>191</v>
      </c>
      <c r="C555" s="163" t="s">
        <v>219</v>
      </c>
      <c r="D555" s="163" t="s">
        <v>206</v>
      </c>
      <c r="E555" s="131" t="s">
        <v>22</v>
      </c>
      <c r="F555" s="132">
        <v>44</v>
      </c>
      <c r="G555" s="15">
        <v>0.997036115481723</v>
      </c>
    </row>
    <row r="556" spans="1:7" x14ac:dyDescent="0.3">
      <c r="A556" s="129"/>
      <c r="B556" s="131" t="s">
        <v>191</v>
      </c>
      <c r="C556" s="163" t="s">
        <v>219</v>
      </c>
      <c r="D556" s="163" t="s">
        <v>206</v>
      </c>
      <c r="E556" s="131" t="s">
        <v>45</v>
      </c>
      <c r="F556" s="132">
        <v>30</v>
      </c>
      <c r="G556" s="15">
        <v>0.99813385048849201</v>
      </c>
    </row>
    <row r="557" spans="1:7" x14ac:dyDescent="0.3">
      <c r="A557" s="129"/>
      <c r="B557" s="131" t="s">
        <v>191</v>
      </c>
      <c r="C557" s="163" t="s">
        <v>219</v>
      </c>
      <c r="D557" s="163" t="s">
        <v>206</v>
      </c>
      <c r="E557" s="131" t="s">
        <v>224</v>
      </c>
      <c r="F557" s="132">
        <v>19</v>
      </c>
      <c r="G557" s="15">
        <v>0.99882908265944603</v>
      </c>
    </row>
    <row r="558" spans="1:7" x14ac:dyDescent="0.3">
      <c r="A558" s="129"/>
      <c r="B558" s="131" t="s">
        <v>191</v>
      </c>
      <c r="C558" s="163" t="s">
        <v>219</v>
      </c>
      <c r="D558" s="163" t="s">
        <v>206</v>
      </c>
      <c r="E558" s="131" t="s">
        <v>33</v>
      </c>
      <c r="F558" s="132">
        <v>12</v>
      </c>
      <c r="G558" s="15">
        <v>0.99926817666215395</v>
      </c>
    </row>
    <row r="559" spans="1:7" x14ac:dyDescent="0.3">
      <c r="A559" s="129"/>
      <c r="B559" s="131" t="s">
        <v>191</v>
      </c>
      <c r="C559" s="163" t="s">
        <v>219</v>
      </c>
      <c r="D559" s="163" t="s">
        <v>206</v>
      </c>
      <c r="E559" s="131" t="s">
        <v>46</v>
      </c>
      <c r="F559" s="132">
        <v>6</v>
      </c>
      <c r="G559" s="15">
        <v>0.99948772366350802</v>
      </c>
    </row>
    <row r="560" spans="1:7" x14ac:dyDescent="0.3">
      <c r="A560" s="129"/>
      <c r="B560" s="131" t="s">
        <v>191</v>
      </c>
      <c r="C560" s="163" t="s">
        <v>219</v>
      </c>
      <c r="D560" s="163" t="s">
        <v>206</v>
      </c>
      <c r="E560" s="131" t="s">
        <v>49</v>
      </c>
      <c r="F560" s="132">
        <v>4</v>
      </c>
      <c r="G560" s="15">
        <v>0.99978045299864604</v>
      </c>
    </row>
    <row r="561" spans="1:7" x14ac:dyDescent="0.3">
      <c r="A561" s="129"/>
      <c r="B561" s="131" t="s">
        <v>191</v>
      </c>
      <c r="C561" s="163" t="s">
        <v>219</v>
      </c>
      <c r="D561" s="163" t="s">
        <v>206</v>
      </c>
      <c r="E561" s="131" t="s">
        <v>30</v>
      </c>
      <c r="F561" s="132">
        <v>4</v>
      </c>
      <c r="G561" s="15">
        <v>0.99978045299864604</v>
      </c>
    </row>
    <row r="562" spans="1:7" x14ac:dyDescent="0.3">
      <c r="A562" s="129"/>
      <c r="B562" s="131" t="s">
        <v>191</v>
      </c>
      <c r="C562" s="163" t="s">
        <v>219</v>
      </c>
      <c r="D562" s="163" t="s">
        <v>206</v>
      </c>
      <c r="E562" s="131" t="s">
        <v>59</v>
      </c>
      <c r="F562" s="132">
        <v>3</v>
      </c>
      <c r="G562" s="15">
        <v>0.99989022649932302</v>
      </c>
    </row>
    <row r="563" spans="1:7" x14ac:dyDescent="0.3">
      <c r="A563" s="129"/>
      <c r="B563" s="131" t="s">
        <v>191</v>
      </c>
      <c r="C563" s="163" t="s">
        <v>219</v>
      </c>
      <c r="D563" s="163" t="s">
        <v>206</v>
      </c>
      <c r="E563" s="131" t="s">
        <v>76</v>
      </c>
      <c r="F563" s="132">
        <v>1</v>
      </c>
      <c r="G563" s="15">
        <v>1</v>
      </c>
    </row>
    <row r="564" spans="1:7" x14ac:dyDescent="0.3">
      <c r="A564" s="129"/>
      <c r="B564" s="131" t="s">
        <v>191</v>
      </c>
      <c r="C564" s="163" t="s">
        <v>219</v>
      </c>
      <c r="D564" s="163" t="s">
        <v>206</v>
      </c>
      <c r="E564" s="131" t="s">
        <v>84</v>
      </c>
      <c r="F564" s="132">
        <v>1</v>
      </c>
      <c r="G564" s="15">
        <v>1</v>
      </c>
    </row>
    <row r="565" spans="1:7" x14ac:dyDescent="0.3">
      <c r="A565" s="129"/>
      <c r="B565" s="131" t="s">
        <v>191</v>
      </c>
      <c r="C565" s="163" t="s">
        <v>219</v>
      </c>
      <c r="D565" s="163" t="s">
        <v>206</v>
      </c>
      <c r="E565" s="131" t="s">
        <v>80</v>
      </c>
      <c r="F565" s="132">
        <v>1</v>
      </c>
      <c r="G565" s="15">
        <v>1</v>
      </c>
    </row>
    <row r="566" spans="1:7" x14ac:dyDescent="0.3">
      <c r="A566" s="129"/>
      <c r="B566" s="131" t="s">
        <v>191</v>
      </c>
      <c r="C566" s="163" t="s">
        <v>219</v>
      </c>
      <c r="D566" s="163" t="s">
        <v>206</v>
      </c>
      <c r="E566" s="131" t="s">
        <v>43</v>
      </c>
      <c r="F566" s="132">
        <v>0</v>
      </c>
      <c r="G566" s="15">
        <v>1</v>
      </c>
    </row>
    <row r="567" spans="1:7" x14ac:dyDescent="0.3">
      <c r="A567" s="129"/>
      <c r="B567" s="131" t="s">
        <v>191</v>
      </c>
      <c r="C567" s="163" t="s">
        <v>219</v>
      </c>
      <c r="D567" s="163" t="s">
        <v>206</v>
      </c>
      <c r="E567" s="131" t="s">
        <v>89</v>
      </c>
      <c r="F567" s="132">
        <v>0</v>
      </c>
      <c r="G567" s="15">
        <v>1</v>
      </c>
    </row>
    <row r="568" spans="1:7" x14ac:dyDescent="0.3">
      <c r="B568" s="10" t="s">
        <v>192</v>
      </c>
      <c r="C568" s="163" t="s">
        <v>219</v>
      </c>
      <c r="D568" s="163" t="s">
        <v>206</v>
      </c>
      <c r="E568" s="135" t="s">
        <v>23</v>
      </c>
      <c r="F568" s="136">
        <v>6455</v>
      </c>
      <c r="G568" s="15">
        <v>0.26592238609211499</v>
      </c>
    </row>
    <row r="569" spans="1:7" x14ac:dyDescent="0.3">
      <c r="B569" s="138" t="s">
        <v>192</v>
      </c>
      <c r="C569" s="163" t="s">
        <v>219</v>
      </c>
      <c r="D569" s="163" t="s">
        <v>206</v>
      </c>
      <c r="E569" s="135" t="s">
        <v>222</v>
      </c>
      <c r="F569" s="136">
        <v>5801</v>
      </c>
      <c r="G569" s="15">
        <v>0.50490236467001703</v>
      </c>
    </row>
    <row r="570" spans="1:7" x14ac:dyDescent="0.3">
      <c r="B570" s="138" t="s">
        <v>192</v>
      </c>
      <c r="C570" s="163" t="s">
        <v>219</v>
      </c>
      <c r="D570" s="163" t="s">
        <v>206</v>
      </c>
      <c r="E570" s="135" t="s">
        <v>223</v>
      </c>
      <c r="F570" s="136">
        <v>5427</v>
      </c>
      <c r="G570" s="15">
        <v>0.72847491142786502</v>
      </c>
    </row>
    <row r="571" spans="1:7" x14ac:dyDescent="0.3">
      <c r="B571" s="138" t="s">
        <v>192</v>
      </c>
      <c r="C571" s="163" t="s">
        <v>219</v>
      </c>
      <c r="D571" s="163" t="s">
        <v>206</v>
      </c>
      <c r="E571" s="135" t="s">
        <v>18</v>
      </c>
      <c r="F571" s="136">
        <v>1436</v>
      </c>
      <c r="G571" s="15">
        <v>0.78763285820219198</v>
      </c>
    </row>
    <row r="572" spans="1:7" x14ac:dyDescent="0.3">
      <c r="B572" s="138" t="s">
        <v>192</v>
      </c>
      <c r="C572" s="163" t="s">
        <v>219</v>
      </c>
      <c r="D572" s="163" t="s">
        <v>206</v>
      </c>
      <c r="E572" s="135" t="s">
        <v>221</v>
      </c>
      <c r="F572" s="136">
        <v>1180</v>
      </c>
      <c r="G572" s="15">
        <v>0.83624454148471605</v>
      </c>
    </row>
    <row r="573" spans="1:7" x14ac:dyDescent="0.3">
      <c r="B573" s="138" t="s">
        <v>192</v>
      </c>
      <c r="C573" s="163" t="s">
        <v>219</v>
      </c>
      <c r="D573" s="163" t="s">
        <v>206</v>
      </c>
      <c r="E573" s="135" t="s">
        <v>44</v>
      </c>
      <c r="F573" s="136">
        <v>870</v>
      </c>
      <c r="G573" s="15">
        <v>0.87208535882013705</v>
      </c>
    </row>
    <row r="574" spans="1:7" x14ac:dyDescent="0.3">
      <c r="B574" s="138" t="s">
        <v>192</v>
      </c>
      <c r="C574" s="163" t="s">
        <v>219</v>
      </c>
      <c r="D574" s="163" t="s">
        <v>206</v>
      </c>
      <c r="E574" s="135" t="s">
        <v>20</v>
      </c>
      <c r="F574" s="136">
        <v>517</v>
      </c>
      <c r="G574" s="15">
        <v>0.89338386751256504</v>
      </c>
    </row>
    <row r="575" spans="1:7" x14ac:dyDescent="0.3">
      <c r="B575" s="138" t="s">
        <v>192</v>
      </c>
      <c r="C575" s="163" t="s">
        <v>219</v>
      </c>
      <c r="D575" s="163" t="s">
        <v>206</v>
      </c>
      <c r="E575" s="135" t="s">
        <v>26</v>
      </c>
      <c r="F575" s="136">
        <v>486</v>
      </c>
      <c r="G575" s="15">
        <v>0.913405289610283</v>
      </c>
    </row>
    <row r="576" spans="1:7" x14ac:dyDescent="0.3">
      <c r="B576" s="138" t="s">
        <v>192</v>
      </c>
      <c r="C576" s="163" t="s">
        <v>219</v>
      </c>
      <c r="D576" s="163" t="s">
        <v>206</v>
      </c>
      <c r="E576" s="135" t="s">
        <v>24</v>
      </c>
      <c r="F576" s="136">
        <v>468</v>
      </c>
      <c r="G576" s="15">
        <v>0.93268517755623304</v>
      </c>
    </row>
    <row r="577" spans="2:7" x14ac:dyDescent="0.3">
      <c r="B577" s="138" t="s">
        <v>192</v>
      </c>
      <c r="C577" s="163" t="s">
        <v>219</v>
      </c>
      <c r="D577" s="163" t="s">
        <v>206</v>
      </c>
      <c r="E577" s="135" t="s">
        <v>50</v>
      </c>
      <c r="F577" s="136">
        <v>439</v>
      </c>
      <c r="G577" s="15">
        <v>0.95077037159100297</v>
      </c>
    </row>
    <row r="578" spans="2:7" x14ac:dyDescent="0.3">
      <c r="B578" s="138" t="s">
        <v>192</v>
      </c>
      <c r="C578" s="163" t="s">
        <v>219</v>
      </c>
      <c r="D578" s="163" t="s">
        <v>206</v>
      </c>
      <c r="E578" s="135" t="s">
        <v>35</v>
      </c>
      <c r="F578" s="136">
        <v>424</v>
      </c>
      <c r="G578" s="15">
        <v>0.96823762049929996</v>
      </c>
    </row>
    <row r="579" spans="2:7" x14ac:dyDescent="0.3">
      <c r="B579" s="138" t="s">
        <v>192</v>
      </c>
      <c r="C579" s="163" t="s">
        <v>219</v>
      </c>
      <c r="D579" s="163" t="s">
        <v>206</v>
      </c>
      <c r="E579" s="135" t="s">
        <v>28</v>
      </c>
      <c r="F579" s="136">
        <v>364</v>
      </c>
      <c r="G579" s="15">
        <v>0.98323308890170602</v>
      </c>
    </row>
    <row r="580" spans="2:7" x14ac:dyDescent="0.3">
      <c r="B580" s="138" t="s">
        <v>192</v>
      </c>
      <c r="C580" s="163" t="s">
        <v>219</v>
      </c>
      <c r="D580" s="163" t="s">
        <v>206</v>
      </c>
      <c r="E580" s="135" t="s">
        <v>261</v>
      </c>
      <c r="F580" s="136">
        <v>110</v>
      </c>
      <c r="G580" s="15">
        <v>0.98776468649583904</v>
      </c>
    </row>
    <row r="581" spans="2:7" x14ac:dyDescent="0.3">
      <c r="B581" s="138" t="s">
        <v>192</v>
      </c>
      <c r="C581" s="163" t="s">
        <v>219</v>
      </c>
      <c r="D581" s="163" t="s">
        <v>206</v>
      </c>
      <c r="E581" s="135" t="s">
        <v>27</v>
      </c>
      <c r="F581" s="136">
        <v>60</v>
      </c>
      <c r="G581" s="15">
        <v>0.99023646700172996</v>
      </c>
    </row>
    <row r="582" spans="2:7" x14ac:dyDescent="0.3">
      <c r="B582" s="138" t="s">
        <v>192</v>
      </c>
      <c r="C582" s="163" t="s">
        <v>219</v>
      </c>
      <c r="D582" s="163" t="s">
        <v>206</v>
      </c>
      <c r="E582" s="135" t="s">
        <v>45</v>
      </c>
      <c r="F582" s="136">
        <v>49</v>
      </c>
      <c r="G582" s="15">
        <v>0.99225508774820803</v>
      </c>
    </row>
    <row r="583" spans="2:7" x14ac:dyDescent="0.3">
      <c r="B583" s="138" t="s">
        <v>192</v>
      </c>
      <c r="C583" s="163" t="s">
        <v>219</v>
      </c>
      <c r="D583" s="163" t="s">
        <v>206</v>
      </c>
      <c r="E583" s="135" t="s">
        <v>225</v>
      </c>
      <c r="F583" s="136">
        <v>46</v>
      </c>
      <c r="G583" s="15">
        <v>0.99415011946939102</v>
      </c>
    </row>
    <row r="584" spans="2:7" x14ac:dyDescent="0.3">
      <c r="B584" s="138" t="s">
        <v>192</v>
      </c>
      <c r="C584" s="163" t="s">
        <v>219</v>
      </c>
      <c r="D584" s="163" t="s">
        <v>206</v>
      </c>
      <c r="E584" s="135" t="s">
        <v>32</v>
      </c>
      <c r="F584" s="136">
        <v>35</v>
      </c>
      <c r="G584" s="15">
        <v>0.99559199143116095</v>
      </c>
    </row>
    <row r="585" spans="2:7" x14ac:dyDescent="0.3">
      <c r="B585" s="138" t="s">
        <v>192</v>
      </c>
      <c r="C585" s="163" t="s">
        <v>219</v>
      </c>
      <c r="D585" s="163" t="s">
        <v>206</v>
      </c>
      <c r="E585" s="135" t="s">
        <v>262</v>
      </c>
      <c r="F585" s="136">
        <v>29</v>
      </c>
      <c r="G585" s="15">
        <v>0.99678668534234205</v>
      </c>
    </row>
    <row r="586" spans="2:7" x14ac:dyDescent="0.3">
      <c r="B586" s="138" t="s">
        <v>192</v>
      </c>
      <c r="C586" s="163" t="s">
        <v>219</v>
      </c>
      <c r="D586" s="163" t="s">
        <v>206</v>
      </c>
      <c r="E586" s="135" t="s">
        <v>25</v>
      </c>
      <c r="F586" s="136">
        <v>24</v>
      </c>
      <c r="G586" s="15">
        <v>0.99777539754469802</v>
      </c>
    </row>
    <row r="587" spans="2:7" x14ac:dyDescent="0.3">
      <c r="B587" s="138" t="s">
        <v>192</v>
      </c>
      <c r="C587" s="163" t="s">
        <v>219</v>
      </c>
      <c r="D587" s="163" t="s">
        <v>206</v>
      </c>
      <c r="E587" s="135" t="s">
        <v>22</v>
      </c>
      <c r="F587" s="136">
        <v>23</v>
      </c>
      <c r="G587" s="15">
        <v>0.99872291340528996</v>
      </c>
    </row>
    <row r="588" spans="2:7" x14ac:dyDescent="0.3">
      <c r="B588" s="138" t="s">
        <v>192</v>
      </c>
      <c r="C588" s="163" t="s">
        <v>219</v>
      </c>
      <c r="D588" s="163" t="s">
        <v>206</v>
      </c>
      <c r="E588" s="135" t="s">
        <v>33</v>
      </c>
      <c r="F588" s="136">
        <v>7</v>
      </c>
      <c r="G588" s="15">
        <v>0.99901128779764403</v>
      </c>
    </row>
    <row r="589" spans="2:7" x14ac:dyDescent="0.3">
      <c r="B589" s="138" t="s">
        <v>192</v>
      </c>
      <c r="C589" s="163" t="s">
        <v>219</v>
      </c>
      <c r="D589" s="163" t="s">
        <v>206</v>
      </c>
      <c r="E589" s="135" t="s">
        <v>39</v>
      </c>
      <c r="F589" s="136">
        <v>5</v>
      </c>
      <c r="G589" s="15">
        <v>0.99942325121529196</v>
      </c>
    </row>
    <row r="590" spans="2:7" x14ac:dyDescent="0.3">
      <c r="B590" s="138" t="s">
        <v>192</v>
      </c>
      <c r="C590" s="163" t="s">
        <v>219</v>
      </c>
      <c r="D590" s="163" t="s">
        <v>206</v>
      </c>
      <c r="E590" s="135" t="s">
        <v>48</v>
      </c>
      <c r="F590" s="136">
        <v>5</v>
      </c>
      <c r="G590" s="15">
        <v>0.99942325121529196</v>
      </c>
    </row>
    <row r="591" spans="2:7" x14ac:dyDescent="0.3">
      <c r="B591" s="138" t="s">
        <v>192</v>
      </c>
      <c r="C591" s="163" t="s">
        <v>219</v>
      </c>
      <c r="D591" s="163" t="s">
        <v>206</v>
      </c>
      <c r="E591" s="135" t="s">
        <v>224</v>
      </c>
      <c r="F591" s="136">
        <v>4</v>
      </c>
      <c r="G591" s="15">
        <v>0.99975282194941095</v>
      </c>
    </row>
    <row r="592" spans="2:7" x14ac:dyDescent="0.3">
      <c r="B592" s="138" t="s">
        <v>192</v>
      </c>
      <c r="C592" s="163" t="s">
        <v>219</v>
      </c>
      <c r="D592" s="163" t="s">
        <v>206</v>
      </c>
      <c r="E592" s="135" t="s">
        <v>43</v>
      </c>
      <c r="F592" s="136">
        <v>4</v>
      </c>
      <c r="G592" s="15">
        <v>0.99975282194941095</v>
      </c>
    </row>
    <row r="593" spans="1:7" x14ac:dyDescent="0.3">
      <c r="B593" s="138" t="s">
        <v>192</v>
      </c>
      <c r="C593" s="163" t="s">
        <v>219</v>
      </c>
      <c r="D593" s="163" t="s">
        <v>206</v>
      </c>
      <c r="E593" s="135" t="s">
        <v>53</v>
      </c>
      <c r="F593" s="136">
        <v>3</v>
      </c>
      <c r="G593" s="15">
        <v>0.99987641097470503</v>
      </c>
    </row>
    <row r="594" spans="1:7" x14ac:dyDescent="0.3">
      <c r="B594" s="138" t="s">
        <v>192</v>
      </c>
      <c r="C594" s="163" t="s">
        <v>219</v>
      </c>
      <c r="D594" s="163" t="s">
        <v>206</v>
      </c>
      <c r="E594" s="135" t="s">
        <v>38</v>
      </c>
      <c r="F594" s="136">
        <v>2</v>
      </c>
      <c r="G594" s="15">
        <v>0.99995880365823497</v>
      </c>
    </row>
    <row r="595" spans="1:7" x14ac:dyDescent="0.3">
      <c r="B595" s="138" t="s">
        <v>192</v>
      </c>
      <c r="C595" s="163" t="s">
        <v>219</v>
      </c>
      <c r="D595" s="163" t="s">
        <v>206</v>
      </c>
      <c r="E595" s="135" t="s">
        <v>30</v>
      </c>
      <c r="F595" s="136">
        <v>1</v>
      </c>
      <c r="G595" s="15">
        <v>1</v>
      </c>
    </row>
    <row r="596" spans="1:7" x14ac:dyDescent="0.3">
      <c r="B596" s="138" t="s">
        <v>192</v>
      </c>
      <c r="C596" s="163" t="s">
        <v>219</v>
      </c>
      <c r="D596" s="163" t="s">
        <v>206</v>
      </c>
      <c r="E596" s="135" t="s">
        <v>65</v>
      </c>
      <c r="F596" s="136">
        <v>0</v>
      </c>
      <c r="G596" s="15">
        <v>1</v>
      </c>
    </row>
    <row r="597" spans="1:7" x14ac:dyDescent="0.3">
      <c r="B597" s="138" t="s">
        <v>192</v>
      </c>
      <c r="C597" s="163" t="s">
        <v>219</v>
      </c>
      <c r="D597" s="163" t="s">
        <v>206</v>
      </c>
      <c r="E597" s="135" t="s">
        <v>49</v>
      </c>
      <c r="F597" s="136">
        <v>0</v>
      </c>
      <c r="G597" s="15">
        <v>1</v>
      </c>
    </row>
    <row r="598" spans="1:7" x14ac:dyDescent="0.3">
      <c r="B598" s="138" t="s">
        <v>192</v>
      </c>
      <c r="C598" s="163" t="s">
        <v>219</v>
      </c>
      <c r="D598" s="163" t="s">
        <v>206</v>
      </c>
      <c r="E598" s="135" t="s">
        <v>66</v>
      </c>
      <c r="F598" s="136">
        <v>0</v>
      </c>
      <c r="G598" s="15">
        <v>1</v>
      </c>
    </row>
    <row r="599" spans="1:7" x14ac:dyDescent="0.3">
      <c r="B599" s="138" t="s">
        <v>192</v>
      </c>
      <c r="C599" s="163" t="s">
        <v>219</v>
      </c>
      <c r="D599" s="163" t="s">
        <v>206</v>
      </c>
      <c r="E599" s="135" t="s">
        <v>213</v>
      </c>
      <c r="F599" s="136">
        <v>0</v>
      </c>
      <c r="G599" s="15">
        <v>1</v>
      </c>
    </row>
    <row r="600" spans="1:7" x14ac:dyDescent="0.3">
      <c r="B600" s="138" t="s">
        <v>192</v>
      </c>
      <c r="C600" s="163" t="s">
        <v>219</v>
      </c>
      <c r="D600" s="163" t="s">
        <v>206</v>
      </c>
      <c r="E600" s="135" t="s">
        <v>76</v>
      </c>
      <c r="F600" s="136">
        <v>0</v>
      </c>
      <c r="G600" s="15">
        <v>1</v>
      </c>
    </row>
    <row r="601" spans="1:7" x14ac:dyDescent="0.3">
      <c r="B601" s="138" t="s">
        <v>192</v>
      </c>
      <c r="C601" s="163" t="s">
        <v>219</v>
      </c>
      <c r="D601" s="163" t="s">
        <v>206</v>
      </c>
      <c r="E601" s="135" t="s">
        <v>84</v>
      </c>
      <c r="F601" s="136">
        <v>0</v>
      </c>
      <c r="G601" s="15">
        <v>1</v>
      </c>
    </row>
    <row r="602" spans="1:7" x14ac:dyDescent="0.3">
      <c r="B602" s="138" t="s">
        <v>192</v>
      </c>
      <c r="C602" s="163" t="s">
        <v>219</v>
      </c>
      <c r="D602" s="163" t="s">
        <v>206</v>
      </c>
      <c r="E602" s="135" t="s">
        <v>89</v>
      </c>
      <c r="F602" s="136">
        <v>0</v>
      </c>
      <c r="G602" s="15">
        <v>1</v>
      </c>
    </row>
    <row r="603" spans="1:7" x14ac:dyDescent="0.3">
      <c r="B603" s="10" t="s">
        <v>194</v>
      </c>
      <c r="C603" s="163" t="s">
        <v>219</v>
      </c>
      <c r="D603" s="163" t="s">
        <v>206</v>
      </c>
      <c r="E603" s="142" t="s">
        <v>223</v>
      </c>
      <c r="F603" s="143">
        <v>4908</v>
      </c>
      <c r="G603" s="15">
        <v>0.28999999999999998</v>
      </c>
    </row>
    <row r="604" spans="1:7" x14ac:dyDescent="0.3">
      <c r="A604" s="140"/>
      <c r="B604" s="142" t="s">
        <v>194</v>
      </c>
      <c r="C604" s="163" t="s">
        <v>219</v>
      </c>
      <c r="D604" s="163" t="s">
        <v>206</v>
      </c>
      <c r="E604" s="142" t="s">
        <v>222</v>
      </c>
      <c r="F604" s="143">
        <v>3545</v>
      </c>
      <c r="G604" s="15">
        <v>0.49952724264271398</v>
      </c>
    </row>
    <row r="605" spans="1:7" x14ac:dyDescent="0.3">
      <c r="A605" s="140"/>
      <c r="B605" s="142" t="s">
        <v>194</v>
      </c>
      <c r="C605" s="163" t="s">
        <v>219</v>
      </c>
      <c r="D605" s="163" t="s">
        <v>206</v>
      </c>
      <c r="E605" s="142" t="s">
        <v>23</v>
      </c>
      <c r="F605" s="143">
        <v>2582</v>
      </c>
      <c r="G605" s="15">
        <v>0.65210967970689004</v>
      </c>
    </row>
    <row r="606" spans="1:7" x14ac:dyDescent="0.3">
      <c r="A606" s="140"/>
      <c r="B606" s="142" t="s">
        <v>194</v>
      </c>
      <c r="C606" s="163" t="s">
        <v>219</v>
      </c>
      <c r="D606" s="163" t="s">
        <v>206</v>
      </c>
      <c r="E606" s="142" t="s">
        <v>18</v>
      </c>
      <c r="F606" s="143">
        <v>1495</v>
      </c>
      <c r="G606" s="15">
        <v>0.74045621084978097</v>
      </c>
    </row>
    <row r="607" spans="1:7" x14ac:dyDescent="0.3">
      <c r="A607" s="140"/>
      <c r="B607" s="142" t="s">
        <v>194</v>
      </c>
      <c r="C607" s="163" t="s">
        <v>219</v>
      </c>
      <c r="D607" s="163" t="s">
        <v>206</v>
      </c>
      <c r="E607" s="142" t="s">
        <v>44</v>
      </c>
      <c r="F607" s="143">
        <v>790</v>
      </c>
      <c r="G607" s="15">
        <v>0.78714099988181097</v>
      </c>
    </row>
    <row r="608" spans="1:7" x14ac:dyDescent="0.3">
      <c r="A608" s="140"/>
      <c r="B608" s="142" t="s">
        <v>194</v>
      </c>
      <c r="C608" s="163" t="s">
        <v>219</v>
      </c>
      <c r="D608" s="163" t="s">
        <v>206</v>
      </c>
      <c r="E608" s="142" t="s">
        <v>24</v>
      </c>
      <c r="F608" s="143">
        <v>662</v>
      </c>
      <c r="G608" s="15">
        <v>0.82626167119725802</v>
      </c>
    </row>
    <row r="609" spans="1:7" x14ac:dyDescent="0.3">
      <c r="A609" s="140"/>
      <c r="B609" s="142" t="s">
        <v>194</v>
      </c>
      <c r="C609" s="163" t="s">
        <v>219</v>
      </c>
      <c r="D609" s="163" t="s">
        <v>206</v>
      </c>
      <c r="E609" s="142" t="s">
        <v>35</v>
      </c>
      <c r="F609" s="143">
        <v>586</v>
      </c>
      <c r="G609" s="15">
        <v>0.86089114761848495</v>
      </c>
    </row>
    <row r="610" spans="1:7" x14ac:dyDescent="0.3">
      <c r="A610" s="140"/>
      <c r="B610" s="142" t="s">
        <v>194</v>
      </c>
      <c r="C610" s="163" t="s">
        <v>219</v>
      </c>
      <c r="D610" s="163" t="s">
        <v>206</v>
      </c>
      <c r="E610" s="142" t="s">
        <v>221</v>
      </c>
      <c r="F610" s="143">
        <v>494</v>
      </c>
      <c r="G610" s="15">
        <v>0.89008391443091806</v>
      </c>
    </row>
    <row r="611" spans="1:7" x14ac:dyDescent="0.3">
      <c r="A611" s="140"/>
      <c r="B611" s="142" t="s">
        <v>194</v>
      </c>
      <c r="C611" s="163" t="s">
        <v>219</v>
      </c>
      <c r="D611" s="163" t="s">
        <v>206</v>
      </c>
      <c r="E611" s="142" t="s">
        <v>28</v>
      </c>
      <c r="F611" s="143">
        <v>440</v>
      </c>
      <c r="G611" s="15">
        <v>0.91608556908166905</v>
      </c>
    </row>
    <row r="612" spans="1:7" x14ac:dyDescent="0.3">
      <c r="A612" s="140"/>
      <c r="B612" s="142" t="s">
        <v>194</v>
      </c>
      <c r="C612" s="163" t="s">
        <v>219</v>
      </c>
      <c r="D612" s="163" t="s">
        <v>206</v>
      </c>
      <c r="E612" s="142" t="s">
        <v>26</v>
      </c>
      <c r="F612" s="143">
        <v>403</v>
      </c>
      <c r="G612" s="15">
        <v>0.93990072095497001</v>
      </c>
    </row>
    <row r="613" spans="1:7" x14ac:dyDescent="0.3">
      <c r="A613" s="140"/>
      <c r="B613" s="142" t="s">
        <v>194</v>
      </c>
      <c r="C613" s="163" t="s">
        <v>219</v>
      </c>
      <c r="D613" s="163" t="s">
        <v>206</v>
      </c>
      <c r="E613" s="142" t="s">
        <v>50</v>
      </c>
      <c r="F613" s="143">
        <v>297</v>
      </c>
      <c r="G613" s="15">
        <v>0.95745183784422605</v>
      </c>
    </row>
    <row r="614" spans="1:7" x14ac:dyDescent="0.3">
      <c r="A614" s="140"/>
      <c r="B614" s="142" t="s">
        <v>194</v>
      </c>
      <c r="C614" s="163" t="s">
        <v>219</v>
      </c>
      <c r="D614" s="163" t="s">
        <v>206</v>
      </c>
      <c r="E614" s="142" t="s">
        <v>225</v>
      </c>
      <c r="F614" s="143">
        <v>158</v>
      </c>
      <c r="G614" s="15">
        <v>0.96678879565063203</v>
      </c>
    </row>
    <row r="615" spans="1:7" x14ac:dyDescent="0.3">
      <c r="A615" s="140"/>
      <c r="B615" s="142" t="s">
        <v>194</v>
      </c>
      <c r="C615" s="163" t="s">
        <v>219</v>
      </c>
      <c r="D615" s="163" t="s">
        <v>206</v>
      </c>
      <c r="E615" s="142" t="s">
        <v>22</v>
      </c>
      <c r="F615" s="143">
        <v>142</v>
      </c>
      <c r="G615" s="15">
        <v>0.97518023874246496</v>
      </c>
    </row>
    <row r="616" spans="1:7" x14ac:dyDescent="0.3">
      <c r="A616" s="140"/>
      <c r="B616" s="142" t="s">
        <v>194</v>
      </c>
      <c r="C616" s="163" t="s">
        <v>219</v>
      </c>
      <c r="D616" s="163" t="s">
        <v>206</v>
      </c>
      <c r="E616" s="142" t="s">
        <v>33</v>
      </c>
      <c r="F616" s="143">
        <v>128</v>
      </c>
      <c r="G616" s="15">
        <v>0.98274435645904701</v>
      </c>
    </row>
    <row r="617" spans="1:7" x14ac:dyDescent="0.3">
      <c r="A617" s="140"/>
      <c r="B617" s="142" t="s">
        <v>194</v>
      </c>
      <c r="C617" s="163" t="s">
        <v>219</v>
      </c>
      <c r="D617" s="163" t="s">
        <v>206</v>
      </c>
      <c r="E617" s="142" t="s">
        <v>20</v>
      </c>
      <c r="F617" s="143">
        <v>71</v>
      </c>
      <c r="G617" s="15">
        <v>0.98694007800496397</v>
      </c>
    </row>
    <row r="618" spans="1:7" x14ac:dyDescent="0.3">
      <c r="A618" s="140"/>
      <c r="B618" s="142" t="s">
        <v>194</v>
      </c>
      <c r="C618" s="163" t="s">
        <v>219</v>
      </c>
      <c r="D618" s="163" t="s">
        <v>206</v>
      </c>
      <c r="E618" s="142" t="s">
        <v>261</v>
      </c>
      <c r="F618" s="143">
        <v>57</v>
      </c>
      <c r="G618" s="15">
        <v>0.99030847417562895</v>
      </c>
    </row>
    <row r="619" spans="1:7" x14ac:dyDescent="0.3">
      <c r="A619" s="140"/>
      <c r="B619" s="142" t="s">
        <v>194</v>
      </c>
      <c r="C619" s="163" t="s">
        <v>219</v>
      </c>
      <c r="D619" s="163" t="s">
        <v>206</v>
      </c>
      <c r="E619" s="142" t="s">
        <v>27</v>
      </c>
      <c r="F619" s="143">
        <v>45</v>
      </c>
      <c r="G619" s="15">
        <v>0.992967734310365</v>
      </c>
    </row>
    <row r="620" spans="1:7" x14ac:dyDescent="0.3">
      <c r="A620" s="140"/>
      <c r="B620" s="142" t="s">
        <v>194</v>
      </c>
      <c r="C620" s="163" t="s">
        <v>219</v>
      </c>
      <c r="D620" s="163" t="s">
        <v>206</v>
      </c>
      <c r="E620" s="142" t="s">
        <v>32</v>
      </c>
      <c r="F620" s="143">
        <v>38</v>
      </c>
      <c r="G620" s="15">
        <v>0.99521333175747595</v>
      </c>
    </row>
    <row r="621" spans="1:7" x14ac:dyDescent="0.3">
      <c r="A621" s="140"/>
      <c r="B621" s="142" t="s">
        <v>194</v>
      </c>
      <c r="C621" s="163" t="s">
        <v>219</v>
      </c>
      <c r="D621" s="163" t="s">
        <v>206</v>
      </c>
      <c r="E621" s="142" t="s">
        <v>262</v>
      </c>
      <c r="F621" s="143">
        <v>24</v>
      </c>
      <c r="G621" s="15">
        <v>0.99663160382933502</v>
      </c>
    </row>
    <row r="622" spans="1:7" x14ac:dyDescent="0.3">
      <c r="A622" s="140"/>
      <c r="B622" s="142" t="s">
        <v>194</v>
      </c>
      <c r="C622" s="163" t="s">
        <v>219</v>
      </c>
      <c r="D622" s="163" t="s">
        <v>206</v>
      </c>
      <c r="E622" s="142" t="s">
        <v>25</v>
      </c>
      <c r="F622" s="143">
        <v>19</v>
      </c>
      <c r="G622" s="15">
        <v>0.99775440255289005</v>
      </c>
    </row>
    <row r="623" spans="1:7" x14ac:dyDescent="0.3">
      <c r="A623" s="140"/>
      <c r="B623" s="142" t="s">
        <v>194</v>
      </c>
      <c r="C623" s="163" t="s">
        <v>219</v>
      </c>
      <c r="D623" s="163" t="s">
        <v>206</v>
      </c>
      <c r="E623" s="142" t="s">
        <v>45</v>
      </c>
      <c r="F623" s="143">
        <v>12</v>
      </c>
      <c r="G623" s="15">
        <v>0.99917267462474901</v>
      </c>
    </row>
    <row r="624" spans="1:7" x14ac:dyDescent="0.3">
      <c r="A624" s="140"/>
      <c r="B624" s="142" t="s">
        <v>194</v>
      </c>
      <c r="C624" s="163" t="s">
        <v>219</v>
      </c>
      <c r="D624" s="163" t="s">
        <v>206</v>
      </c>
      <c r="E624" s="142" t="s">
        <v>39</v>
      </c>
      <c r="F624" s="143">
        <v>12</v>
      </c>
      <c r="G624" s="15">
        <v>0.99917267462474901</v>
      </c>
    </row>
    <row r="625" spans="1:7" x14ac:dyDescent="0.3">
      <c r="A625" s="140"/>
      <c r="B625" s="142" t="s">
        <v>194</v>
      </c>
      <c r="C625" s="163" t="s">
        <v>219</v>
      </c>
      <c r="D625" s="163" t="s">
        <v>206</v>
      </c>
      <c r="E625" s="142" t="s">
        <v>67</v>
      </c>
      <c r="F625" s="143">
        <v>6</v>
      </c>
      <c r="G625" s="15">
        <v>0.99952724264271398</v>
      </c>
    </row>
    <row r="626" spans="1:7" x14ac:dyDescent="0.3">
      <c r="A626" s="140"/>
      <c r="B626" s="142" t="s">
        <v>194</v>
      </c>
      <c r="C626" s="163" t="s">
        <v>219</v>
      </c>
      <c r="D626" s="163" t="s">
        <v>206</v>
      </c>
      <c r="E626" s="142" t="s">
        <v>213</v>
      </c>
      <c r="F626" s="143">
        <v>3</v>
      </c>
      <c r="G626" s="15">
        <v>0.99970452665169596</v>
      </c>
    </row>
    <row r="627" spans="1:7" x14ac:dyDescent="0.3">
      <c r="A627" s="140"/>
      <c r="B627" s="142" t="s">
        <v>194</v>
      </c>
      <c r="C627" s="163" t="s">
        <v>219</v>
      </c>
      <c r="D627" s="163" t="s">
        <v>206</v>
      </c>
      <c r="E627" s="142" t="s">
        <v>80</v>
      </c>
      <c r="F627" s="143">
        <v>2</v>
      </c>
      <c r="G627" s="15">
        <v>0.99982271599101802</v>
      </c>
    </row>
    <row r="628" spans="1:7" x14ac:dyDescent="0.3">
      <c r="A628" s="140"/>
      <c r="B628" s="142" t="s">
        <v>194</v>
      </c>
      <c r="C628" s="163" t="s">
        <v>219</v>
      </c>
      <c r="D628" s="163" t="s">
        <v>206</v>
      </c>
      <c r="E628" s="142" t="s">
        <v>30</v>
      </c>
      <c r="F628" s="143">
        <v>1</v>
      </c>
      <c r="G628" s="15">
        <v>1</v>
      </c>
    </row>
    <row r="629" spans="1:7" x14ac:dyDescent="0.3">
      <c r="A629" s="140"/>
      <c r="B629" s="142" t="s">
        <v>194</v>
      </c>
      <c r="C629" s="163" t="s">
        <v>219</v>
      </c>
      <c r="D629" s="163" t="s">
        <v>206</v>
      </c>
      <c r="E629" s="142" t="s">
        <v>224</v>
      </c>
      <c r="F629" s="143">
        <v>1</v>
      </c>
      <c r="G629" s="15">
        <v>1</v>
      </c>
    </row>
    <row r="630" spans="1:7" x14ac:dyDescent="0.3">
      <c r="A630" s="140"/>
      <c r="B630" s="142" t="s">
        <v>194</v>
      </c>
      <c r="C630" s="163" t="s">
        <v>219</v>
      </c>
      <c r="D630" s="163" t="s">
        <v>206</v>
      </c>
      <c r="E630" s="142" t="s">
        <v>48</v>
      </c>
      <c r="F630" s="143">
        <v>1</v>
      </c>
      <c r="G630" s="15">
        <v>1</v>
      </c>
    </row>
    <row r="631" spans="1:7" x14ac:dyDescent="0.3">
      <c r="A631" s="140"/>
      <c r="B631" s="142" t="s">
        <v>194</v>
      </c>
      <c r="C631" s="163" t="s">
        <v>219</v>
      </c>
      <c r="D631" s="163" t="s">
        <v>206</v>
      </c>
      <c r="E631" s="142" t="s">
        <v>65</v>
      </c>
      <c r="F631" s="143">
        <v>0</v>
      </c>
      <c r="G631" s="15">
        <v>1</v>
      </c>
    </row>
    <row r="632" spans="1:7" x14ac:dyDescent="0.3">
      <c r="A632" s="140"/>
      <c r="B632" s="142" t="s">
        <v>194</v>
      </c>
      <c r="C632" s="163" t="s">
        <v>219</v>
      </c>
      <c r="D632" s="163" t="s">
        <v>206</v>
      </c>
      <c r="E632" s="142" t="s">
        <v>76</v>
      </c>
      <c r="F632" s="143">
        <v>0</v>
      </c>
      <c r="G632" s="15">
        <v>1</v>
      </c>
    </row>
    <row r="633" spans="1:7" x14ac:dyDescent="0.3">
      <c r="A633" s="140"/>
      <c r="B633" s="142" t="s">
        <v>194</v>
      </c>
      <c r="C633" s="163" t="s">
        <v>219</v>
      </c>
      <c r="D633" s="163" t="s">
        <v>206</v>
      </c>
      <c r="E633" s="142" t="s">
        <v>84</v>
      </c>
      <c r="F633" s="143">
        <v>0</v>
      </c>
      <c r="G633" s="15">
        <v>1</v>
      </c>
    </row>
    <row r="634" spans="1:7" x14ac:dyDescent="0.3">
      <c r="A634" s="140"/>
      <c r="B634" s="142" t="s">
        <v>194</v>
      </c>
      <c r="C634" s="163" t="s">
        <v>219</v>
      </c>
      <c r="D634" s="163" t="s">
        <v>206</v>
      </c>
      <c r="E634" s="142" t="s">
        <v>43</v>
      </c>
      <c r="F634" s="143">
        <v>0</v>
      </c>
      <c r="G634" s="15">
        <v>1</v>
      </c>
    </row>
    <row r="635" spans="1:7" x14ac:dyDescent="0.3">
      <c r="A635" s="140"/>
      <c r="B635" s="142" t="s">
        <v>194</v>
      </c>
      <c r="C635" s="163" t="s">
        <v>219</v>
      </c>
      <c r="D635" s="163" t="s">
        <v>206</v>
      </c>
      <c r="E635" s="142" t="s">
        <v>89</v>
      </c>
      <c r="F635" s="143">
        <v>0</v>
      </c>
      <c r="G635" s="15">
        <v>1</v>
      </c>
    </row>
    <row r="636" spans="1:7" x14ac:dyDescent="0.3">
      <c r="B636" s="10" t="s">
        <v>202</v>
      </c>
      <c r="C636" s="163" t="s">
        <v>219</v>
      </c>
      <c r="D636" s="163" t="s">
        <v>206</v>
      </c>
      <c r="E636" s="147" t="s">
        <v>223</v>
      </c>
      <c r="F636" s="148">
        <v>5418</v>
      </c>
      <c r="G636" s="15">
        <v>0.19</v>
      </c>
    </row>
    <row r="637" spans="1:7" x14ac:dyDescent="0.3">
      <c r="A637" s="145"/>
      <c r="B637" s="147" t="s">
        <v>202</v>
      </c>
      <c r="C637" s="163" t="s">
        <v>219</v>
      </c>
      <c r="D637" s="163" t="s">
        <v>206</v>
      </c>
      <c r="E637" s="147" t="s">
        <v>222</v>
      </c>
      <c r="F637" s="148">
        <v>5248</v>
      </c>
      <c r="G637" s="15">
        <v>0.38784044216573899</v>
      </c>
    </row>
    <row r="638" spans="1:7" x14ac:dyDescent="0.3">
      <c r="A638" s="145"/>
      <c r="B638" s="147" t="s">
        <v>202</v>
      </c>
      <c r="C638" s="163" t="s">
        <v>219</v>
      </c>
      <c r="D638" s="163" t="s">
        <v>206</v>
      </c>
      <c r="E638" s="147" t="s">
        <v>23</v>
      </c>
      <c r="F638" s="148">
        <v>4757</v>
      </c>
      <c r="G638" s="15">
        <v>0.56081597032835195</v>
      </c>
    </row>
    <row r="639" spans="1:7" x14ac:dyDescent="0.3">
      <c r="A639" s="145"/>
      <c r="B639" s="147" t="s">
        <v>202</v>
      </c>
      <c r="C639" s="163" t="s">
        <v>219</v>
      </c>
      <c r="D639" s="163" t="s">
        <v>206</v>
      </c>
      <c r="E639" s="147" t="s">
        <v>27</v>
      </c>
      <c r="F639" s="148">
        <v>2314</v>
      </c>
      <c r="G639" s="15">
        <v>0.64495836515035798</v>
      </c>
    </row>
    <row r="640" spans="1:7" x14ac:dyDescent="0.3">
      <c r="A640" s="145"/>
      <c r="B640" s="147" t="s">
        <v>202</v>
      </c>
      <c r="C640" s="163" t="s">
        <v>219</v>
      </c>
      <c r="D640" s="163" t="s">
        <v>206</v>
      </c>
      <c r="E640" s="147" t="s">
        <v>24</v>
      </c>
      <c r="F640" s="148">
        <v>2149</v>
      </c>
      <c r="G640" s="15">
        <v>0.72310097814624896</v>
      </c>
    </row>
    <row r="641" spans="1:7" x14ac:dyDescent="0.3">
      <c r="A641" s="145"/>
      <c r="B641" s="147" t="s">
        <v>202</v>
      </c>
      <c r="C641" s="163" t="s">
        <v>219</v>
      </c>
      <c r="D641" s="163" t="s">
        <v>206</v>
      </c>
      <c r="E641" s="147" t="s">
        <v>28</v>
      </c>
      <c r="F641" s="148">
        <v>1880</v>
      </c>
      <c r="G641" s="15">
        <v>0.79146212864986698</v>
      </c>
    </row>
    <row r="642" spans="1:7" x14ac:dyDescent="0.3">
      <c r="A642" s="145"/>
      <c r="B642" s="147" t="s">
        <v>202</v>
      </c>
      <c r="C642" s="163" t="s">
        <v>219</v>
      </c>
      <c r="D642" s="163" t="s">
        <v>206</v>
      </c>
      <c r="E642" s="147" t="s">
        <v>44</v>
      </c>
      <c r="F642" s="148">
        <v>1372</v>
      </c>
      <c r="G642" s="15">
        <v>0.84135122359186898</v>
      </c>
    </row>
    <row r="643" spans="1:7" x14ac:dyDescent="0.3">
      <c r="A643" s="145"/>
      <c r="B643" s="147" t="s">
        <v>202</v>
      </c>
      <c r="C643" s="163" t="s">
        <v>219</v>
      </c>
      <c r="D643" s="163" t="s">
        <v>206</v>
      </c>
      <c r="E643" s="147" t="s">
        <v>18</v>
      </c>
      <c r="F643" s="148">
        <v>1125</v>
      </c>
      <c r="G643" s="15">
        <v>0.88225882695174696</v>
      </c>
    </row>
    <row r="644" spans="1:7" x14ac:dyDescent="0.3">
      <c r="A644" s="145"/>
      <c r="B644" s="147" t="s">
        <v>202</v>
      </c>
      <c r="C644" s="163" t="s">
        <v>219</v>
      </c>
      <c r="D644" s="163" t="s">
        <v>206</v>
      </c>
      <c r="E644" s="147" t="s">
        <v>35</v>
      </c>
      <c r="F644" s="148">
        <v>714</v>
      </c>
      <c r="G644" s="15">
        <v>0.90822151921748295</v>
      </c>
    </row>
    <row r="645" spans="1:7" x14ac:dyDescent="0.3">
      <c r="A645" s="145"/>
      <c r="B645" s="147" t="s">
        <v>202</v>
      </c>
      <c r="C645" s="163" t="s">
        <v>219</v>
      </c>
      <c r="D645" s="163" t="s">
        <v>206</v>
      </c>
      <c r="E645" s="147" t="s">
        <v>26</v>
      </c>
      <c r="F645" s="148">
        <v>609</v>
      </c>
      <c r="G645" s="15">
        <v>0.93036616850296305</v>
      </c>
    </row>
    <row r="646" spans="1:7" x14ac:dyDescent="0.3">
      <c r="A646" s="145"/>
      <c r="B646" s="147" t="s">
        <v>202</v>
      </c>
      <c r="C646" s="163" t="s">
        <v>219</v>
      </c>
      <c r="D646" s="163" t="s">
        <v>206</v>
      </c>
      <c r="E646" s="147" t="s">
        <v>221</v>
      </c>
      <c r="F646" s="148">
        <v>576</v>
      </c>
      <c r="G646" s="15">
        <v>0.95131086142322097</v>
      </c>
    </row>
    <row r="647" spans="1:7" x14ac:dyDescent="0.3">
      <c r="A647" s="145"/>
      <c r="B647" s="147" t="s">
        <v>202</v>
      </c>
      <c r="C647" s="163" t="s">
        <v>219</v>
      </c>
      <c r="D647" s="163" t="s">
        <v>206</v>
      </c>
      <c r="E647" s="147" t="s">
        <v>50</v>
      </c>
      <c r="F647" s="148">
        <v>393</v>
      </c>
      <c r="G647" s="15">
        <v>0.96560125086360504</v>
      </c>
    </row>
    <row r="648" spans="1:7" x14ac:dyDescent="0.3">
      <c r="A648" s="145"/>
      <c r="B648" s="147" t="s">
        <v>202</v>
      </c>
      <c r="C648" s="163" t="s">
        <v>219</v>
      </c>
      <c r="D648" s="163" t="s">
        <v>206</v>
      </c>
      <c r="E648" s="147" t="s">
        <v>225</v>
      </c>
      <c r="F648" s="148">
        <v>352</v>
      </c>
      <c r="G648" s="15">
        <v>0.97840078542598496</v>
      </c>
    </row>
    <row r="649" spans="1:7" x14ac:dyDescent="0.3">
      <c r="A649" s="145"/>
      <c r="B649" s="147" t="s">
        <v>202</v>
      </c>
      <c r="C649" s="163" t="s">
        <v>219</v>
      </c>
      <c r="D649" s="163" t="s">
        <v>206</v>
      </c>
      <c r="E649" s="147" t="s">
        <v>32</v>
      </c>
      <c r="F649" s="148">
        <v>153</v>
      </c>
      <c r="G649" s="15">
        <v>0.983964219482928</v>
      </c>
    </row>
    <row r="650" spans="1:7" x14ac:dyDescent="0.3">
      <c r="A650" s="145"/>
      <c r="B650" s="147" t="s">
        <v>202</v>
      </c>
      <c r="C650" s="163" t="s">
        <v>219</v>
      </c>
      <c r="D650" s="163" t="s">
        <v>206</v>
      </c>
      <c r="E650" s="147" t="s">
        <v>20</v>
      </c>
      <c r="F650" s="148">
        <v>108</v>
      </c>
      <c r="G650" s="15">
        <v>0.98789134940547596</v>
      </c>
    </row>
    <row r="651" spans="1:7" x14ac:dyDescent="0.3">
      <c r="A651" s="145"/>
      <c r="B651" s="147" t="s">
        <v>202</v>
      </c>
      <c r="C651" s="163" t="s">
        <v>219</v>
      </c>
      <c r="D651" s="163" t="s">
        <v>206</v>
      </c>
      <c r="E651" s="147" t="s">
        <v>39</v>
      </c>
      <c r="F651" s="148">
        <v>86</v>
      </c>
      <c r="G651" s="15">
        <v>0.99101850841787598</v>
      </c>
    </row>
    <row r="652" spans="1:7" x14ac:dyDescent="0.3">
      <c r="A652" s="145"/>
      <c r="B652" s="147" t="s">
        <v>202</v>
      </c>
      <c r="C652" s="163" t="s">
        <v>219</v>
      </c>
      <c r="D652" s="163" t="s">
        <v>206</v>
      </c>
      <c r="E652" s="147" t="s">
        <v>261</v>
      </c>
      <c r="F652" s="148">
        <v>69</v>
      </c>
      <c r="G652" s="15">
        <v>0.99352750809061496</v>
      </c>
    </row>
    <row r="653" spans="1:7" x14ac:dyDescent="0.3">
      <c r="A653" s="145"/>
      <c r="B653" s="147" t="s">
        <v>202</v>
      </c>
      <c r="C653" s="163" t="s">
        <v>219</v>
      </c>
      <c r="D653" s="163" t="s">
        <v>206</v>
      </c>
      <c r="E653" s="147" t="s">
        <v>22</v>
      </c>
      <c r="F653" s="148">
        <v>58</v>
      </c>
      <c r="G653" s="15">
        <v>0.99563652230828004</v>
      </c>
    </row>
    <row r="654" spans="1:7" x14ac:dyDescent="0.3">
      <c r="A654" s="145"/>
      <c r="B654" s="147" t="s">
        <v>202</v>
      </c>
      <c r="C654" s="163" t="s">
        <v>219</v>
      </c>
      <c r="D654" s="163" t="s">
        <v>206</v>
      </c>
      <c r="E654" s="147" t="s">
        <v>262</v>
      </c>
      <c r="F654" s="148">
        <v>51</v>
      </c>
      <c r="G654" s="15">
        <v>0.99749100032726101</v>
      </c>
    </row>
    <row r="655" spans="1:7" x14ac:dyDescent="0.3">
      <c r="A655" s="145"/>
      <c r="B655" s="147" t="s">
        <v>202</v>
      </c>
      <c r="C655" s="163" t="s">
        <v>219</v>
      </c>
      <c r="D655" s="163" t="s">
        <v>206</v>
      </c>
      <c r="E655" s="147" t="s">
        <v>33</v>
      </c>
      <c r="F655" s="148">
        <v>35</v>
      </c>
      <c r="G655" s="15">
        <v>0.99876368132067905</v>
      </c>
    </row>
    <row r="656" spans="1:7" x14ac:dyDescent="0.3">
      <c r="A656" s="145"/>
      <c r="B656" s="147" t="s">
        <v>202</v>
      </c>
      <c r="C656" s="163" t="s">
        <v>219</v>
      </c>
      <c r="D656" s="163" t="s">
        <v>206</v>
      </c>
      <c r="E656" s="147" t="s">
        <v>80</v>
      </c>
      <c r="F656" s="148">
        <v>9</v>
      </c>
      <c r="G656" s="15">
        <v>0.999090942147558</v>
      </c>
    </row>
    <row r="657" spans="1:7" x14ac:dyDescent="0.3">
      <c r="A657" s="145"/>
      <c r="B657" s="147" t="s">
        <v>202</v>
      </c>
      <c r="C657" s="163" t="s">
        <v>219</v>
      </c>
      <c r="D657" s="163" t="s">
        <v>206</v>
      </c>
      <c r="E657" s="147" t="s">
        <v>224</v>
      </c>
      <c r="F657" s="148">
        <v>8</v>
      </c>
      <c r="G657" s="15">
        <v>0.99938184066033997</v>
      </c>
    </row>
    <row r="658" spans="1:7" x14ac:dyDescent="0.3">
      <c r="A658" s="145"/>
      <c r="B658" s="147" t="s">
        <v>202</v>
      </c>
      <c r="C658" s="163" t="s">
        <v>219</v>
      </c>
      <c r="D658" s="163" t="s">
        <v>206</v>
      </c>
      <c r="E658" s="147" t="s">
        <v>45</v>
      </c>
      <c r="F658" s="148">
        <v>5</v>
      </c>
      <c r="G658" s="15">
        <v>0.99974546380131601</v>
      </c>
    </row>
    <row r="659" spans="1:7" x14ac:dyDescent="0.3">
      <c r="A659" s="145"/>
      <c r="B659" s="147" t="s">
        <v>202</v>
      </c>
      <c r="C659" s="163" t="s">
        <v>219</v>
      </c>
      <c r="D659" s="163" t="s">
        <v>206</v>
      </c>
      <c r="E659" s="147" t="s">
        <v>52</v>
      </c>
      <c r="F659" s="148">
        <v>5</v>
      </c>
      <c r="G659" s="15">
        <v>0.99974546380131601</v>
      </c>
    </row>
    <row r="660" spans="1:7" x14ac:dyDescent="0.3">
      <c r="A660" s="145"/>
      <c r="B660" s="147" t="s">
        <v>202</v>
      </c>
      <c r="C660" s="163" t="s">
        <v>219</v>
      </c>
      <c r="D660" s="163" t="s">
        <v>206</v>
      </c>
      <c r="E660" s="147" t="s">
        <v>30</v>
      </c>
      <c r="F660" s="148">
        <v>3</v>
      </c>
      <c r="G660" s="15">
        <v>0.99996363768590202</v>
      </c>
    </row>
    <row r="661" spans="1:7" x14ac:dyDescent="0.3">
      <c r="A661" s="145"/>
      <c r="B661" s="147" t="s">
        <v>202</v>
      </c>
      <c r="C661" s="163" t="s">
        <v>219</v>
      </c>
      <c r="D661" s="163" t="s">
        <v>206</v>
      </c>
      <c r="E661" s="147" t="s">
        <v>76</v>
      </c>
      <c r="F661" s="148">
        <v>3</v>
      </c>
      <c r="G661" s="15">
        <v>0.99996363768590202</v>
      </c>
    </row>
    <row r="662" spans="1:7" x14ac:dyDescent="0.3">
      <c r="A662" s="145"/>
      <c r="B662" s="147" t="s">
        <v>202</v>
      </c>
      <c r="C662" s="163" t="s">
        <v>219</v>
      </c>
      <c r="D662" s="163" t="s">
        <v>206</v>
      </c>
      <c r="E662" s="147" t="s">
        <v>25</v>
      </c>
      <c r="F662" s="148">
        <v>1</v>
      </c>
      <c r="G662" s="15">
        <v>1</v>
      </c>
    </row>
    <row r="663" spans="1:7" x14ac:dyDescent="0.3">
      <c r="A663" s="145"/>
      <c r="B663" s="147" t="s">
        <v>202</v>
      </c>
      <c r="C663" s="163" t="s">
        <v>219</v>
      </c>
      <c r="D663" s="163" t="s">
        <v>206</v>
      </c>
      <c r="E663" s="147" t="s">
        <v>65</v>
      </c>
      <c r="F663" s="148">
        <v>0</v>
      </c>
      <c r="G663" s="15">
        <v>1</v>
      </c>
    </row>
    <row r="664" spans="1:7" x14ac:dyDescent="0.3">
      <c r="A664" s="145"/>
      <c r="B664" s="147" t="s">
        <v>202</v>
      </c>
      <c r="C664" s="163" t="s">
        <v>219</v>
      </c>
      <c r="D664" s="163" t="s">
        <v>206</v>
      </c>
      <c r="E664" s="147" t="s">
        <v>49</v>
      </c>
      <c r="F664" s="148">
        <v>0</v>
      </c>
      <c r="G664" s="15">
        <v>1</v>
      </c>
    </row>
    <row r="665" spans="1:7" x14ac:dyDescent="0.3">
      <c r="A665" s="145"/>
      <c r="B665" s="147" t="s">
        <v>202</v>
      </c>
      <c r="C665" s="163" t="s">
        <v>219</v>
      </c>
      <c r="D665" s="163" t="s">
        <v>206</v>
      </c>
      <c r="E665" s="147" t="s">
        <v>66</v>
      </c>
      <c r="F665" s="148">
        <v>0</v>
      </c>
      <c r="G665" s="15">
        <v>1</v>
      </c>
    </row>
    <row r="666" spans="1:7" x14ac:dyDescent="0.3">
      <c r="A666" s="145"/>
      <c r="B666" s="147" t="s">
        <v>202</v>
      </c>
      <c r="C666" s="163" t="s">
        <v>219</v>
      </c>
      <c r="D666" s="163" t="s">
        <v>206</v>
      </c>
      <c r="E666" s="147" t="s">
        <v>43</v>
      </c>
      <c r="F666" s="148">
        <v>0</v>
      </c>
      <c r="G666" s="15">
        <v>1</v>
      </c>
    </row>
    <row r="667" spans="1:7" x14ac:dyDescent="0.3">
      <c r="A667" s="145"/>
      <c r="B667" s="147" t="s">
        <v>202</v>
      </c>
      <c r="C667" s="163" t="s">
        <v>219</v>
      </c>
      <c r="D667" s="163" t="s">
        <v>206</v>
      </c>
      <c r="E667" s="147" t="s">
        <v>53</v>
      </c>
      <c r="F667" s="148">
        <v>0</v>
      </c>
      <c r="G667" s="15">
        <v>1</v>
      </c>
    </row>
    <row r="668" spans="1:7" x14ac:dyDescent="0.3">
      <c r="A668" s="145"/>
      <c r="B668" s="147" t="s">
        <v>202</v>
      </c>
      <c r="C668" s="163" t="s">
        <v>219</v>
      </c>
      <c r="D668" s="163" t="s">
        <v>206</v>
      </c>
      <c r="E668" s="147" t="s">
        <v>89</v>
      </c>
      <c r="F668" s="148">
        <v>0</v>
      </c>
      <c r="G668" s="15">
        <v>1</v>
      </c>
    </row>
    <row r="669" spans="1:7" x14ac:dyDescent="0.3">
      <c r="B669" s="10" t="s">
        <v>203</v>
      </c>
      <c r="C669" s="163" t="s">
        <v>219</v>
      </c>
      <c r="D669" s="163" t="s">
        <v>206</v>
      </c>
      <c r="E669" s="152" t="s">
        <v>23</v>
      </c>
      <c r="F669" s="153">
        <v>7426</v>
      </c>
      <c r="G669" s="15">
        <v>0.24024587512132001</v>
      </c>
    </row>
    <row r="670" spans="1:7" x14ac:dyDescent="0.3">
      <c r="A670" s="150"/>
      <c r="B670" s="152" t="s">
        <v>203</v>
      </c>
      <c r="C670" s="163" t="s">
        <v>219</v>
      </c>
      <c r="D670" s="163" t="s">
        <v>206</v>
      </c>
      <c r="E670" s="152" t="s">
        <v>222</v>
      </c>
      <c r="F670" s="153">
        <v>5772</v>
      </c>
      <c r="G670" s="15">
        <v>0.42698155936590099</v>
      </c>
    </row>
    <row r="671" spans="1:7" x14ac:dyDescent="0.3">
      <c r="A671" s="150"/>
      <c r="B671" s="152" t="s">
        <v>203</v>
      </c>
      <c r="C671" s="163" t="s">
        <v>219</v>
      </c>
      <c r="D671" s="163" t="s">
        <v>206</v>
      </c>
      <c r="E671" s="152" t="s">
        <v>223</v>
      </c>
      <c r="F671" s="153">
        <v>3579</v>
      </c>
      <c r="G671" s="15">
        <v>0.54276933031381402</v>
      </c>
    </row>
    <row r="672" spans="1:7" x14ac:dyDescent="0.3">
      <c r="A672" s="150"/>
      <c r="B672" s="152" t="s">
        <v>203</v>
      </c>
      <c r="C672" s="163" t="s">
        <v>219</v>
      </c>
      <c r="D672" s="163" t="s">
        <v>206</v>
      </c>
      <c r="E672" s="152" t="s">
        <v>27</v>
      </c>
      <c r="F672" s="153">
        <v>3565</v>
      </c>
      <c r="G672" s="15">
        <v>0.65810417340666405</v>
      </c>
    </row>
    <row r="673" spans="1:7" x14ac:dyDescent="0.3">
      <c r="A673" s="150"/>
      <c r="B673" s="152" t="s">
        <v>203</v>
      </c>
      <c r="C673" s="163" t="s">
        <v>219</v>
      </c>
      <c r="D673" s="163" t="s">
        <v>206</v>
      </c>
      <c r="E673" s="152" t="s">
        <v>28</v>
      </c>
      <c r="F673" s="153">
        <v>2830</v>
      </c>
      <c r="G673" s="15">
        <v>0.74966030410870299</v>
      </c>
    </row>
    <row r="674" spans="1:7" x14ac:dyDescent="0.3">
      <c r="A674" s="150"/>
      <c r="B674" s="152" t="s">
        <v>203</v>
      </c>
      <c r="C674" s="163" t="s">
        <v>219</v>
      </c>
      <c r="D674" s="163" t="s">
        <v>206</v>
      </c>
      <c r="E674" s="152" t="s">
        <v>24</v>
      </c>
      <c r="F674" s="153">
        <v>2345</v>
      </c>
      <c r="G674" s="15">
        <v>0.82552571983177003</v>
      </c>
    </row>
    <row r="675" spans="1:7" x14ac:dyDescent="0.3">
      <c r="A675" s="150"/>
      <c r="B675" s="152" t="s">
        <v>203</v>
      </c>
      <c r="C675" s="163" t="s">
        <v>219</v>
      </c>
      <c r="D675" s="163" t="s">
        <v>206</v>
      </c>
      <c r="E675" s="152" t="s">
        <v>18</v>
      </c>
      <c r="F675" s="153">
        <v>1176</v>
      </c>
      <c r="G675" s="15">
        <v>0.86357165965706895</v>
      </c>
    </row>
    <row r="676" spans="1:7" x14ac:dyDescent="0.3">
      <c r="A676" s="150"/>
      <c r="B676" s="152" t="s">
        <v>203</v>
      </c>
      <c r="C676" s="163" t="s">
        <v>219</v>
      </c>
      <c r="D676" s="163" t="s">
        <v>206</v>
      </c>
      <c r="E676" s="152" t="s">
        <v>44</v>
      </c>
      <c r="F676" s="153">
        <v>831</v>
      </c>
      <c r="G676" s="15">
        <v>0.89045616305402797</v>
      </c>
    </row>
    <row r="677" spans="1:7" x14ac:dyDescent="0.3">
      <c r="A677" s="150"/>
      <c r="B677" s="152" t="s">
        <v>203</v>
      </c>
      <c r="C677" s="163" t="s">
        <v>219</v>
      </c>
      <c r="D677" s="163" t="s">
        <v>206</v>
      </c>
      <c r="E677" s="152" t="s">
        <v>35</v>
      </c>
      <c r="F677" s="153">
        <v>812</v>
      </c>
      <c r="G677" s="15">
        <v>0.91672597864768701</v>
      </c>
    </row>
    <row r="678" spans="1:7" x14ac:dyDescent="0.3">
      <c r="A678" s="150"/>
      <c r="B678" s="152" t="s">
        <v>203</v>
      </c>
      <c r="C678" s="163" t="s">
        <v>219</v>
      </c>
      <c r="D678" s="163" t="s">
        <v>206</v>
      </c>
      <c r="E678" s="152" t="s">
        <v>26</v>
      </c>
      <c r="F678" s="153">
        <v>725</v>
      </c>
      <c r="G678" s="15">
        <v>0.94018117114202504</v>
      </c>
    </row>
    <row r="679" spans="1:7" x14ac:dyDescent="0.3">
      <c r="A679" s="150"/>
      <c r="B679" s="152" t="s">
        <v>203</v>
      </c>
      <c r="C679" s="163" t="s">
        <v>219</v>
      </c>
      <c r="D679" s="163" t="s">
        <v>206</v>
      </c>
      <c r="E679" s="152" t="s">
        <v>50</v>
      </c>
      <c r="F679" s="153">
        <v>489</v>
      </c>
      <c r="G679" s="15">
        <v>0.95600129407958601</v>
      </c>
    </row>
    <row r="680" spans="1:7" x14ac:dyDescent="0.3">
      <c r="A680" s="150"/>
      <c r="B680" s="152" t="s">
        <v>203</v>
      </c>
      <c r="C680" s="163" t="s">
        <v>219</v>
      </c>
      <c r="D680" s="163" t="s">
        <v>206</v>
      </c>
      <c r="E680" s="152" t="s">
        <v>221</v>
      </c>
      <c r="F680" s="153">
        <v>481</v>
      </c>
      <c r="G680" s="15">
        <v>0.97156260109996795</v>
      </c>
    </row>
    <row r="681" spans="1:7" x14ac:dyDescent="0.3">
      <c r="A681" s="150"/>
      <c r="B681" s="152" t="s">
        <v>203</v>
      </c>
      <c r="C681" s="163" t="s">
        <v>219</v>
      </c>
      <c r="D681" s="163" t="s">
        <v>206</v>
      </c>
      <c r="E681" s="152" t="s">
        <v>225</v>
      </c>
      <c r="F681" s="153">
        <v>280</v>
      </c>
      <c r="G681" s="15">
        <v>0.98062115820122897</v>
      </c>
    </row>
    <row r="682" spans="1:7" x14ac:dyDescent="0.3">
      <c r="A682" s="150"/>
      <c r="B682" s="152" t="s">
        <v>203</v>
      </c>
      <c r="C682" s="163" t="s">
        <v>219</v>
      </c>
      <c r="D682" s="163" t="s">
        <v>206</v>
      </c>
      <c r="E682" s="152" t="s">
        <v>32</v>
      </c>
      <c r="F682" s="153">
        <v>158</v>
      </c>
      <c r="G682" s="15">
        <v>0.98573277256551295</v>
      </c>
    </row>
    <row r="683" spans="1:7" x14ac:dyDescent="0.3">
      <c r="A683" s="150"/>
      <c r="B683" s="152" t="s">
        <v>203</v>
      </c>
      <c r="C683" s="163" t="s">
        <v>219</v>
      </c>
      <c r="D683" s="163" t="s">
        <v>206</v>
      </c>
      <c r="E683" s="152" t="s">
        <v>20</v>
      </c>
      <c r="F683" s="153">
        <v>107</v>
      </c>
      <c r="G683" s="15">
        <v>0.98919443545778096</v>
      </c>
    </row>
    <row r="684" spans="1:7" x14ac:dyDescent="0.3">
      <c r="A684" s="150"/>
      <c r="B684" s="152" t="s">
        <v>203</v>
      </c>
      <c r="C684" s="163" t="s">
        <v>219</v>
      </c>
      <c r="D684" s="163" t="s">
        <v>206</v>
      </c>
      <c r="E684" s="152" t="s">
        <v>22</v>
      </c>
      <c r="F684" s="153">
        <v>57</v>
      </c>
      <c r="G684" s="15">
        <v>0.99103849886768003</v>
      </c>
    </row>
    <row r="685" spans="1:7" x14ac:dyDescent="0.3">
      <c r="A685" s="150"/>
      <c r="B685" s="152" t="s">
        <v>203</v>
      </c>
      <c r="C685" s="163" t="s">
        <v>219</v>
      </c>
      <c r="D685" s="163" t="s">
        <v>206</v>
      </c>
      <c r="E685" s="152" t="s">
        <v>213</v>
      </c>
      <c r="F685" s="153">
        <v>55</v>
      </c>
      <c r="G685" s="15">
        <v>0.99281785829828495</v>
      </c>
    </row>
    <row r="686" spans="1:7" x14ac:dyDescent="0.3">
      <c r="A686" s="150"/>
      <c r="B686" s="152" t="s">
        <v>203</v>
      </c>
      <c r="C686" s="163" t="s">
        <v>219</v>
      </c>
      <c r="D686" s="163" t="s">
        <v>206</v>
      </c>
      <c r="E686" s="152" t="s">
        <v>224</v>
      </c>
      <c r="F686" s="153">
        <v>47</v>
      </c>
      <c r="G686" s="15">
        <v>0.99433840181171096</v>
      </c>
    </row>
    <row r="687" spans="1:7" x14ac:dyDescent="0.3">
      <c r="A687" s="150"/>
      <c r="B687" s="152" t="s">
        <v>203</v>
      </c>
      <c r="C687" s="163" t="s">
        <v>219</v>
      </c>
      <c r="D687" s="163" t="s">
        <v>206</v>
      </c>
      <c r="E687" s="152" t="s">
        <v>261</v>
      </c>
      <c r="F687" s="153">
        <v>38</v>
      </c>
      <c r="G687" s="15">
        <v>0.99556777741831104</v>
      </c>
    </row>
    <row r="688" spans="1:7" x14ac:dyDescent="0.3">
      <c r="A688" s="150"/>
      <c r="B688" s="152" t="s">
        <v>203</v>
      </c>
      <c r="C688" s="163" t="s">
        <v>219</v>
      </c>
      <c r="D688" s="163" t="s">
        <v>206</v>
      </c>
      <c r="E688" s="152" t="s">
        <v>39</v>
      </c>
      <c r="F688" s="153">
        <v>35</v>
      </c>
      <c r="G688" s="15">
        <v>0.99670009705596896</v>
      </c>
    </row>
    <row r="689" spans="1:7" x14ac:dyDescent="0.3">
      <c r="A689" s="150"/>
      <c r="B689" s="152" t="s">
        <v>203</v>
      </c>
      <c r="C689" s="163" t="s">
        <v>219</v>
      </c>
      <c r="D689" s="163" t="s">
        <v>206</v>
      </c>
      <c r="E689" s="152" t="s">
        <v>262</v>
      </c>
      <c r="F689" s="153">
        <v>34</v>
      </c>
      <c r="G689" s="15">
        <v>0.99780006470397897</v>
      </c>
    </row>
    <row r="690" spans="1:7" x14ac:dyDescent="0.3">
      <c r="A690" s="150"/>
      <c r="B690" s="152" t="s">
        <v>203</v>
      </c>
      <c r="C690" s="163" t="s">
        <v>219</v>
      </c>
      <c r="D690" s="163" t="s">
        <v>206</v>
      </c>
      <c r="E690" s="152" t="s">
        <v>33</v>
      </c>
      <c r="F690" s="153">
        <v>24</v>
      </c>
      <c r="G690" s="15">
        <v>0.999352960207053</v>
      </c>
    </row>
    <row r="691" spans="1:7" x14ac:dyDescent="0.3">
      <c r="A691" s="150"/>
      <c r="B691" s="152" t="s">
        <v>203</v>
      </c>
      <c r="C691" s="163" t="s">
        <v>219</v>
      </c>
      <c r="D691" s="163" t="s">
        <v>206</v>
      </c>
      <c r="E691" s="152" t="s">
        <v>25</v>
      </c>
      <c r="F691" s="153">
        <v>24</v>
      </c>
      <c r="G691" s="15">
        <v>0.999352960207053</v>
      </c>
    </row>
    <row r="692" spans="1:7" x14ac:dyDescent="0.3">
      <c r="A692" s="150"/>
      <c r="B692" s="152" t="s">
        <v>203</v>
      </c>
      <c r="C692" s="163" t="s">
        <v>219</v>
      </c>
      <c r="D692" s="163" t="s">
        <v>206</v>
      </c>
      <c r="E692" s="152" t="s">
        <v>30</v>
      </c>
      <c r="F692" s="153">
        <v>6</v>
      </c>
      <c r="G692" s="15">
        <v>0.99974118408282098</v>
      </c>
    </row>
    <row r="693" spans="1:7" x14ac:dyDescent="0.3">
      <c r="A693" s="150"/>
      <c r="B693" s="152" t="s">
        <v>203</v>
      </c>
      <c r="C693" s="163" t="s">
        <v>219</v>
      </c>
      <c r="D693" s="163" t="s">
        <v>206</v>
      </c>
      <c r="E693" s="152" t="s">
        <v>43</v>
      </c>
      <c r="F693" s="153">
        <v>6</v>
      </c>
      <c r="G693" s="15">
        <v>0.99974118408282098</v>
      </c>
    </row>
    <row r="694" spans="1:7" x14ac:dyDescent="0.3">
      <c r="A694" s="150"/>
      <c r="B694" s="152" t="s">
        <v>203</v>
      </c>
      <c r="C694" s="163" t="s">
        <v>219</v>
      </c>
      <c r="D694" s="163" t="s">
        <v>206</v>
      </c>
      <c r="E694" s="152" t="s">
        <v>36</v>
      </c>
      <c r="F694" s="153">
        <v>5</v>
      </c>
      <c r="G694" s="15">
        <v>0.99990294403105795</v>
      </c>
    </row>
    <row r="695" spans="1:7" x14ac:dyDescent="0.3">
      <c r="A695" s="150"/>
      <c r="B695" s="152" t="s">
        <v>203</v>
      </c>
      <c r="C695" s="163" t="s">
        <v>219</v>
      </c>
      <c r="D695" s="163" t="s">
        <v>206</v>
      </c>
      <c r="E695" s="152" t="s">
        <v>52</v>
      </c>
      <c r="F695" s="153">
        <v>2</v>
      </c>
      <c r="G695" s="15">
        <v>0.99996764801035298</v>
      </c>
    </row>
    <row r="696" spans="1:7" x14ac:dyDescent="0.3">
      <c r="A696" s="150"/>
      <c r="B696" s="152" t="s">
        <v>203</v>
      </c>
      <c r="C696" s="163" t="s">
        <v>219</v>
      </c>
      <c r="D696" s="163" t="s">
        <v>206</v>
      </c>
      <c r="E696" s="152" t="s">
        <v>76</v>
      </c>
      <c r="F696" s="153">
        <v>1</v>
      </c>
      <c r="G696" s="15">
        <v>1</v>
      </c>
    </row>
    <row r="697" spans="1:7" x14ac:dyDescent="0.3">
      <c r="A697" s="150"/>
      <c r="B697" s="152" t="s">
        <v>203</v>
      </c>
      <c r="C697" s="163" t="s">
        <v>219</v>
      </c>
      <c r="D697" s="163" t="s">
        <v>206</v>
      </c>
      <c r="E697" s="152" t="s">
        <v>65</v>
      </c>
      <c r="F697" s="153">
        <v>0</v>
      </c>
      <c r="G697" s="15">
        <v>1</v>
      </c>
    </row>
    <row r="698" spans="1:7" x14ac:dyDescent="0.3">
      <c r="A698" s="150"/>
      <c r="B698" s="152" t="s">
        <v>203</v>
      </c>
      <c r="C698" s="163" t="s">
        <v>219</v>
      </c>
      <c r="D698" s="163" t="s">
        <v>206</v>
      </c>
      <c r="E698" s="152" t="s">
        <v>45</v>
      </c>
      <c r="F698" s="153">
        <v>0</v>
      </c>
      <c r="G698" s="15">
        <v>1</v>
      </c>
    </row>
    <row r="699" spans="1:7" x14ac:dyDescent="0.3">
      <c r="A699" s="150"/>
      <c r="B699" s="152" t="s">
        <v>203</v>
      </c>
      <c r="C699" s="163" t="s">
        <v>219</v>
      </c>
      <c r="D699" s="163" t="s">
        <v>206</v>
      </c>
      <c r="E699" s="152" t="s">
        <v>89</v>
      </c>
      <c r="F699" s="153">
        <v>0</v>
      </c>
      <c r="G699" s="15">
        <v>1</v>
      </c>
    </row>
    <row r="700" spans="1:7" x14ac:dyDescent="0.3">
      <c r="B700" s="10" t="s">
        <v>205</v>
      </c>
      <c r="C700" s="163" t="s">
        <v>219</v>
      </c>
      <c r="D700" s="163" t="s">
        <v>206</v>
      </c>
      <c r="E700" s="154" t="s">
        <v>222</v>
      </c>
      <c r="F700" s="155">
        <v>4859</v>
      </c>
      <c r="G700" s="15">
        <v>0.20283018867924499</v>
      </c>
    </row>
    <row r="701" spans="1:7" x14ac:dyDescent="0.3">
      <c r="B701" s="154" t="s">
        <v>205</v>
      </c>
      <c r="C701" s="163" t="s">
        <v>219</v>
      </c>
      <c r="D701" s="163" t="s">
        <v>206</v>
      </c>
      <c r="E701" s="154" t="s">
        <v>23</v>
      </c>
      <c r="F701" s="155">
        <v>4753</v>
      </c>
      <c r="G701" s="15">
        <v>0.40123559859742902</v>
      </c>
    </row>
    <row r="702" spans="1:7" x14ac:dyDescent="0.3">
      <c r="B702" s="154" t="s">
        <v>205</v>
      </c>
      <c r="C702" s="163" t="s">
        <v>219</v>
      </c>
      <c r="D702" s="163" t="s">
        <v>206</v>
      </c>
      <c r="E702" s="154" t="s">
        <v>28</v>
      </c>
      <c r="F702" s="155">
        <v>2447</v>
      </c>
      <c r="G702" s="15">
        <v>0.50338119886458499</v>
      </c>
    </row>
    <row r="703" spans="1:7" x14ac:dyDescent="0.3">
      <c r="B703" s="154" t="s">
        <v>205</v>
      </c>
      <c r="C703" s="163" t="s">
        <v>219</v>
      </c>
      <c r="D703" s="163" t="s">
        <v>206</v>
      </c>
      <c r="E703" s="154" t="s">
        <v>223</v>
      </c>
      <c r="F703" s="155">
        <v>2431</v>
      </c>
      <c r="G703" s="15">
        <v>0.60485890799799602</v>
      </c>
    </row>
    <row r="704" spans="1:7" x14ac:dyDescent="0.3">
      <c r="B704" s="154" t="s">
        <v>205</v>
      </c>
      <c r="C704" s="163" t="s">
        <v>219</v>
      </c>
      <c r="D704" s="163" t="s">
        <v>206</v>
      </c>
      <c r="E704" s="154" t="s">
        <v>27</v>
      </c>
      <c r="F704" s="155">
        <v>1958</v>
      </c>
      <c r="G704" s="15">
        <v>0.68659208549006501</v>
      </c>
    </row>
    <row r="705" spans="2:7" x14ac:dyDescent="0.3">
      <c r="B705" s="154" t="s">
        <v>205</v>
      </c>
      <c r="C705" s="163" t="s">
        <v>219</v>
      </c>
      <c r="D705" s="163" t="s">
        <v>206</v>
      </c>
      <c r="E705" s="154" t="s">
        <v>44</v>
      </c>
      <c r="F705" s="155">
        <v>1576</v>
      </c>
      <c r="G705" s="15">
        <v>0.75237936216396695</v>
      </c>
    </row>
    <row r="706" spans="2:7" x14ac:dyDescent="0.3">
      <c r="B706" s="154" t="s">
        <v>205</v>
      </c>
      <c r="C706" s="163" t="s">
        <v>219</v>
      </c>
      <c r="D706" s="163" t="s">
        <v>206</v>
      </c>
      <c r="E706" s="154" t="s">
        <v>18</v>
      </c>
      <c r="F706" s="155">
        <v>1527</v>
      </c>
      <c r="G706" s="15">
        <v>0.81612122224077499</v>
      </c>
    </row>
    <row r="707" spans="2:7" x14ac:dyDescent="0.3">
      <c r="B707" s="154" t="s">
        <v>205</v>
      </c>
      <c r="C707" s="163" t="s">
        <v>219</v>
      </c>
      <c r="D707" s="163" t="s">
        <v>206</v>
      </c>
      <c r="E707" s="154" t="s">
        <v>35</v>
      </c>
      <c r="F707" s="155">
        <v>1263</v>
      </c>
      <c r="G707" s="15">
        <v>0.86884287861078602</v>
      </c>
    </row>
    <row r="708" spans="2:7" x14ac:dyDescent="0.3">
      <c r="B708" s="154" t="s">
        <v>205</v>
      </c>
      <c r="C708" s="163" t="s">
        <v>219</v>
      </c>
      <c r="D708" s="163" t="s">
        <v>206</v>
      </c>
      <c r="E708" s="154" t="s">
        <v>50</v>
      </c>
      <c r="F708" s="155">
        <v>524</v>
      </c>
      <c r="G708" s="15">
        <v>0.89071631324094203</v>
      </c>
    </row>
    <row r="709" spans="2:7" x14ac:dyDescent="0.3">
      <c r="B709" s="154" t="s">
        <v>205</v>
      </c>
      <c r="C709" s="163" t="s">
        <v>219</v>
      </c>
      <c r="D709" s="163" t="s">
        <v>206</v>
      </c>
      <c r="E709" s="154" t="s">
        <v>221</v>
      </c>
      <c r="F709" s="155">
        <v>513</v>
      </c>
      <c r="G709" s="15">
        <v>0.91213057271664699</v>
      </c>
    </row>
    <row r="710" spans="2:7" x14ac:dyDescent="0.3">
      <c r="B710" s="154" t="s">
        <v>205</v>
      </c>
      <c r="C710" s="163" t="s">
        <v>219</v>
      </c>
      <c r="D710" s="163" t="s">
        <v>206</v>
      </c>
      <c r="E710" s="154" t="s">
        <v>26</v>
      </c>
      <c r="F710" s="155">
        <v>457</v>
      </c>
      <c r="G710" s="15">
        <v>0.93120721322424405</v>
      </c>
    </row>
    <row r="711" spans="2:7" x14ac:dyDescent="0.3">
      <c r="B711" s="154" t="s">
        <v>205</v>
      </c>
      <c r="C711" s="163" t="s">
        <v>219</v>
      </c>
      <c r="D711" s="163" t="s">
        <v>206</v>
      </c>
      <c r="E711" s="154" t="s">
        <v>24</v>
      </c>
      <c r="F711" s="155">
        <v>411</v>
      </c>
      <c r="G711" s="15">
        <v>0.94836366672232397</v>
      </c>
    </row>
    <row r="712" spans="2:7" x14ac:dyDescent="0.3">
      <c r="B712" s="154" t="s">
        <v>205</v>
      </c>
      <c r="C712" s="163" t="s">
        <v>219</v>
      </c>
      <c r="D712" s="163" t="s">
        <v>206</v>
      </c>
      <c r="E712" s="154" t="s">
        <v>225</v>
      </c>
      <c r="F712" s="155">
        <v>333</v>
      </c>
      <c r="G712" s="15">
        <v>0.96226415094339601</v>
      </c>
    </row>
    <row r="713" spans="2:7" x14ac:dyDescent="0.3">
      <c r="B713" s="154" t="s">
        <v>205</v>
      </c>
      <c r="C713" s="163" t="s">
        <v>219</v>
      </c>
      <c r="D713" s="163" t="s">
        <v>206</v>
      </c>
      <c r="E713" s="154" t="s">
        <v>20</v>
      </c>
      <c r="F713" s="155">
        <v>153</v>
      </c>
      <c r="G713" s="15">
        <v>0.96865085990983502</v>
      </c>
    </row>
    <row r="714" spans="2:7" x14ac:dyDescent="0.3">
      <c r="B714" s="154" t="s">
        <v>205</v>
      </c>
      <c r="C714" s="163" t="s">
        <v>219</v>
      </c>
      <c r="D714" s="163" t="s">
        <v>206</v>
      </c>
      <c r="E714" s="154" t="s">
        <v>213</v>
      </c>
      <c r="F714" s="155">
        <v>146</v>
      </c>
      <c r="G714" s="15">
        <v>0.97474536650526</v>
      </c>
    </row>
    <row r="715" spans="2:7" x14ac:dyDescent="0.3">
      <c r="B715" s="154" t="s">
        <v>205</v>
      </c>
      <c r="C715" s="163" t="s">
        <v>219</v>
      </c>
      <c r="D715" s="163" t="s">
        <v>206</v>
      </c>
      <c r="E715" s="154" t="s">
        <v>224</v>
      </c>
      <c r="F715" s="155">
        <v>145</v>
      </c>
      <c r="G715" s="15">
        <v>0.98079812990482595</v>
      </c>
    </row>
    <row r="716" spans="2:7" x14ac:dyDescent="0.3">
      <c r="B716" s="154" t="s">
        <v>205</v>
      </c>
      <c r="C716" s="163" t="s">
        <v>219</v>
      </c>
      <c r="D716" s="163" t="s">
        <v>206</v>
      </c>
      <c r="E716" s="154" t="s">
        <v>32</v>
      </c>
      <c r="F716" s="155">
        <v>97</v>
      </c>
      <c r="G716" s="15">
        <v>0.98484721990315605</v>
      </c>
    </row>
    <row r="717" spans="2:7" x14ac:dyDescent="0.3">
      <c r="B717" s="154" t="s">
        <v>205</v>
      </c>
      <c r="C717" s="163" t="s">
        <v>219</v>
      </c>
      <c r="D717" s="163" t="s">
        <v>206</v>
      </c>
      <c r="E717" s="154" t="s">
        <v>261</v>
      </c>
      <c r="F717" s="155">
        <v>88</v>
      </c>
      <c r="G717" s="15">
        <v>0.98852062113875405</v>
      </c>
    </row>
    <row r="718" spans="2:7" x14ac:dyDescent="0.3">
      <c r="B718" s="154" t="s">
        <v>205</v>
      </c>
      <c r="C718" s="163" t="s">
        <v>219</v>
      </c>
      <c r="D718" s="163" t="s">
        <v>206</v>
      </c>
      <c r="E718" s="154" t="s">
        <v>262</v>
      </c>
      <c r="F718" s="155">
        <v>80</v>
      </c>
      <c r="G718" s="15">
        <v>0.99186007680748001</v>
      </c>
    </row>
    <row r="719" spans="2:7" x14ac:dyDescent="0.3">
      <c r="B719" s="154" t="s">
        <v>205</v>
      </c>
      <c r="C719" s="163" t="s">
        <v>219</v>
      </c>
      <c r="D719" s="163" t="s">
        <v>206</v>
      </c>
      <c r="E719" s="154" t="s">
        <v>22</v>
      </c>
      <c r="F719" s="155">
        <v>79</v>
      </c>
      <c r="G719" s="15">
        <v>0.99515778928034704</v>
      </c>
    </row>
    <row r="720" spans="2:7" x14ac:dyDescent="0.3">
      <c r="B720" s="154" t="s">
        <v>205</v>
      </c>
      <c r="C720" s="163" t="s">
        <v>219</v>
      </c>
      <c r="D720" s="163" t="s">
        <v>206</v>
      </c>
      <c r="E720" s="154" t="s">
        <v>25</v>
      </c>
      <c r="F720" s="155">
        <v>64</v>
      </c>
      <c r="G720" s="15">
        <v>0.997829353815328</v>
      </c>
    </row>
    <row r="721" spans="1:7" x14ac:dyDescent="0.3">
      <c r="B721" s="154" t="s">
        <v>205</v>
      </c>
      <c r="C721" s="163" t="s">
        <v>219</v>
      </c>
      <c r="D721" s="163" t="s">
        <v>206</v>
      </c>
      <c r="E721" s="154" t="s">
        <v>226</v>
      </c>
      <c r="F721" s="155">
        <v>32</v>
      </c>
      <c r="G721" s="15">
        <v>0.99916513608281898</v>
      </c>
    </row>
    <row r="722" spans="1:7" x14ac:dyDescent="0.3">
      <c r="B722" s="154" t="s">
        <v>205</v>
      </c>
      <c r="C722" s="163" t="s">
        <v>219</v>
      </c>
      <c r="D722" s="163" t="s">
        <v>206</v>
      </c>
      <c r="E722" s="154" t="s">
        <v>39</v>
      </c>
      <c r="F722" s="155">
        <v>10</v>
      </c>
      <c r="G722" s="15">
        <v>0.99958256804140899</v>
      </c>
    </row>
    <row r="723" spans="1:7" x14ac:dyDescent="0.3">
      <c r="B723" s="154" t="s">
        <v>205</v>
      </c>
      <c r="C723" s="163" t="s">
        <v>219</v>
      </c>
      <c r="D723" s="163" t="s">
        <v>206</v>
      </c>
      <c r="E723" s="154" t="s">
        <v>30</v>
      </c>
      <c r="F723" s="155">
        <v>7</v>
      </c>
      <c r="G723" s="15">
        <v>0.99987477041242301</v>
      </c>
    </row>
    <row r="724" spans="1:7" x14ac:dyDescent="0.3">
      <c r="B724" s="154" t="s">
        <v>205</v>
      </c>
      <c r="C724" s="163" t="s">
        <v>219</v>
      </c>
      <c r="D724" s="163" t="s">
        <v>206</v>
      </c>
      <c r="E724" s="154" t="s">
        <v>33</v>
      </c>
      <c r="F724" s="155">
        <v>3</v>
      </c>
      <c r="G724" s="15">
        <v>1</v>
      </c>
    </row>
    <row r="725" spans="1:7" x14ac:dyDescent="0.3">
      <c r="B725" s="154" t="s">
        <v>205</v>
      </c>
      <c r="C725" s="163" t="s">
        <v>219</v>
      </c>
      <c r="D725" s="163" t="s">
        <v>206</v>
      </c>
      <c r="E725" s="154" t="s">
        <v>65</v>
      </c>
      <c r="F725" s="155">
        <v>0</v>
      </c>
      <c r="G725" s="15">
        <v>1</v>
      </c>
    </row>
    <row r="726" spans="1:7" x14ac:dyDescent="0.3">
      <c r="B726" s="154" t="s">
        <v>205</v>
      </c>
      <c r="C726" s="163" t="s">
        <v>219</v>
      </c>
      <c r="D726" s="163" t="s">
        <v>206</v>
      </c>
      <c r="E726" s="154" t="s">
        <v>45</v>
      </c>
      <c r="F726" s="155">
        <v>0</v>
      </c>
      <c r="G726" s="15">
        <v>1</v>
      </c>
    </row>
    <row r="727" spans="1:7" x14ac:dyDescent="0.3">
      <c r="B727" s="154" t="s">
        <v>205</v>
      </c>
      <c r="C727" s="163" t="s">
        <v>219</v>
      </c>
      <c r="D727" s="163" t="s">
        <v>206</v>
      </c>
      <c r="E727" s="154" t="s">
        <v>52</v>
      </c>
      <c r="F727" s="155">
        <v>0</v>
      </c>
      <c r="G727" s="15">
        <v>1</v>
      </c>
    </row>
    <row r="728" spans="1:7" x14ac:dyDescent="0.3">
      <c r="B728" s="154" t="s">
        <v>205</v>
      </c>
      <c r="C728" s="163" t="s">
        <v>219</v>
      </c>
      <c r="D728" s="163" t="s">
        <v>206</v>
      </c>
      <c r="E728" s="154" t="s">
        <v>76</v>
      </c>
      <c r="F728" s="155">
        <v>0</v>
      </c>
      <c r="G728" s="15">
        <v>1</v>
      </c>
    </row>
    <row r="729" spans="1:7" x14ac:dyDescent="0.3">
      <c r="B729" s="154" t="s">
        <v>205</v>
      </c>
      <c r="C729" s="163" t="s">
        <v>219</v>
      </c>
      <c r="D729" s="163" t="s">
        <v>206</v>
      </c>
      <c r="E729" s="154" t="s">
        <v>43</v>
      </c>
      <c r="F729" s="155">
        <v>0</v>
      </c>
      <c r="G729" s="15">
        <v>1</v>
      </c>
    </row>
    <row r="730" spans="1:7" x14ac:dyDescent="0.3">
      <c r="B730" s="154" t="s">
        <v>205</v>
      </c>
      <c r="C730" s="163" t="s">
        <v>219</v>
      </c>
      <c r="D730" s="163" t="s">
        <v>206</v>
      </c>
      <c r="E730" s="154" t="s">
        <v>89</v>
      </c>
      <c r="F730" s="155">
        <v>0</v>
      </c>
      <c r="G730" s="15">
        <v>1</v>
      </c>
    </row>
    <row r="731" spans="1:7" x14ac:dyDescent="0.3">
      <c r="B731" s="10" t="s">
        <v>237</v>
      </c>
      <c r="C731" s="163" t="s">
        <v>219</v>
      </c>
      <c r="D731" s="163" t="s">
        <v>206</v>
      </c>
      <c r="E731" s="163" t="s">
        <v>222</v>
      </c>
      <c r="F731" s="164">
        <v>693</v>
      </c>
      <c r="G731" s="163">
        <v>0.28285714285714297</v>
      </c>
    </row>
    <row r="732" spans="1:7" x14ac:dyDescent="0.3">
      <c r="A732" s="162"/>
      <c r="B732" s="163" t="s">
        <v>237</v>
      </c>
      <c r="C732" s="163" t="s">
        <v>219</v>
      </c>
      <c r="D732" s="163" t="s">
        <v>206</v>
      </c>
      <c r="E732" s="163" t="s">
        <v>23</v>
      </c>
      <c r="F732" s="164">
        <v>404</v>
      </c>
      <c r="G732" s="15">
        <v>0.44775510204081598</v>
      </c>
    </row>
    <row r="733" spans="1:7" x14ac:dyDescent="0.3">
      <c r="A733" s="162"/>
      <c r="B733" s="163" t="s">
        <v>237</v>
      </c>
      <c r="C733" s="163" t="s">
        <v>219</v>
      </c>
      <c r="D733" s="163" t="s">
        <v>206</v>
      </c>
      <c r="E733" s="163" t="s">
        <v>223</v>
      </c>
      <c r="F733" s="164">
        <v>280</v>
      </c>
      <c r="G733" s="15">
        <v>0.56204081632653102</v>
      </c>
    </row>
    <row r="734" spans="1:7" x14ac:dyDescent="0.3">
      <c r="A734" s="162"/>
      <c r="B734" s="163" t="s">
        <v>237</v>
      </c>
      <c r="C734" s="163" t="s">
        <v>219</v>
      </c>
      <c r="D734" s="163" t="s">
        <v>206</v>
      </c>
      <c r="E734" s="163" t="s">
        <v>18</v>
      </c>
      <c r="F734" s="164">
        <v>255</v>
      </c>
      <c r="G734" s="15">
        <v>0.66612244897959205</v>
      </c>
    </row>
    <row r="735" spans="1:7" x14ac:dyDescent="0.3">
      <c r="A735" s="162"/>
      <c r="B735" s="163" t="s">
        <v>237</v>
      </c>
      <c r="C735" s="163" t="s">
        <v>219</v>
      </c>
      <c r="D735" s="163" t="s">
        <v>206</v>
      </c>
      <c r="E735" s="163" t="s">
        <v>44</v>
      </c>
      <c r="F735" s="164">
        <v>162</v>
      </c>
      <c r="G735" s="15">
        <v>0.73224489795918402</v>
      </c>
    </row>
    <row r="736" spans="1:7" x14ac:dyDescent="0.3">
      <c r="A736" s="162"/>
      <c r="B736" s="163" t="s">
        <v>237</v>
      </c>
      <c r="C736" s="163" t="s">
        <v>219</v>
      </c>
      <c r="D736" s="163" t="s">
        <v>206</v>
      </c>
      <c r="E736" s="163" t="s">
        <v>28</v>
      </c>
      <c r="F736" s="164">
        <v>159</v>
      </c>
      <c r="G736" s="15">
        <v>0.79714285714285704</v>
      </c>
    </row>
    <row r="737" spans="1:7" x14ac:dyDescent="0.3">
      <c r="A737" s="162"/>
      <c r="B737" s="163" t="s">
        <v>237</v>
      </c>
      <c r="C737" s="163" t="s">
        <v>219</v>
      </c>
      <c r="D737" s="163" t="s">
        <v>206</v>
      </c>
      <c r="E737" s="163" t="s">
        <v>35</v>
      </c>
      <c r="F737" s="164">
        <v>133</v>
      </c>
      <c r="G737" s="15">
        <v>0.85142857142857098</v>
      </c>
    </row>
    <row r="738" spans="1:7" x14ac:dyDescent="0.3">
      <c r="A738" s="162"/>
      <c r="B738" s="163" t="s">
        <v>237</v>
      </c>
      <c r="C738" s="163" t="s">
        <v>219</v>
      </c>
      <c r="D738" s="163" t="s">
        <v>206</v>
      </c>
      <c r="E738" s="163" t="s">
        <v>26</v>
      </c>
      <c r="F738" s="164">
        <v>84</v>
      </c>
      <c r="G738" s="15">
        <v>0.88571428571428601</v>
      </c>
    </row>
    <row r="739" spans="1:7" x14ac:dyDescent="0.3">
      <c r="A739" s="162"/>
      <c r="B739" s="163" t="s">
        <v>237</v>
      </c>
      <c r="C739" s="163" t="s">
        <v>219</v>
      </c>
      <c r="D739" s="163" t="s">
        <v>206</v>
      </c>
      <c r="E739" s="163" t="s">
        <v>24</v>
      </c>
      <c r="F739" s="164">
        <v>68</v>
      </c>
      <c r="G739" s="15">
        <v>0.913469387755102</v>
      </c>
    </row>
    <row r="740" spans="1:7" x14ac:dyDescent="0.3">
      <c r="A740" s="162"/>
      <c r="B740" s="163" t="s">
        <v>237</v>
      </c>
      <c r="C740" s="163" t="s">
        <v>219</v>
      </c>
      <c r="D740" s="163" t="s">
        <v>206</v>
      </c>
      <c r="E740" s="163" t="s">
        <v>221</v>
      </c>
      <c r="F740" s="164">
        <v>58</v>
      </c>
      <c r="G740" s="15">
        <v>0.93714285714285706</v>
      </c>
    </row>
    <row r="741" spans="1:7" x14ac:dyDescent="0.3">
      <c r="A741" s="162"/>
      <c r="B741" s="163" t="s">
        <v>237</v>
      </c>
      <c r="C741" s="163" t="s">
        <v>219</v>
      </c>
      <c r="D741" s="163" t="s">
        <v>206</v>
      </c>
      <c r="E741" s="163" t="s">
        <v>20</v>
      </c>
      <c r="F741" s="164">
        <v>52</v>
      </c>
      <c r="G741" s="15">
        <v>0.95836734693877501</v>
      </c>
    </row>
    <row r="742" spans="1:7" x14ac:dyDescent="0.3">
      <c r="A742" s="162"/>
      <c r="B742" s="163" t="s">
        <v>237</v>
      </c>
      <c r="C742" s="163" t="s">
        <v>219</v>
      </c>
      <c r="D742" s="163" t="s">
        <v>206</v>
      </c>
      <c r="E742" s="163" t="s">
        <v>50</v>
      </c>
      <c r="F742" s="164">
        <v>24</v>
      </c>
      <c r="G742" s="15">
        <v>0.96816326530612196</v>
      </c>
    </row>
    <row r="743" spans="1:7" x14ac:dyDescent="0.3">
      <c r="A743" s="162"/>
      <c r="B743" s="163" t="s">
        <v>237</v>
      </c>
      <c r="C743" s="163" t="s">
        <v>219</v>
      </c>
      <c r="D743" s="163" t="s">
        <v>206</v>
      </c>
      <c r="E743" s="163" t="s">
        <v>225</v>
      </c>
      <c r="F743" s="164">
        <v>22</v>
      </c>
      <c r="G743" s="15">
        <v>0.97714285714285698</v>
      </c>
    </row>
    <row r="744" spans="1:7" x14ac:dyDescent="0.3">
      <c r="A744" s="162"/>
      <c r="B744" s="163" t="s">
        <v>237</v>
      </c>
      <c r="C744" s="163" t="s">
        <v>219</v>
      </c>
      <c r="D744" s="163" t="s">
        <v>206</v>
      </c>
      <c r="E744" s="163" t="s">
        <v>224</v>
      </c>
      <c r="F744" s="164">
        <v>17</v>
      </c>
      <c r="G744" s="15">
        <v>0.98408163265306103</v>
      </c>
    </row>
    <row r="745" spans="1:7" x14ac:dyDescent="0.3">
      <c r="A745" s="162"/>
      <c r="B745" s="163" t="s">
        <v>237</v>
      </c>
      <c r="C745" s="163" t="s">
        <v>219</v>
      </c>
      <c r="D745" s="163" t="s">
        <v>206</v>
      </c>
      <c r="E745" s="163" t="s">
        <v>27</v>
      </c>
      <c r="F745" s="164">
        <v>13</v>
      </c>
      <c r="G745" s="15">
        <v>0.98938775510204102</v>
      </c>
    </row>
    <row r="746" spans="1:7" x14ac:dyDescent="0.3">
      <c r="A746" s="162"/>
      <c r="B746" s="163" t="s">
        <v>237</v>
      </c>
      <c r="C746" s="163" t="s">
        <v>219</v>
      </c>
      <c r="D746" s="163" t="s">
        <v>206</v>
      </c>
      <c r="E746" s="163" t="s">
        <v>25</v>
      </c>
      <c r="F746" s="164">
        <v>12</v>
      </c>
      <c r="G746" s="15">
        <v>0.994285714285714</v>
      </c>
    </row>
    <row r="747" spans="1:7" x14ac:dyDescent="0.3">
      <c r="A747" s="162"/>
      <c r="B747" s="163" t="s">
        <v>237</v>
      </c>
      <c r="C747" s="163" t="s">
        <v>219</v>
      </c>
      <c r="D747" s="163" t="s">
        <v>206</v>
      </c>
      <c r="E747" s="163" t="s">
        <v>261</v>
      </c>
      <c r="F747" s="164">
        <v>7</v>
      </c>
      <c r="G747" s="15">
        <v>0.997142857142857</v>
      </c>
    </row>
    <row r="748" spans="1:7" x14ac:dyDescent="0.3">
      <c r="A748" s="162"/>
      <c r="B748" s="163" t="s">
        <v>237</v>
      </c>
      <c r="C748" s="163" t="s">
        <v>219</v>
      </c>
      <c r="D748" s="163" t="s">
        <v>206</v>
      </c>
      <c r="E748" s="163" t="s">
        <v>262</v>
      </c>
      <c r="F748" s="164">
        <v>5</v>
      </c>
      <c r="G748" s="15">
        <v>0.99918367346938797</v>
      </c>
    </row>
    <row r="749" spans="1:7" x14ac:dyDescent="0.3">
      <c r="A749" s="162"/>
      <c r="B749" s="163" t="s">
        <v>237</v>
      </c>
      <c r="C749" s="163" t="s">
        <v>219</v>
      </c>
      <c r="D749" s="163" t="s">
        <v>206</v>
      </c>
      <c r="E749" s="163" t="s">
        <v>33</v>
      </c>
      <c r="F749" s="164">
        <v>2</v>
      </c>
      <c r="G749" s="15">
        <v>1</v>
      </c>
    </row>
    <row r="750" spans="1:7" x14ac:dyDescent="0.3">
      <c r="A750" s="162"/>
      <c r="B750" s="163" t="s">
        <v>237</v>
      </c>
      <c r="C750" s="163" t="s">
        <v>219</v>
      </c>
      <c r="D750" s="163" t="s">
        <v>206</v>
      </c>
      <c r="E750" s="163" t="s">
        <v>77</v>
      </c>
      <c r="F750" s="164">
        <v>0</v>
      </c>
      <c r="G750" s="15">
        <v>1</v>
      </c>
    </row>
    <row r="751" spans="1:7" x14ac:dyDescent="0.3">
      <c r="A751" s="162"/>
      <c r="B751" s="163" t="s">
        <v>237</v>
      </c>
      <c r="C751" s="163" t="s">
        <v>219</v>
      </c>
      <c r="D751" s="163" t="s">
        <v>206</v>
      </c>
      <c r="E751" s="163" t="s">
        <v>39</v>
      </c>
      <c r="F751" s="164">
        <v>0</v>
      </c>
      <c r="G751" s="15">
        <v>1</v>
      </c>
    </row>
    <row r="752" spans="1:7" x14ac:dyDescent="0.3">
      <c r="A752" s="162"/>
      <c r="B752" s="163" t="s">
        <v>237</v>
      </c>
      <c r="C752" s="163" t="s">
        <v>219</v>
      </c>
      <c r="D752" s="163" t="s">
        <v>206</v>
      </c>
      <c r="E752" s="163" t="s">
        <v>76</v>
      </c>
      <c r="F752" s="164">
        <v>0</v>
      </c>
      <c r="G752" s="15">
        <v>1</v>
      </c>
    </row>
    <row r="753" spans="1:7" x14ac:dyDescent="0.3">
      <c r="A753" s="162"/>
      <c r="B753" s="163" t="s">
        <v>237</v>
      </c>
      <c r="C753" s="163" t="s">
        <v>219</v>
      </c>
      <c r="D753" s="163" t="s">
        <v>206</v>
      </c>
      <c r="E753" s="163" t="s">
        <v>89</v>
      </c>
      <c r="F753" s="164">
        <v>0</v>
      </c>
      <c r="G753" s="15">
        <v>1</v>
      </c>
    </row>
  </sheetData>
  <conditionalFormatting sqref="F1:F753 G59:G1048576">
    <cfRule type="duplicateValues" dxfId="1" priority="8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5D75-506B-4386-8DCB-9C9786DA8425}">
  <sheetPr codeName="Hoja5"/>
  <dimension ref="A1:F1225"/>
  <sheetViews>
    <sheetView topLeftCell="A1161" zoomScale="85" zoomScaleNormal="85" workbookViewId="0">
      <selection activeCell="B1219" sqref="B1219"/>
    </sheetView>
  </sheetViews>
  <sheetFormatPr baseColWidth="10" defaultColWidth="8.88671875" defaultRowHeight="14.4" x14ac:dyDescent="0.3"/>
  <cols>
    <col min="1" max="1" width="25.77734375" style="10" customWidth="1"/>
    <col min="2" max="2" width="16.44140625" style="10" customWidth="1"/>
    <col min="3" max="3" width="14.21875" style="10" customWidth="1"/>
    <col min="4" max="4" width="24.44140625" style="10" customWidth="1"/>
    <col min="5" max="5" width="21.5546875" style="10" customWidth="1"/>
    <col min="6" max="6" width="27.44140625" style="10" customWidth="1"/>
    <col min="7" max="16384" width="8.88671875" style="10"/>
  </cols>
  <sheetData>
    <row r="1" spans="1:6" x14ac:dyDescent="0.3">
      <c r="A1" s="10" t="s">
        <v>0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15</v>
      </c>
    </row>
    <row r="2" spans="1:6" hidden="1" x14ac:dyDescent="0.3">
      <c r="A2" s="10" t="str">
        <f>_xlfn.XLOOKUP(ColombiaClientes6[[#This Row],[Client]],VpsClientes[Client],VpsClientes[VP],"",0)</f>
        <v>Carlos Beltran Hernandez</v>
      </c>
      <c r="B2" s="16" t="s">
        <v>93</v>
      </c>
      <c r="C2" s="10" t="s">
        <v>92</v>
      </c>
      <c r="D2" s="10" t="s">
        <v>90</v>
      </c>
      <c r="E2" s="10" t="s">
        <v>91</v>
      </c>
      <c r="F2" s="18">
        <v>9331</v>
      </c>
    </row>
    <row r="3" spans="1:6" hidden="1" x14ac:dyDescent="0.3">
      <c r="A3" s="7" t="str">
        <f>_xlfn.XLOOKUP(ColombiaClientes6[[#This Row],[Client]],VpsClientes[Client],VpsClientes[VP],"",0)</f>
        <v>Hector Muraira Garza</v>
      </c>
      <c r="B3" s="16" t="s">
        <v>164</v>
      </c>
      <c r="C3" s="17" t="s">
        <v>92</v>
      </c>
      <c r="D3" s="49" t="s">
        <v>90</v>
      </c>
      <c r="E3" s="49" t="s">
        <v>91</v>
      </c>
      <c r="F3" s="18">
        <v>8094</v>
      </c>
    </row>
    <row r="4" spans="1:6" hidden="1" x14ac:dyDescent="0.3">
      <c r="A4" s="7" t="str">
        <f>_xlfn.XLOOKUP(ColombiaClientes6[[#This Row],[Client]],VpsClientes[Client],VpsClientes[VP],"",0)</f>
        <v>Moises Saavedra Garcia</v>
      </c>
      <c r="B4" s="16" t="s">
        <v>110</v>
      </c>
      <c r="C4" s="17" t="s">
        <v>92</v>
      </c>
      <c r="D4" s="49" t="s">
        <v>90</v>
      </c>
      <c r="E4" s="49" t="s">
        <v>91</v>
      </c>
      <c r="F4" s="18">
        <v>6288</v>
      </c>
    </row>
    <row r="5" spans="1:6" hidden="1" x14ac:dyDescent="0.3">
      <c r="A5" s="7" t="str">
        <f>_xlfn.XLOOKUP(ColombiaClientes6[[#This Row],[Client]],VpsClientes[Client],VpsClientes[VP],"",0)</f>
        <v>Javier Orjuela Sarmiento</v>
      </c>
      <c r="B5" s="16" t="s">
        <v>133</v>
      </c>
      <c r="C5" s="17" t="s">
        <v>92</v>
      </c>
      <c r="D5" s="49" t="s">
        <v>90</v>
      </c>
      <c r="E5" s="49" t="s">
        <v>91</v>
      </c>
      <c r="F5" s="18">
        <v>5671</v>
      </c>
    </row>
    <row r="6" spans="1:6" hidden="1" x14ac:dyDescent="0.3">
      <c r="A6" s="7" t="str">
        <f>_xlfn.XLOOKUP(ColombiaClientes6[[#This Row],[Client]],VpsClientes[Client],VpsClientes[VP],"",0)</f>
        <v>Ludy Torres Benitez</v>
      </c>
      <c r="B6" s="16" t="s">
        <v>95</v>
      </c>
      <c r="C6" s="17" t="s">
        <v>92</v>
      </c>
      <c r="D6" s="49" t="s">
        <v>90</v>
      </c>
      <c r="E6" s="49" t="s">
        <v>91</v>
      </c>
      <c r="F6" s="18">
        <v>5296</v>
      </c>
    </row>
    <row r="7" spans="1:6" x14ac:dyDescent="0.3">
      <c r="A7" s="7" t="str">
        <f>_xlfn.XLOOKUP(ColombiaClientes6[[#This Row],[Client]],VpsClientes[Client],VpsClientes[VP],"",0)</f>
        <v>Juan Camilo Granados</v>
      </c>
      <c r="B7" s="16" t="s">
        <v>260</v>
      </c>
      <c r="C7" s="17" t="s">
        <v>92</v>
      </c>
      <c r="D7" s="49" t="s">
        <v>90</v>
      </c>
      <c r="E7" s="49" t="s">
        <v>91</v>
      </c>
      <c r="F7" s="18">
        <v>20</v>
      </c>
    </row>
    <row r="8" spans="1:6" x14ac:dyDescent="0.3">
      <c r="A8" s="7" t="str">
        <f>_xlfn.XLOOKUP(ColombiaClientes6[[#This Row],[Client]],VpsClientes[Client],VpsClientes[VP],"",0)</f>
        <v>Juan Camilo Granados</v>
      </c>
      <c r="B8" s="16" t="s">
        <v>260</v>
      </c>
      <c r="C8" s="17" t="s">
        <v>191</v>
      </c>
      <c r="D8" s="49" t="s">
        <v>90</v>
      </c>
      <c r="E8" s="49" t="s">
        <v>91</v>
      </c>
      <c r="F8" s="18">
        <v>30</v>
      </c>
    </row>
    <row r="9" spans="1:6" hidden="1" x14ac:dyDescent="0.3">
      <c r="A9" s="7" t="str">
        <f>_xlfn.XLOOKUP(ColombiaClientes6[[#This Row],[Client]],VpsClientes[Client],VpsClientes[VP],"",0)</f>
        <v>Sandra Romero Zuluaga</v>
      </c>
      <c r="B9" s="16" t="s">
        <v>113</v>
      </c>
      <c r="C9" s="17" t="s">
        <v>92</v>
      </c>
      <c r="D9" s="49" t="s">
        <v>90</v>
      </c>
      <c r="E9" s="49" t="s">
        <v>91</v>
      </c>
      <c r="F9" s="18">
        <v>2394</v>
      </c>
    </row>
    <row r="10" spans="1:6" hidden="1" x14ac:dyDescent="0.3">
      <c r="A10" s="7" t="str">
        <f>_xlfn.XLOOKUP(ColombiaClientes6[[#This Row],[Client]],VpsClientes[Client],VpsClientes[VP],"",0)</f>
        <v>Juan Granados Castillo</v>
      </c>
      <c r="B10" s="16" t="s">
        <v>134</v>
      </c>
      <c r="C10" s="17" t="s">
        <v>92</v>
      </c>
      <c r="D10" s="49" t="s">
        <v>90</v>
      </c>
      <c r="E10" s="49" t="s">
        <v>91</v>
      </c>
      <c r="F10" s="18">
        <v>2116</v>
      </c>
    </row>
    <row r="11" spans="1:6" hidden="1" x14ac:dyDescent="0.3">
      <c r="A11" s="7" t="str">
        <f>_xlfn.XLOOKUP(ColombiaClientes6[[#This Row],[Client]],VpsClientes[Client],VpsClientes[VP],"",0)</f>
        <v>Jhonatan Izquierdo Rico</v>
      </c>
      <c r="B11" s="16" t="s">
        <v>157</v>
      </c>
      <c r="C11" s="17" t="s">
        <v>92</v>
      </c>
      <c r="D11" s="49" t="s">
        <v>90</v>
      </c>
      <c r="E11" s="49" t="s">
        <v>91</v>
      </c>
      <c r="F11" s="18">
        <v>2037</v>
      </c>
    </row>
    <row r="12" spans="1:6" x14ac:dyDescent="0.3">
      <c r="A12" s="7" t="str">
        <f>_xlfn.XLOOKUP(ColombiaClientes6[[#This Row],[Client]],VpsClientes[Client],VpsClientes[VP],"",0)</f>
        <v>Juan Camilo Granados</v>
      </c>
      <c r="B12" s="16" t="s">
        <v>260</v>
      </c>
      <c r="C12" s="17" t="s">
        <v>192</v>
      </c>
      <c r="D12" s="49" t="s">
        <v>90</v>
      </c>
      <c r="E12" s="49" t="s">
        <v>91</v>
      </c>
      <c r="F12" s="18">
        <v>9</v>
      </c>
    </row>
    <row r="13" spans="1:6" x14ac:dyDescent="0.3">
      <c r="A13" s="7" t="str">
        <f>_xlfn.XLOOKUP(ColombiaClientes6[[#This Row],[Client]],VpsClientes[Client],VpsClientes[VP],"",0)</f>
        <v>Juan Camilo Granados</v>
      </c>
      <c r="B13" s="16" t="s">
        <v>260</v>
      </c>
      <c r="C13" s="17" t="s">
        <v>194</v>
      </c>
      <c r="D13" s="49" t="s">
        <v>90</v>
      </c>
      <c r="E13" s="49" t="s">
        <v>91</v>
      </c>
      <c r="F13" s="18">
        <v>19</v>
      </c>
    </row>
    <row r="14" spans="1:6" x14ac:dyDescent="0.3">
      <c r="A14" s="7" t="str">
        <f>_xlfn.XLOOKUP(ColombiaClientes6[[#This Row],[Client]],VpsClientes[Client],VpsClientes[VP],"",0)</f>
        <v>Juan Camilo Granados</v>
      </c>
      <c r="B14" s="16" t="s">
        <v>260</v>
      </c>
      <c r="C14" s="17" t="s">
        <v>202</v>
      </c>
      <c r="D14" s="49" t="s">
        <v>90</v>
      </c>
      <c r="E14" s="49" t="s">
        <v>91</v>
      </c>
      <c r="F14" s="18">
        <v>82</v>
      </c>
    </row>
    <row r="15" spans="1:6" x14ac:dyDescent="0.3">
      <c r="A15" s="7" t="str">
        <f>_xlfn.XLOOKUP(ColombiaClientes6[[#This Row],[Client]],VpsClientes[Client],VpsClientes[VP],"",0)</f>
        <v>Juan Camilo Granados</v>
      </c>
      <c r="B15" s="16" t="s">
        <v>260</v>
      </c>
      <c r="C15" s="17" t="s">
        <v>203</v>
      </c>
      <c r="D15" s="49" t="s">
        <v>90</v>
      </c>
      <c r="E15" s="49" t="s">
        <v>91</v>
      </c>
      <c r="F15" s="18">
        <v>35</v>
      </c>
    </row>
    <row r="16" spans="1:6" x14ac:dyDescent="0.3">
      <c r="A16" s="7" t="str">
        <f>_xlfn.XLOOKUP(ColombiaClientes6[[#This Row],[Client]],VpsClientes[Client],VpsClientes[VP],"",0)</f>
        <v>Juan Camilo Granados</v>
      </c>
      <c r="B16" s="16" t="s">
        <v>260</v>
      </c>
      <c r="C16" s="17" t="s">
        <v>205</v>
      </c>
      <c r="D16" s="49" t="s">
        <v>90</v>
      </c>
      <c r="E16" s="49" t="s">
        <v>91</v>
      </c>
      <c r="F16" s="18">
        <v>42</v>
      </c>
    </row>
    <row r="17" spans="1:6" hidden="1" x14ac:dyDescent="0.3">
      <c r="A17" s="7" t="str">
        <f>_xlfn.XLOOKUP(ColombiaClientes6[[#This Row],[Client]],VpsClientes[Client],VpsClientes[VP],"",0)</f>
        <v>Hector Muraira Garza</v>
      </c>
      <c r="B17" s="16" t="s">
        <v>140</v>
      </c>
      <c r="C17" s="17" t="s">
        <v>92</v>
      </c>
      <c r="D17" s="49" t="s">
        <v>90</v>
      </c>
      <c r="E17" s="49" t="s">
        <v>91</v>
      </c>
      <c r="F17" s="18">
        <v>972</v>
      </c>
    </row>
    <row r="18" spans="1:6" hidden="1" x14ac:dyDescent="0.3">
      <c r="A18" s="7" t="str">
        <f>_xlfn.XLOOKUP(ColombiaClientes6[[#This Row],[Client]],VpsClientes[Client],VpsClientes[VP],"",0)</f>
        <v>Hector Muraira Garza</v>
      </c>
      <c r="B18" s="16" t="s">
        <v>132</v>
      </c>
      <c r="C18" s="17" t="s">
        <v>92</v>
      </c>
      <c r="D18" s="49" t="s">
        <v>90</v>
      </c>
      <c r="E18" s="49" t="s">
        <v>91</v>
      </c>
      <c r="F18" s="18">
        <v>910</v>
      </c>
    </row>
    <row r="19" spans="1:6" x14ac:dyDescent="0.3">
      <c r="A19" s="7" t="str">
        <f>_xlfn.XLOOKUP(ColombiaClientes6[[#This Row],[Client]],VpsClientes[Client],VpsClientes[VP],"",0)</f>
        <v>Juan Camilo Granados</v>
      </c>
      <c r="B19" s="16" t="s">
        <v>260</v>
      </c>
      <c r="C19" s="17" t="s">
        <v>237</v>
      </c>
      <c r="D19" s="49" t="s">
        <v>90</v>
      </c>
      <c r="E19" s="49" t="s">
        <v>91</v>
      </c>
      <c r="F19" s="18">
        <v>25</v>
      </c>
    </row>
    <row r="20" spans="1:6" x14ac:dyDescent="0.3">
      <c r="A20" s="7" t="str">
        <f>_xlfn.XLOOKUP(ColombiaClientes6[[#This Row],[Client]],VpsClientes[Client],VpsClientes[VP],"",0)</f>
        <v>Juan Camilo Granados</v>
      </c>
      <c r="B20" s="16" t="s">
        <v>260</v>
      </c>
      <c r="C20" s="17" t="s">
        <v>92</v>
      </c>
      <c r="D20" s="49" t="s">
        <v>90</v>
      </c>
      <c r="E20" s="49" t="s">
        <v>206</v>
      </c>
      <c r="F20" s="18">
        <v>61</v>
      </c>
    </row>
    <row r="21" spans="1:6" x14ac:dyDescent="0.3">
      <c r="A21" s="7" t="str">
        <f>_xlfn.XLOOKUP(ColombiaClientes6[[#This Row],[Client]],VpsClientes[Client],VpsClientes[VP],"",0)</f>
        <v>Juan Camilo Granados</v>
      </c>
      <c r="B21" s="16" t="s">
        <v>260</v>
      </c>
      <c r="C21" s="17" t="s">
        <v>191</v>
      </c>
      <c r="D21" s="49" t="s">
        <v>90</v>
      </c>
      <c r="E21" s="49" t="s">
        <v>206</v>
      </c>
      <c r="F21" s="18">
        <v>126</v>
      </c>
    </row>
    <row r="22" spans="1:6" x14ac:dyDescent="0.3">
      <c r="A22" s="7" t="str">
        <f>_xlfn.XLOOKUP(ColombiaClientes6[[#This Row],[Client]],VpsClientes[Client],VpsClientes[VP],"",0)</f>
        <v>Juan Camilo Granados</v>
      </c>
      <c r="B22" s="16" t="s">
        <v>260</v>
      </c>
      <c r="C22" s="17" t="s">
        <v>192</v>
      </c>
      <c r="D22" s="49" t="s">
        <v>90</v>
      </c>
      <c r="E22" s="49" t="s">
        <v>206</v>
      </c>
      <c r="F22" s="18">
        <v>131</v>
      </c>
    </row>
    <row r="23" spans="1:6" x14ac:dyDescent="0.3">
      <c r="A23" s="7" t="str">
        <f>_xlfn.XLOOKUP(ColombiaClientes6[[#This Row],[Client]],VpsClientes[Client],VpsClientes[VP],"",0)</f>
        <v>Juan Camilo Granados</v>
      </c>
      <c r="B23" s="16" t="s">
        <v>260</v>
      </c>
      <c r="C23" s="17" t="s">
        <v>194</v>
      </c>
      <c r="D23" s="49" t="s">
        <v>90</v>
      </c>
      <c r="E23" s="49" t="s">
        <v>206</v>
      </c>
      <c r="F23" s="18">
        <v>266</v>
      </c>
    </row>
    <row r="24" spans="1:6" hidden="1" x14ac:dyDescent="0.3">
      <c r="A24" s="7" t="str">
        <f>_xlfn.XLOOKUP(ColombiaClientes6[[#This Row],[Client]],VpsClientes[Client],VpsClientes[VP],"",0)</f>
        <v>Hector Muraira Garza</v>
      </c>
      <c r="B24" s="16" t="s">
        <v>167</v>
      </c>
      <c r="C24" s="17" t="s">
        <v>92</v>
      </c>
      <c r="D24" s="49" t="s">
        <v>90</v>
      </c>
      <c r="E24" s="49" t="s">
        <v>91</v>
      </c>
      <c r="F24" s="18">
        <v>338</v>
      </c>
    </row>
    <row r="25" spans="1:6" x14ac:dyDescent="0.3">
      <c r="A25" s="7" t="str">
        <f>_xlfn.XLOOKUP(ColombiaClientes6[[#This Row],[Client]],VpsClientes[Client],VpsClientes[VP],"",0)</f>
        <v>Juan Camilo Granados</v>
      </c>
      <c r="B25" s="16" t="s">
        <v>260</v>
      </c>
      <c r="C25" s="17" t="s">
        <v>202</v>
      </c>
      <c r="D25" s="49" t="s">
        <v>90</v>
      </c>
      <c r="E25" s="49" t="s">
        <v>206</v>
      </c>
      <c r="F25" s="18">
        <v>76</v>
      </c>
    </row>
    <row r="26" spans="1:6" x14ac:dyDescent="0.3">
      <c r="A26" s="7" t="str">
        <f>_xlfn.XLOOKUP(ColombiaClientes6[[#This Row],[Client]],VpsClientes[Client],VpsClientes[VP],"",0)</f>
        <v>Juan Camilo Granados</v>
      </c>
      <c r="B26" s="16" t="s">
        <v>260</v>
      </c>
      <c r="C26" s="17" t="s">
        <v>203</v>
      </c>
      <c r="D26" s="49" t="s">
        <v>90</v>
      </c>
      <c r="E26" s="49" t="s">
        <v>206</v>
      </c>
      <c r="F26" s="18">
        <v>60</v>
      </c>
    </row>
    <row r="27" spans="1:6" x14ac:dyDescent="0.3">
      <c r="A27" s="7" t="str">
        <f>_xlfn.XLOOKUP(ColombiaClientes6[[#This Row],[Client]],VpsClientes[Client],VpsClientes[VP],"",0)</f>
        <v>Juan Camilo Granados</v>
      </c>
      <c r="B27" s="16" t="s">
        <v>260</v>
      </c>
      <c r="C27" s="17" t="s">
        <v>205</v>
      </c>
      <c r="D27" s="49" t="s">
        <v>90</v>
      </c>
      <c r="E27" s="49" t="s">
        <v>206</v>
      </c>
      <c r="F27" s="18">
        <v>151</v>
      </c>
    </row>
    <row r="28" spans="1:6" x14ac:dyDescent="0.3">
      <c r="A28" s="7" t="str">
        <f>_xlfn.XLOOKUP(ColombiaClientes6[[#This Row],[Client]],VpsClientes[Client],VpsClientes[VP],"",0)</f>
        <v>Juan Camilo Granados</v>
      </c>
      <c r="B28" s="16" t="s">
        <v>260</v>
      </c>
      <c r="C28" s="17" t="s">
        <v>237</v>
      </c>
      <c r="D28" s="49" t="s">
        <v>90</v>
      </c>
      <c r="E28" s="49" t="s">
        <v>206</v>
      </c>
      <c r="F28" s="18">
        <v>48</v>
      </c>
    </row>
    <row r="29" spans="1:6" x14ac:dyDescent="0.3">
      <c r="A29" s="7" t="str">
        <f>_xlfn.XLOOKUP(ColombiaClientes6[[#This Row],[Client]],VpsClientes[Client],VpsClientes[VP],"",0)</f>
        <v>Juan Camilo Granados</v>
      </c>
      <c r="B29" s="16" t="s">
        <v>260</v>
      </c>
      <c r="C29" s="17" t="s">
        <v>92</v>
      </c>
      <c r="D29" s="49" t="s">
        <v>219</v>
      </c>
      <c r="E29" s="49" t="s">
        <v>91</v>
      </c>
      <c r="F29" s="18">
        <v>23</v>
      </c>
    </row>
    <row r="30" spans="1:6" x14ac:dyDescent="0.3">
      <c r="A30" s="7" t="str">
        <f>_xlfn.XLOOKUP(ColombiaClientes6[[#This Row],[Client]],VpsClientes[Client],VpsClientes[VP],"",0)</f>
        <v>Juan Camilo Granados</v>
      </c>
      <c r="B30" s="16" t="s">
        <v>260</v>
      </c>
      <c r="C30" s="17" t="s">
        <v>191</v>
      </c>
      <c r="D30" s="49" t="s">
        <v>219</v>
      </c>
      <c r="E30" s="49" t="s">
        <v>91</v>
      </c>
      <c r="F30" s="18">
        <v>61</v>
      </c>
    </row>
    <row r="31" spans="1:6" x14ac:dyDescent="0.3">
      <c r="A31" s="7" t="str">
        <f>_xlfn.XLOOKUP(ColombiaClientes6[[#This Row],[Client]],VpsClientes[Client],VpsClientes[VP],"",0)</f>
        <v>Juan Camilo Granados</v>
      </c>
      <c r="B31" s="16" t="s">
        <v>260</v>
      </c>
      <c r="C31" s="17" t="s">
        <v>192</v>
      </c>
      <c r="D31" s="49" t="s">
        <v>219</v>
      </c>
      <c r="E31" s="49" t="s">
        <v>91</v>
      </c>
      <c r="F31" s="18">
        <v>15</v>
      </c>
    </row>
    <row r="32" spans="1:6" x14ac:dyDescent="0.3">
      <c r="A32" s="7" t="str">
        <f>_xlfn.XLOOKUP(ColombiaClientes6[[#This Row],[Client]],VpsClientes[Client],VpsClientes[VP],"",0)</f>
        <v>Juan Camilo Granados</v>
      </c>
      <c r="B32" s="16" t="s">
        <v>260</v>
      </c>
      <c r="C32" s="17" t="s">
        <v>194</v>
      </c>
      <c r="D32" s="49" t="s">
        <v>219</v>
      </c>
      <c r="E32" s="49" t="s">
        <v>91</v>
      </c>
      <c r="F32" s="18">
        <v>23</v>
      </c>
    </row>
    <row r="33" spans="1:6" x14ac:dyDescent="0.3">
      <c r="A33" s="7" t="str">
        <f>_xlfn.XLOOKUP(ColombiaClientes6[[#This Row],[Client]],VpsClientes[Client],VpsClientes[VP],"",0)</f>
        <v>Juan Camilo Granados</v>
      </c>
      <c r="B33" s="16" t="s">
        <v>260</v>
      </c>
      <c r="C33" s="17" t="s">
        <v>202</v>
      </c>
      <c r="D33" s="49" t="s">
        <v>219</v>
      </c>
      <c r="E33" s="49" t="s">
        <v>91</v>
      </c>
      <c r="F33" s="18">
        <v>25</v>
      </c>
    </row>
    <row r="34" spans="1:6" hidden="1" x14ac:dyDescent="0.3">
      <c r="A34" s="7" t="str">
        <f>_xlfn.XLOOKUP(ColombiaClientes6[[#This Row],[Client]],VpsClientes[Client],VpsClientes[VP],"",0)</f>
        <v>Jhonatan Izquierdo Rico</v>
      </c>
      <c r="B34" s="16" t="s">
        <v>104</v>
      </c>
      <c r="C34" s="17" t="s">
        <v>92</v>
      </c>
      <c r="D34" s="49" t="s">
        <v>90</v>
      </c>
      <c r="E34" s="49" t="s">
        <v>91</v>
      </c>
      <c r="F34" s="18">
        <v>89</v>
      </c>
    </row>
    <row r="35" spans="1:6" x14ac:dyDescent="0.3">
      <c r="A35" s="7" t="str">
        <f>_xlfn.XLOOKUP(ColombiaClientes6[[#This Row],[Client]],VpsClientes[Client],VpsClientes[VP],"",0)</f>
        <v>Juan Camilo Granados</v>
      </c>
      <c r="B35" s="16" t="s">
        <v>260</v>
      </c>
      <c r="C35" s="17" t="s">
        <v>203</v>
      </c>
      <c r="D35" s="49" t="s">
        <v>219</v>
      </c>
      <c r="E35" s="49" t="s">
        <v>91</v>
      </c>
      <c r="F35" s="18">
        <v>16</v>
      </c>
    </row>
    <row r="36" spans="1:6" x14ac:dyDescent="0.3">
      <c r="A36" s="7" t="str">
        <f>_xlfn.XLOOKUP(ColombiaClientes6[[#This Row],[Client]],VpsClientes[Client],VpsClientes[VP],"",0)</f>
        <v>Juan Camilo Granados</v>
      </c>
      <c r="B36" s="16" t="s">
        <v>260</v>
      </c>
      <c r="C36" s="17" t="s">
        <v>205</v>
      </c>
      <c r="D36" s="49" t="s">
        <v>219</v>
      </c>
      <c r="E36" s="49" t="s">
        <v>91</v>
      </c>
      <c r="F36" s="18">
        <v>47</v>
      </c>
    </row>
    <row r="37" spans="1:6" hidden="1" x14ac:dyDescent="0.3">
      <c r="A37" s="7" t="str">
        <f>_xlfn.XLOOKUP(ColombiaClientes6[[#This Row],[Client]],VpsClientes[Client],VpsClientes[VP],"",0)</f>
        <v>Carlos Beltran Hernandez</v>
      </c>
      <c r="B37" s="21" t="s">
        <v>93</v>
      </c>
      <c r="C37" s="10" t="s">
        <v>191</v>
      </c>
      <c r="D37" s="49" t="s">
        <v>90</v>
      </c>
      <c r="E37" s="49" t="s">
        <v>91</v>
      </c>
      <c r="F37" s="22">
        <v>6536</v>
      </c>
    </row>
    <row r="38" spans="1:6" hidden="1" x14ac:dyDescent="0.3">
      <c r="A38" s="7" t="str">
        <f>_xlfn.XLOOKUP(ColombiaClientes6[[#This Row],[Client]],VpsClientes[Client],VpsClientes[VP],"",0)</f>
        <v>Hector Muraira Garza</v>
      </c>
      <c r="B38" s="21" t="s">
        <v>164</v>
      </c>
      <c r="C38" s="26" t="s">
        <v>191</v>
      </c>
      <c r="D38" s="49" t="s">
        <v>90</v>
      </c>
      <c r="E38" s="49" t="s">
        <v>91</v>
      </c>
      <c r="F38" s="22">
        <v>4960</v>
      </c>
    </row>
    <row r="39" spans="1:6" hidden="1" x14ac:dyDescent="0.3">
      <c r="A39" s="7" t="str">
        <f>_xlfn.XLOOKUP(ColombiaClientes6[[#This Row],[Client]],VpsClientes[Client],VpsClientes[VP],"",0)</f>
        <v>Ludy Torres Benitez</v>
      </c>
      <c r="B39" s="21" t="s">
        <v>95</v>
      </c>
      <c r="C39" s="26" t="s">
        <v>191</v>
      </c>
      <c r="D39" s="49" t="s">
        <v>90</v>
      </c>
      <c r="E39" s="49" t="s">
        <v>91</v>
      </c>
      <c r="F39" s="22">
        <v>4685</v>
      </c>
    </row>
    <row r="40" spans="1:6" hidden="1" x14ac:dyDescent="0.3">
      <c r="A40" s="7" t="str">
        <f>_xlfn.XLOOKUP(ColombiaClientes6[[#This Row],[Client]],VpsClientes[Client],VpsClientes[VP],"",0)</f>
        <v>Moises Saavedra Garcia</v>
      </c>
      <c r="B40" s="21" t="s">
        <v>110</v>
      </c>
      <c r="C40" s="26" t="s">
        <v>191</v>
      </c>
      <c r="D40" s="49" t="s">
        <v>90</v>
      </c>
      <c r="E40" s="49" t="s">
        <v>91</v>
      </c>
      <c r="F40" s="22">
        <v>4254</v>
      </c>
    </row>
    <row r="41" spans="1:6" hidden="1" x14ac:dyDescent="0.3">
      <c r="A41" s="7" t="str">
        <f>_xlfn.XLOOKUP(ColombiaClientes6[[#This Row],[Client]],VpsClientes[Client],VpsClientes[VP],"",0)</f>
        <v>Javier Orjuela Sarmiento</v>
      </c>
      <c r="B41" s="21" t="s">
        <v>133</v>
      </c>
      <c r="C41" s="26" t="s">
        <v>191</v>
      </c>
      <c r="D41" s="49" t="s">
        <v>90</v>
      </c>
      <c r="E41" s="49" t="s">
        <v>91</v>
      </c>
      <c r="F41" s="22">
        <v>3854</v>
      </c>
    </row>
    <row r="42" spans="1:6" x14ac:dyDescent="0.3">
      <c r="A42" s="7" t="str">
        <f>_xlfn.XLOOKUP(ColombiaClientes6[[#This Row],[Client]],VpsClientes[Client],VpsClientes[VP],"",0)</f>
        <v>Juan Camilo Granados</v>
      </c>
      <c r="B42" s="21" t="s">
        <v>260</v>
      </c>
      <c r="C42" s="26" t="s">
        <v>237</v>
      </c>
      <c r="D42" s="49" t="s">
        <v>219</v>
      </c>
      <c r="E42" s="49" t="s">
        <v>91</v>
      </c>
      <c r="F42" s="22">
        <v>5</v>
      </c>
    </row>
    <row r="43" spans="1:6" x14ac:dyDescent="0.3">
      <c r="A43" s="7" t="str">
        <f>_xlfn.XLOOKUP(ColombiaClientes6[[#This Row],[Client]],VpsClientes[Client],VpsClientes[VP],"",0)</f>
        <v>Juan Camilo Granados</v>
      </c>
      <c r="B43" s="21" t="s">
        <v>260</v>
      </c>
      <c r="C43" s="26" t="s">
        <v>92</v>
      </c>
      <c r="D43" s="49" t="s">
        <v>219</v>
      </c>
      <c r="E43" s="49" t="s">
        <v>206</v>
      </c>
      <c r="F43" s="22">
        <v>13</v>
      </c>
    </row>
    <row r="44" spans="1:6" x14ac:dyDescent="0.3">
      <c r="A44" s="7" t="str">
        <f>_xlfn.XLOOKUP(ColombiaClientes6[[#This Row],[Client]],VpsClientes[Client],VpsClientes[VP],"",0)</f>
        <v>Juan Camilo Granados</v>
      </c>
      <c r="B44" s="21" t="s">
        <v>260</v>
      </c>
      <c r="C44" s="26" t="s">
        <v>191</v>
      </c>
      <c r="D44" s="49" t="s">
        <v>219</v>
      </c>
      <c r="E44" s="49" t="s">
        <v>206</v>
      </c>
      <c r="F44" s="22">
        <v>0</v>
      </c>
    </row>
    <row r="45" spans="1:6" hidden="1" x14ac:dyDescent="0.3">
      <c r="A45" s="7" t="str">
        <f>_xlfn.XLOOKUP(ColombiaClientes6[[#This Row],[Client]],VpsClientes[Client],VpsClientes[VP],"",0)</f>
        <v>Juan Granados Castillo</v>
      </c>
      <c r="B45" s="21" t="s">
        <v>134</v>
      </c>
      <c r="C45" s="26" t="s">
        <v>191</v>
      </c>
      <c r="D45" s="49" t="s">
        <v>90</v>
      </c>
      <c r="E45" s="49" t="s">
        <v>91</v>
      </c>
      <c r="F45" s="22">
        <v>2157</v>
      </c>
    </row>
    <row r="46" spans="1:6" hidden="1" x14ac:dyDescent="0.3">
      <c r="A46" s="7" t="str">
        <f>_xlfn.XLOOKUP(ColombiaClientes6[[#This Row],[Client]],VpsClientes[Client],VpsClientes[VP],"",0)</f>
        <v>Sandra Romero Zuluaga</v>
      </c>
      <c r="B46" s="21" t="s">
        <v>113</v>
      </c>
      <c r="C46" s="26" t="s">
        <v>191</v>
      </c>
      <c r="D46" s="49" t="s">
        <v>90</v>
      </c>
      <c r="E46" s="49" t="s">
        <v>91</v>
      </c>
      <c r="F46" s="22">
        <v>2038</v>
      </c>
    </row>
    <row r="47" spans="1:6" hidden="1" x14ac:dyDescent="0.3">
      <c r="A47" s="7" t="str">
        <f>_xlfn.XLOOKUP(ColombiaClientes6[[#This Row],[Client]],VpsClientes[Client],VpsClientes[VP],"",0)</f>
        <v>Hector Muraira Garza</v>
      </c>
      <c r="B47" s="21" t="s">
        <v>132</v>
      </c>
      <c r="C47" s="26" t="s">
        <v>191</v>
      </c>
      <c r="D47" s="49" t="s">
        <v>90</v>
      </c>
      <c r="E47" s="49" t="s">
        <v>91</v>
      </c>
      <c r="F47" s="22">
        <v>1874</v>
      </c>
    </row>
    <row r="48" spans="1:6" hidden="1" x14ac:dyDescent="0.3">
      <c r="A48" s="7" t="str">
        <f>_xlfn.XLOOKUP(ColombiaClientes6[[#This Row],[Client]],VpsClientes[Client],VpsClientes[VP],"",0)</f>
        <v>Jhonatan Izquierdo Rico</v>
      </c>
      <c r="B48" s="21" t="s">
        <v>157</v>
      </c>
      <c r="C48" s="26" t="s">
        <v>191</v>
      </c>
      <c r="D48" s="49" t="s">
        <v>90</v>
      </c>
      <c r="E48" s="49" t="s">
        <v>91</v>
      </c>
      <c r="F48" s="22">
        <v>1871</v>
      </c>
    </row>
    <row r="49" spans="1:6" x14ac:dyDescent="0.3">
      <c r="A49" s="7" t="str">
        <f>_xlfn.XLOOKUP(ColombiaClientes6[[#This Row],[Client]],VpsClientes[Client],VpsClientes[VP],"",0)</f>
        <v>Juan Camilo Granados</v>
      </c>
      <c r="B49" s="21" t="s">
        <v>260</v>
      </c>
      <c r="C49" s="26" t="s">
        <v>192</v>
      </c>
      <c r="D49" s="49" t="s">
        <v>219</v>
      </c>
      <c r="E49" s="49" t="s">
        <v>206</v>
      </c>
      <c r="F49" s="22">
        <v>0</v>
      </c>
    </row>
    <row r="50" spans="1:6" x14ac:dyDescent="0.3">
      <c r="A50" s="7" t="str">
        <f>_xlfn.XLOOKUP(ColombiaClientes6[[#This Row],[Client]],VpsClientes[Client],VpsClientes[VP],"",0)</f>
        <v>Juan Camilo Granados</v>
      </c>
      <c r="B50" s="21" t="s">
        <v>260</v>
      </c>
      <c r="C50" s="26" t="s">
        <v>194</v>
      </c>
      <c r="D50" s="49" t="s">
        <v>219</v>
      </c>
      <c r="E50" s="49" t="s">
        <v>206</v>
      </c>
      <c r="F50" s="22">
        <v>3</v>
      </c>
    </row>
    <row r="51" spans="1:6" x14ac:dyDescent="0.3">
      <c r="A51" s="7" t="str">
        <f>_xlfn.XLOOKUP(ColombiaClientes6[[#This Row],[Client]],VpsClientes[Client],VpsClientes[VP],"",0)</f>
        <v>Juan Camilo Granados</v>
      </c>
      <c r="B51" s="21" t="s">
        <v>260</v>
      </c>
      <c r="C51" s="26" t="s">
        <v>202</v>
      </c>
      <c r="D51" s="49" t="s">
        <v>219</v>
      </c>
      <c r="E51" s="49" t="s">
        <v>206</v>
      </c>
      <c r="F51" s="22">
        <v>0</v>
      </c>
    </row>
    <row r="52" spans="1:6" hidden="1" x14ac:dyDescent="0.3">
      <c r="A52" s="7" t="str">
        <f>_xlfn.XLOOKUP(ColombiaClientes6[[#This Row],[Client]],VpsClientes[Client],VpsClientes[VP],"",0)</f>
        <v>Hector Muraira Garza</v>
      </c>
      <c r="B52" s="21" t="s">
        <v>140</v>
      </c>
      <c r="C52" s="26" t="s">
        <v>191</v>
      </c>
      <c r="D52" s="49" t="s">
        <v>90</v>
      </c>
      <c r="E52" s="49" t="s">
        <v>91</v>
      </c>
      <c r="F52" s="22">
        <v>860</v>
      </c>
    </row>
    <row r="53" spans="1:6" x14ac:dyDescent="0.3">
      <c r="A53" s="7" t="str">
        <f>_xlfn.XLOOKUP(ColombiaClientes6[[#This Row],[Client]],VpsClientes[Client],VpsClientes[VP],"",0)</f>
        <v>Juan Camilo Granados</v>
      </c>
      <c r="B53" s="21" t="s">
        <v>260</v>
      </c>
      <c r="C53" s="26" t="s">
        <v>203</v>
      </c>
      <c r="D53" s="49" t="s">
        <v>219</v>
      </c>
      <c r="E53" s="49" t="s">
        <v>206</v>
      </c>
      <c r="F53" s="22">
        <v>7</v>
      </c>
    </row>
    <row r="54" spans="1:6" x14ac:dyDescent="0.3">
      <c r="A54" s="7" t="str">
        <f>_xlfn.XLOOKUP(ColombiaClientes6[[#This Row],[Client]],VpsClientes[Client],VpsClientes[VP],"",0)</f>
        <v>Juan Camilo Granados</v>
      </c>
      <c r="B54" s="21" t="s">
        <v>260</v>
      </c>
      <c r="C54" s="26" t="s">
        <v>205</v>
      </c>
      <c r="D54" s="49" t="s">
        <v>219</v>
      </c>
      <c r="E54" s="49" t="s">
        <v>206</v>
      </c>
      <c r="F54" s="22">
        <v>9</v>
      </c>
    </row>
    <row r="55" spans="1:6" x14ac:dyDescent="0.3">
      <c r="A55" s="7" t="str">
        <f>_xlfn.XLOOKUP(ColombiaClientes6[[#This Row],[Client]],VpsClientes[Client],VpsClientes[VP],"",0)</f>
        <v>Juan Camilo Granados</v>
      </c>
      <c r="B55" s="21" t="s">
        <v>260</v>
      </c>
      <c r="C55" s="26" t="s">
        <v>237</v>
      </c>
      <c r="D55" s="49" t="s">
        <v>219</v>
      </c>
      <c r="E55" s="49" t="s">
        <v>206</v>
      </c>
      <c r="F55" s="22">
        <v>0</v>
      </c>
    </row>
    <row r="56" spans="1:6" x14ac:dyDescent="0.3">
      <c r="A56" s="7" t="str">
        <f>_xlfn.XLOOKUP(ColombiaClientes6[[#This Row],[Client]],VpsClientes[Client],VpsClientes[VP],"",0)</f>
        <v>Edwin Gamboa</v>
      </c>
      <c r="B56" s="21" t="s">
        <v>242</v>
      </c>
      <c r="C56" s="26" t="s">
        <v>92</v>
      </c>
      <c r="D56" s="49" t="s">
        <v>90</v>
      </c>
      <c r="E56" s="49" t="s">
        <v>91</v>
      </c>
      <c r="F56" s="22">
        <v>1491</v>
      </c>
    </row>
    <row r="57" spans="1:6" x14ac:dyDescent="0.3">
      <c r="A57" s="7" t="str">
        <f>_xlfn.XLOOKUP(ColombiaClientes6[[#This Row],[Client]],VpsClientes[Client],VpsClientes[VP],"",0)</f>
        <v>Edwin Gamboa</v>
      </c>
      <c r="B57" s="21" t="s">
        <v>242</v>
      </c>
      <c r="C57" s="26" t="s">
        <v>191</v>
      </c>
      <c r="D57" s="49" t="s">
        <v>90</v>
      </c>
      <c r="E57" s="49" t="s">
        <v>91</v>
      </c>
      <c r="F57" s="22">
        <v>1726</v>
      </c>
    </row>
    <row r="58" spans="1:6" x14ac:dyDescent="0.3">
      <c r="A58" s="7" t="str">
        <f>_xlfn.XLOOKUP(ColombiaClientes6[[#This Row],[Client]],VpsClientes[Client],VpsClientes[VP],"",0)</f>
        <v>Edwin Gamboa</v>
      </c>
      <c r="B58" s="21" t="s">
        <v>242</v>
      </c>
      <c r="C58" s="26" t="s">
        <v>192</v>
      </c>
      <c r="D58" s="49" t="s">
        <v>90</v>
      </c>
      <c r="E58" s="49" t="s">
        <v>91</v>
      </c>
      <c r="F58" s="22">
        <v>1856</v>
      </c>
    </row>
    <row r="59" spans="1:6" hidden="1" x14ac:dyDescent="0.3">
      <c r="A59" s="7" t="str">
        <f>_xlfn.XLOOKUP(ColombiaClientes6[[#This Row],[Client]],VpsClientes[Client],VpsClientes[VP],"",0)</f>
        <v>Jhonatan Izquierdo Rico</v>
      </c>
      <c r="B59" s="21" t="s">
        <v>104</v>
      </c>
      <c r="C59" s="26" t="s">
        <v>191</v>
      </c>
      <c r="D59" s="49" t="s">
        <v>90</v>
      </c>
      <c r="E59" s="49" t="s">
        <v>91</v>
      </c>
      <c r="F59" s="22">
        <v>434</v>
      </c>
    </row>
    <row r="60" spans="1:6" x14ac:dyDescent="0.3">
      <c r="A60" s="7" t="str">
        <f>_xlfn.XLOOKUP(ColombiaClientes6[[#This Row],[Client]],VpsClientes[Client],VpsClientes[VP],"",0)</f>
        <v>Edwin Gamboa</v>
      </c>
      <c r="B60" s="21" t="s">
        <v>242</v>
      </c>
      <c r="C60" s="26" t="s">
        <v>194</v>
      </c>
      <c r="D60" s="49" t="s">
        <v>90</v>
      </c>
      <c r="E60" s="49" t="s">
        <v>91</v>
      </c>
      <c r="F60" s="22">
        <v>2023</v>
      </c>
    </row>
    <row r="61" spans="1:6" hidden="1" x14ac:dyDescent="0.3">
      <c r="A61" s="7" t="str">
        <f>_xlfn.XLOOKUP(ColombiaClientes6[[#This Row],[Client]],VpsClientes[Client],VpsClientes[VP],"",0)</f>
        <v>Martha Guzman Arango</v>
      </c>
      <c r="B61" s="21" t="s">
        <v>199</v>
      </c>
      <c r="C61" s="26" t="s">
        <v>191</v>
      </c>
      <c r="D61" s="49" t="s">
        <v>90</v>
      </c>
      <c r="E61" s="49" t="s">
        <v>91</v>
      </c>
      <c r="F61" s="22">
        <v>299</v>
      </c>
    </row>
    <row r="62" spans="1:6" hidden="1" x14ac:dyDescent="0.3">
      <c r="A62" s="7" t="str">
        <f>_xlfn.XLOOKUP(ColombiaClientes6[[#This Row],[Client]],VpsClientes[Client],VpsClientes[VP],"",0)</f>
        <v>Hector Muraira Garza</v>
      </c>
      <c r="B62" s="21" t="s">
        <v>167</v>
      </c>
      <c r="C62" s="26" t="s">
        <v>191</v>
      </c>
      <c r="D62" s="49" t="s">
        <v>90</v>
      </c>
      <c r="E62" s="49" t="s">
        <v>91</v>
      </c>
      <c r="F62" s="22">
        <v>284</v>
      </c>
    </row>
    <row r="63" spans="1:6" x14ac:dyDescent="0.3">
      <c r="A63" s="7" t="str">
        <f>_xlfn.XLOOKUP(ColombiaClientes6[[#This Row],[Client]],VpsClientes[Client],VpsClientes[VP],"",0)</f>
        <v>Edwin Gamboa</v>
      </c>
      <c r="B63" s="21" t="s">
        <v>242</v>
      </c>
      <c r="C63" s="26" t="s">
        <v>202</v>
      </c>
      <c r="D63" s="49" t="s">
        <v>90</v>
      </c>
      <c r="E63" s="49" t="s">
        <v>91</v>
      </c>
      <c r="F63" s="22">
        <v>2283</v>
      </c>
    </row>
    <row r="64" spans="1:6" x14ac:dyDescent="0.3">
      <c r="A64" s="7" t="str">
        <f>_xlfn.XLOOKUP(ColombiaClientes6[[#This Row],[Client]],VpsClientes[Client],VpsClientes[VP],"",0)</f>
        <v>Edwin Gamboa</v>
      </c>
      <c r="B64" s="21" t="s">
        <v>242</v>
      </c>
      <c r="C64" s="26" t="s">
        <v>203</v>
      </c>
      <c r="D64" s="49" t="s">
        <v>90</v>
      </c>
      <c r="E64" s="49" t="s">
        <v>91</v>
      </c>
      <c r="F64" s="22">
        <v>1450</v>
      </c>
    </row>
    <row r="65" spans="1:6" x14ac:dyDescent="0.3">
      <c r="A65" s="7" t="str">
        <f>_xlfn.XLOOKUP(ColombiaClientes6[[#This Row],[Client]],VpsClientes[Client],VpsClientes[VP],"",0)</f>
        <v>Edwin Gamboa</v>
      </c>
      <c r="B65" s="21" t="s">
        <v>242</v>
      </c>
      <c r="C65" s="26" t="s">
        <v>205</v>
      </c>
      <c r="D65" s="49" t="s">
        <v>90</v>
      </c>
      <c r="E65" s="49" t="s">
        <v>91</v>
      </c>
      <c r="F65" s="22">
        <v>1850</v>
      </c>
    </row>
    <row r="66" spans="1:6" x14ac:dyDescent="0.3">
      <c r="A66" s="7" t="str">
        <f>_xlfn.XLOOKUP(ColombiaClientes6[[#This Row],[Client]],VpsClientes[Client],VpsClientes[VP],"",0)</f>
        <v>Edwin Gamboa</v>
      </c>
      <c r="B66" s="21" t="s">
        <v>242</v>
      </c>
      <c r="C66" s="26" t="s">
        <v>237</v>
      </c>
      <c r="D66" s="49" t="s">
        <v>90</v>
      </c>
      <c r="E66" s="49" t="s">
        <v>91</v>
      </c>
      <c r="F66" s="22">
        <v>23</v>
      </c>
    </row>
    <row r="67" spans="1:6" x14ac:dyDescent="0.3">
      <c r="A67" s="7" t="str">
        <f>_xlfn.XLOOKUP(ColombiaClientes6[[#This Row],[Client]],VpsClientes[Client],VpsClientes[VP],"",0)</f>
        <v>Edwin Gamboa</v>
      </c>
      <c r="B67" s="21" t="s">
        <v>242</v>
      </c>
      <c r="C67" s="26" t="s">
        <v>92</v>
      </c>
      <c r="D67" s="49" t="s">
        <v>90</v>
      </c>
      <c r="E67" s="49" t="s">
        <v>206</v>
      </c>
      <c r="F67" s="22">
        <v>1242</v>
      </c>
    </row>
    <row r="68" spans="1:6" x14ac:dyDescent="0.3">
      <c r="A68" s="7" t="str">
        <f>_xlfn.XLOOKUP(ColombiaClientes6[[#This Row],[Client]],VpsClientes[Client],VpsClientes[VP],"",0)</f>
        <v>Edwin Gamboa</v>
      </c>
      <c r="B68" s="21" t="s">
        <v>242</v>
      </c>
      <c r="C68" s="26" t="s">
        <v>191</v>
      </c>
      <c r="D68" s="49" t="s">
        <v>90</v>
      </c>
      <c r="E68" s="49" t="s">
        <v>206</v>
      </c>
      <c r="F68" s="22">
        <v>1088</v>
      </c>
    </row>
    <row r="69" spans="1:6" x14ac:dyDescent="0.3">
      <c r="A69" s="7" t="str">
        <f>_xlfn.XLOOKUP(ColombiaClientes6[[#This Row],[Client]],VpsClientes[Client],VpsClientes[VP],"",0)</f>
        <v>Edwin Gamboa</v>
      </c>
      <c r="B69" s="21" t="s">
        <v>242</v>
      </c>
      <c r="C69" s="26" t="s">
        <v>192</v>
      </c>
      <c r="D69" s="49" t="s">
        <v>90</v>
      </c>
      <c r="E69" s="49" t="s">
        <v>206</v>
      </c>
      <c r="F69" s="22">
        <v>907</v>
      </c>
    </row>
    <row r="70" spans="1:6" x14ac:dyDescent="0.3">
      <c r="A70" s="7" t="str">
        <f>_xlfn.XLOOKUP(ColombiaClientes6[[#This Row],[Client]],VpsClientes[Client],VpsClientes[VP],"",0)</f>
        <v>Edwin Gamboa</v>
      </c>
      <c r="B70" s="21" t="s">
        <v>242</v>
      </c>
      <c r="C70" s="26" t="s">
        <v>194</v>
      </c>
      <c r="D70" s="49" t="s">
        <v>90</v>
      </c>
      <c r="E70" s="49" t="s">
        <v>206</v>
      </c>
      <c r="F70" s="22">
        <v>927</v>
      </c>
    </row>
    <row r="71" spans="1:6" x14ac:dyDescent="0.3">
      <c r="A71" s="7" t="str">
        <f>_xlfn.XLOOKUP(ColombiaClientes6[[#This Row],[Client]],VpsClientes[Client],VpsClientes[VP],"",0)</f>
        <v>Edwin Gamboa</v>
      </c>
      <c r="B71" s="21" t="s">
        <v>242</v>
      </c>
      <c r="C71" s="26" t="s">
        <v>202</v>
      </c>
      <c r="D71" s="49" t="s">
        <v>90</v>
      </c>
      <c r="E71" s="49" t="s">
        <v>206</v>
      </c>
      <c r="F71" s="22">
        <v>1125</v>
      </c>
    </row>
    <row r="72" spans="1:6" x14ac:dyDescent="0.3">
      <c r="A72" s="7" t="str">
        <f>_xlfn.XLOOKUP(ColombiaClientes6[[#This Row],[Client]],VpsClientes[Client],VpsClientes[VP],"",0)</f>
        <v>Edwin Gamboa</v>
      </c>
      <c r="B72" s="21" t="s">
        <v>242</v>
      </c>
      <c r="C72" s="26" t="s">
        <v>203</v>
      </c>
      <c r="D72" s="49" t="s">
        <v>90</v>
      </c>
      <c r="E72" s="49" t="s">
        <v>206</v>
      </c>
      <c r="F72" s="22">
        <v>491</v>
      </c>
    </row>
    <row r="73" spans="1:6" hidden="1" x14ac:dyDescent="0.3">
      <c r="A73" s="7" t="str">
        <f>_xlfn.XLOOKUP(ColombiaClientes6[[#This Row],[Client]],VpsClientes[Client],VpsClientes[VP],"",0)</f>
        <v>Carlos Beltran Hernandez</v>
      </c>
      <c r="B73" s="25" t="s">
        <v>93</v>
      </c>
      <c r="C73" s="10" t="s">
        <v>192</v>
      </c>
      <c r="D73" s="49" t="s">
        <v>90</v>
      </c>
      <c r="E73" s="49" t="s">
        <v>91</v>
      </c>
      <c r="F73" s="27">
        <v>7682</v>
      </c>
    </row>
    <row r="74" spans="1:6" x14ac:dyDescent="0.3">
      <c r="A74" s="7" t="str">
        <f>_xlfn.XLOOKUP(ColombiaClientes6[[#This Row],[Client]],VpsClientes[Client],VpsClientes[VP],"",0)</f>
        <v>Edwin Gamboa</v>
      </c>
      <c r="B74" s="25" t="s">
        <v>242</v>
      </c>
      <c r="C74" s="26" t="s">
        <v>205</v>
      </c>
      <c r="D74" s="49" t="s">
        <v>90</v>
      </c>
      <c r="E74" s="49" t="s">
        <v>206</v>
      </c>
      <c r="F74" s="27">
        <v>906</v>
      </c>
    </row>
    <row r="75" spans="1:6" hidden="1" x14ac:dyDescent="0.3">
      <c r="A75" s="7" t="str">
        <f>_xlfn.XLOOKUP(ColombiaClientes6[[#This Row],[Client]],VpsClientes[Client],VpsClientes[VP],"",0)</f>
        <v>Moises Saavedra Garcia</v>
      </c>
      <c r="B75" s="25" t="s">
        <v>110</v>
      </c>
      <c r="C75" s="26" t="s">
        <v>192</v>
      </c>
      <c r="D75" s="49" t="s">
        <v>90</v>
      </c>
      <c r="E75" s="49" t="s">
        <v>91</v>
      </c>
      <c r="F75" s="27">
        <v>4954</v>
      </c>
    </row>
    <row r="76" spans="1:6" hidden="1" x14ac:dyDescent="0.3">
      <c r="A76" s="7" t="str">
        <f>_xlfn.XLOOKUP(ColombiaClientes6[[#This Row],[Client]],VpsClientes[Client],VpsClientes[VP],"",0)</f>
        <v>Ludy Torres Benitez</v>
      </c>
      <c r="B76" s="25" t="s">
        <v>95</v>
      </c>
      <c r="C76" s="26" t="s">
        <v>192</v>
      </c>
      <c r="D76" s="49" t="s">
        <v>90</v>
      </c>
      <c r="E76" s="49" t="s">
        <v>91</v>
      </c>
      <c r="F76" s="27">
        <v>4488</v>
      </c>
    </row>
    <row r="77" spans="1:6" hidden="1" x14ac:dyDescent="0.3">
      <c r="A77" s="7" t="str">
        <f>_xlfn.XLOOKUP(ColombiaClientes6[[#This Row],[Client]],VpsClientes[Client],VpsClientes[VP],"",0)</f>
        <v>Hector Muraira Garza</v>
      </c>
      <c r="B77" s="25" t="s">
        <v>164</v>
      </c>
      <c r="C77" s="26" t="s">
        <v>192</v>
      </c>
      <c r="D77" s="49" t="s">
        <v>90</v>
      </c>
      <c r="E77" s="49" t="s">
        <v>91</v>
      </c>
      <c r="F77" s="27">
        <v>3755</v>
      </c>
    </row>
    <row r="78" spans="1:6" hidden="1" x14ac:dyDescent="0.3">
      <c r="A78" s="7" t="str">
        <f>_xlfn.XLOOKUP(ColombiaClientes6[[#This Row],[Client]],VpsClientes[Client],VpsClientes[VP],"",0)</f>
        <v>Javier Orjuela Sarmiento</v>
      </c>
      <c r="B78" s="25" t="s">
        <v>133</v>
      </c>
      <c r="C78" s="26" t="s">
        <v>192</v>
      </c>
      <c r="D78" s="49" t="s">
        <v>90</v>
      </c>
      <c r="E78" s="49" t="s">
        <v>91</v>
      </c>
      <c r="F78" s="27">
        <v>3746</v>
      </c>
    </row>
    <row r="79" spans="1:6" hidden="1" x14ac:dyDescent="0.3">
      <c r="A79" s="7" t="str">
        <f>_xlfn.XLOOKUP(ColombiaClientes6[[#This Row],[Client]],VpsClientes[Client],VpsClientes[VP],"",0)</f>
        <v>Juan Granados Castillo</v>
      </c>
      <c r="B79" s="25" t="s">
        <v>134</v>
      </c>
      <c r="C79" s="26" t="s">
        <v>192</v>
      </c>
      <c r="D79" s="49" t="s">
        <v>90</v>
      </c>
      <c r="E79" s="49" t="s">
        <v>91</v>
      </c>
      <c r="F79" s="27">
        <v>3373</v>
      </c>
    </row>
    <row r="80" spans="1:6" x14ac:dyDescent="0.3">
      <c r="A80" s="7" t="str">
        <f>_xlfn.XLOOKUP(ColombiaClientes6[[#This Row],[Client]],VpsClientes[Client],VpsClientes[VP],"",0)</f>
        <v>Edwin Gamboa</v>
      </c>
      <c r="B80" s="25" t="s">
        <v>242</v>
      </c>
      <c r="C80" s="26" t="s">
        <v>237</v>
      </c>
      <c r="D80" s="49" t="s">
        <v>90</v>
      </c>
      <c r="E80" s="49" t="s">
        <v>206</v>
      </c>
      <c r="F80" s="27">
        <v>483</v>
      </c>
    </row>
    <row r="81" spans="1:6" x14ac:dyDescent="0.3">
      <c r="A81" s="7" t="str">
        <f>_xlfn.XLOOKUP(ColombiaClientes6[[#This Row],[Client]],VpsClientes[Client],VpsClientes[VP],"",0)</f>
        <v>Edwin Gamboa</v>
      </c>
      <c r="B81" s="25" t="s">
        <v>242</v>
      </c>
      <c r="C81" s="26" t="s">
        <v>92</v>
      </c>
      <c r="D81" s="49" t="s">
        <v>219</v>
      </c>
      <c r="E81" s="49" t="s">
        <v>91</v>
      </c>
      <c r="F81" s="27">
        <v>1249</v>
      </c>
    </row>
    <row r="82" spans="1:6" x14ac:dyDescent="0.3">
      <c r="A82" s="7" t="str">
        <f>_xlfn.XLOOKUP(ColombiaClientes6[[#This Row],[Client]],VpsClientes[Client],VpsClientes[VP],"",0)</f>
        <v>Edwin Gamboa</v>
      </c>
      <c r="B82" s="25" t="s">
        <v>242</v>
      </c>
      <c r="C82" s="26" t="s">
        <v>191</v>
      </c>
      <c r="D82" s="49" t="s">
        <v>219</v>
      </c>
      <c r="E82" s="49" t="s">
        <v>91</v>
      </c>
      <c r="F82" s="27">
        <v>1389</v>
      </c>
    </row>
    <row r="83" spans="1:6" x14ac:dyDescent="0.3">
      <c r="A83" s="7" t="str">
        <f>_xlfn.XLOOKUP(ColombiaClientes6[[#This Row],[Client]],VpsClientes[Client],VpsClientes[VP],"",0)</f>
        <v>Edwin Gamboa</v>
      </c>
      <c r="B83" s="25" t="s">
        <v>242</v>
      </c>
      <c r="C83" s="26" t="s">
        <v>192</v>
      </c>
      <c r="D83" s="49" t="s">
        <v>219</v>
      </c>
      <c r="E83" s="49" t="s">
        <v>91</v>
      </c>
      <c r="F83" s="27">
        <v>1682</v>
      </c>
    </row>
    <row r="84" spans="1:6" x14ac:dyDescent="0.3">
      <c r="A84" s="7" t="str">
        <f>_xlfn.XLOOKUP(ColombiaClientes6[[#This Row],[Client]],VpsClientes[Client],VpsClientes[VP],"",0)</f>
        <v>Edwin Gamboa</v>
      </c>
      <c r="B84" s="25" t="s">
        <v>242</v>
      </c>
      <c r="C84" s="26" t="s">
        <v>194</v>
      </c>
      <c r="D84" s="49" t="s">
        <v>219</v>
      </c>
      <c r="E84" s="49" t="s">
        <v>91</v>
      </c>
      <c r="F84" s="27">
        <v>2149</v>
      </c>
    </row>
    <row r="85" spans="1:6" hidden="1" x14ac:dyDescent="0.3">
      <c r="A85" s="7" t="str">
        <f>_xlfn.XLOOKUP(ColombiaClientes6[[#This Row],[Client]],VpsClientes[Client],VpsClientes[VP],"",0)</f>
        <v>Sandra Romero Zuluaga</v>
      </c>
      <c r="B85" s="25" t="s">
        <v>113</v>
      </c>
      <c r="C85" s="26" t="s">
        <v>192</v>
      </c>
      <c r="D85" s="49" t="s">
        <v>90</v>
      </c>
      <c r="E85" s="49" t="s">
        <v>91</v>
      </c>
      <c r="F85" s="27">
        <v>1514</v>
      </c>
    </row>
    <row r="86" spans="1:6" hidden="1" x14ac:dyDescent="0.3">
      <c r="A86" s="7" t="str">
        <f>_xlfn.XLOOKUP(ColombiaClientes6[[#This Row],[Client]],VpsClientes[Client],VpsClientes[VP],"",0)</f>
        <v>Hector Muraira Garza</v>
      </c>
      <c r="B86" s="25" t="s">
        <v>132</v>
      </c>
      <c r="C86" s="26" t="s">
        <v>192</v>
      </c>
      <c r="D86" s="49" t="s">
        <v>90</v>
      </c>
      <c r="E86" s="49" t="s">
        <v>91</v>
      </c>
      <c r="F86" s="27">
        <v>1223</v>
      </c>
    </row>
    <row r="87" spans="1:6" x14ac:dyDescent="0.3">
      <c r="A87" s="7" t="str">
        <f>_xlfn.XLOOKUP(ColombiaClientes6[[#This Row],[Client]],VpsClientes[Client],VpsClientes[VP],"",0)</f>
        <v>Edwin Gamboa</v>
      </c>
      <c r="B87" s="25" t="s">
        <v>242</v>
      </c>
      <c r="C87" s="26" t="s">
        <v>202</v>
      </c>
      <c r="D87" s="49" t="s">
        <v>219</v>
      </c>
      <c r="E87" s="49" t="s">
        <v>91</v>
      </c>
      <c r="F87" s="27">
        <v>2498</v>
      </c>
    </row>
    <row r="88" spans="1:6" x14ac:dyDescent="0.3">
      <c r="A88" s="7" t="str">
        <f>_xlfn.XLOOKUP(ColombiaClientes6[[#This Row],[Client]],VpsClientes[Client],VpsClientes[VP],"",0)</f>
        <v>Edwin Gamboa</v>
      </c>
      <c r="B88" s="25" t="s">
        <v>242</v>
      </c>
      <c r="C88" s="26" t="s">
        <v>203</v>
      </c>
      <c r="D88" s="49" t="s">
        <v>219</v>
      </c>
      <c r="E88" s="49" t="s">
        <v>91</v>
      </c>
      <c r="F88" s="27">
        <v>1641</v>
      </c>
    </row>
    <row r="89" spans="1:6" x14ac:dyDescent="0.3">
      <c r="A89" s="7" t="str">
        <f>_xlfn.XLOOKUP(ColombiaClientes6[[#This Row],[Client]],VpsClientes[Client],VpsClientes[VP],"",0)</f>
        <v>Edwin Gamboa</v>
      </c>
      <c r="B89" s="25" t="s">
        <v>242</v>
      </c>
      <c r="C89" s="26" t="s">
        <v>205</v>
      </c>
      <c r="D89" s="49" t="s">
        <v>219</v>
      </c>
      <c r="E89" s="49" t="s">
        <v>91</v>
      </c>
      <c r="F89" s="27">
        <v>2045</v>
      </c>
    </row>
    <row r="90" spans="1:6" x14ac:dyDescent="0.3">
      <c r="A90" s="7" t="str">
        <f>_xlfn.XLOOKUP(ColombiaClientes6[[#This Row],[Client]],VpsClientes[Client],VpsClientes[VP],"",0)</f>
        <v>Edwin Gamboa</v>
      </c>
      <c r="B90" s="25" t="s">
        <v>242</v>
      </c>
      <c r="C90" s="26" t="s">
        <v>237</v>
      </c>
      <c r="D90" s="49" t="s">
        <v>219</v>
      </c>
      <c r="E90" s="49" t="s">
        <v>91</v>
      </c>
      <c r="F90" s="27">
        <v>292</v>
      </c>
    </row>
    <row r="91" spans="1:6" hidden="1" x14ac:dyDescent="0.3">
      <c r="A91" s="7" t="str">
        <f>_xlfn.XLOOKUP(ColombiaClientes6[[#This Row],[Client]],VpsClientes[Client],VpsClientes[VP],"",0)</f>
        <v>Martha Guzman Arango</v>
      </c>
      <c r="B91" s="25" t="s">
        <v>199</v>
      </c>
      <c r="C91" s="26" t="s">
        <v>192</v>
      </c>
      <c r="D91" s="49" t="s">
        <v>90</v>
      </c>
      <c r="E91" s="49" t="s">
        <v>91</v>
      </c>
      <c r="F91" s="27">
        <v>809</v>
      </c>
    </row>
    <row r="92" spans="1:6" x14ac:dyDescent="0.3">
      <c r="A92" s="7" t="str">
        <f>_xlfn.XLOOKUP(ColombiaClientes6[[#This Row],[Client]],VpsClientes[Client],VpsClientes[VP],"",0)</f>
        <v>Edwin Gamboa</v>
      </c>
      <c r="B92" s="25" t="s">
        <v>242</v>
      </c>
      <c r="C92" s="26" t="s">
        <v>92</v>
      </c>
      <c r="D92" s="49" t="s">
        <v>219</v>
      </c>
      <c r="E92" s="49" t="s">
        <v>206</v>
      </c>
      <c r="F92" s="27">
        <v>349</v>
      </c>
    </row>
    <row r="93" spans="1:6" hidden="1" x14ac:dyDescent="0.3">
      <c r="A93" s="7" t="str">
        <f>_xlfn.XLOOKUP(ColombiaClientes6[[#This Row],[Client]],VpsClientes[Client],VpsClientes[VP],"",0)</f>
        <v>Hector Muraira Garza</v>
      </c>
      <c r="B93" s="25" t="s">
        <v>140</v>
      </c>
      <c r="C93" s="26" t="s">
        <v>192</v>
      </c>
      <c r="D93" s="49" t="s">
        <v>90</v>
      </c>
      <c r="E93" s="49" t="s">
        <v>91</v>
      </c>
      <c r="F93" s="27">
        <v>653</v>
      </c>
    </row>
    <row r="94" spans="1:6" x14ac:dyDescent="0.3">
      <c r="A94" s="7" t="str">
        <f>_xlfn.XLOOKUP(ColombiaClientes6[[#This Row],[Client]],VpsClientes[Client],VpsClientes[VP],"",0)</f>
        <v>Edwin Gamboa</v>
      </c>
      <c r="B94" s="25" t="s">
        <v>242</v>
      </c>
      <c r="C94" s="26" t="s">
        <v>191</v>
      </c>
      <c r="D94" s="49" t="s">
        <v>219</v>
      </c>
      <c r="E94" s="49" t="s">
        <v>206</v>
      </c>
      <c r="F94" s="27">
        <v>252</v>
      </c>
    </row>
    <row r="95" spans="1:6" x14ac:dyDescent="0.3">
      <c r="A95" s="7" t="str">
        <f>_xlfn.XLOOKUP(ColombiaClientes6[[#This Row],[Client]],VpsClientes[Client],VpsClientes[VP],"",0)</f>
        <v>Edwin Gamboa</v>
      </c>
      <c r="B95" s="25" t="s">
        <v>242</v>
      </c>
      <c r="C95" s="26" t="s">
        <v>192</v>
      </c>
      <c r="D95" s="49" t="s">
        <v>219</v>
      </c>
      <c r="E95" s="49" t="s">
        <v>206</v>
      </c>
      <c r="F95" s="27">
        <v>185</v>
      </c>
    </row>
    <row r="96" spans="1:6" x14ac:dyDescent="0.3">
      <c r="A96" s="7" t="str">
        <f>_xlfn.XLOOKUP(ColombiaClientes6[[#This Row],[Client]],VpsClientes[Client],VpsClientes[VP],"",0)</f>
        <v>Edwin Gamboa</v>
      </c>
      <c r="B96" s="25" t="s">
        <v>242</v>
      </c>
      <c r="C96" s="26" t="s">
        <v>194</v>
      </c>
      <c r="D96" s="49" t="s">
        <v>219</v>
      </c>
      <c r="E96" s="49" t="s">
        <v>206</v>
      </c>
      <c r="F96" s="27">
        <v>286</v>
      </c>
    </row>
    <row r="97" spans="1:6" hidden="1" x14ac:dyDescent="0.3">
      <c r="A97" s="7" t="str">
        <f>_xlfn.XLOOKUP(ColombiaClientes6[[#This Row],[Client]],VpsClientes[Client],VpsClientes[VP],"",0)</f>
        <v>Hector Muraira Garza</v>
      </c>
      <c r="B97" s="25" t="s">
        <v>167</v>
      </c>
      <c r="C97" s="26" t="s">
        <v>192</v>
      </c>
      <c r="D97" s="49" t="s">
        <v>90</v>
      </c>
      <c r="E97" s="49" t="s">
        <v>91</v>
      </c>
      <c r="F97" s="27">
        <v>430</v>
      </c>
    </row>
    <row r="98" spans="1:6" hidden="1" x14ac:dyDescent="0.3">
      <c r="A98" s="7" t="str">
        <f>_xlfn.XLOOKUP(ColombiaClientes6[[#This Row],[Client]],VpsClientes[Client],VpsClientes[VP],"",0)</f>
        <v>Jhonatan Izquierdo Rico</v>
      </c>
      <c r="B98" s="25" t="s">
        <v>157</v>
      </c>
      <c r="C98" s="26" t="s">
        <v>192</v>
      </c>
      <c r="D98" s="49" t="s">
        <v>90</v>
      </c>
      <c r="E98" s="49" t="s">
        <v>91</v>
      </c>
      <c r="F98" s="27">
        <v>416</v>
      </c>
    </row>
    <row r="99" spans="1:6" x14ac:dyDescent="0.3">
      <c r="A99" s="7" t="str">
        <f>_xlfn.XLOOKUP(ColombiaClientes6[[#This Row],[Client]],VpsClientes[Client],VpsClientes[VP],"",0)</f>
        <v>Edwin Gamboa</v>
      </c>
      <c r="B99" s="25" t="s">
        <v>242</v>
      </c>
      <c r="C99" s="26" t="s">
        <v>202</v>
      </c>
      <c r="D99" s="49" t="s">
        <v>219</v>
      </c>
      <c r="E99" s="49" t="s">
        <v>206</v>
      </c>
      <c r="F99" s="27">
        <v>662</v>
      </c>
    </row>
    <row r="100" spans="1:6" x14ac:dyDescent="0.3">
      <c r="A100" s="7" t="str">
        <f>_xlfn.XLOOKUP(ColombiaClientes6[[#This Row],[Client]],VpsClientes[Client],VpsClientes[VP],"",0)</f>
        <v>Edwin Gamboa</v>
      </c>
      <c r="B100" s="25" t="s">
        <v>242</v>
      </c>
      <c r="C100" s="26" t="s">
        <v>203</v>
      </c>
      <c r="D100" s="49" t="s">
        <v>219</v>
      </c>
      <c r="E100" s="49" t="s">
        <v>206</v>
      </c>
      <c r="F100" s="27">
        <v>855</v>
      </c>
    </row>
    <row r="101" spans="1:6" x14ac:dyDescent="0.3">
      <c r="A101" s="7" t="str">
        <f>_xlfn.XLOOKUP(ColombiaClientes6[[#This Row],[Client]],VpsClientes[Client],VpsClientes[VP],"",0)</f>
        <v>Edwin Gamboa</v>
      </c>
      <c r="B101" s="25" t="s">
        <v>242</v>
      </c>
      <c r="C101" s="26" t="s">
        <v>205</v>
      </c>
      <c r="D101" s="49" t="s">
        <v>219</v>
      </c>
      <c r="E101" s="49" t="s">
        <v>206</v>
      </c>
      <c r="F101" s="27">
        <v>493</v>
      </c>
    </row>
    <row r="102" spans="1:6" x14ac:dyDescent="0.3">
      <c r="A102" s="7" t="str">
        <f>_xlfn.XLOOKUP(ColombiaClientes6[[#This Row],[Client]],VpsClientes[Client],VpsClientes[VP],"",0)</f>
        <v>Edwin Gamboa</v>
      </c>
      <c r="B102" s="25" t="s">
        <v>242</v>
      </c>
      <c r="C102" s="26" t="s">
        <v>237</v>
      </c>
      <c r="D102" s="49" t="s">
        <v>219</v>
      </c>
      <c r="E102" s="49" t="s">
        <v>206</v>
      </c>
      <c r="F102" s="27">
        <v>6</v>
      </c>
    </row>
    <row r="103" spans="1:6" x14ac:dyDescent="0.3">
      <c r="A103" s="7" t="str">
        <f>_xlfn.XLOOKUP(ColombiaClientes6[[#This Row],[Client]],VpsClientes[Client],VpsClientes[VP],"",0)</f>
        <v>Martha Guzman Arango</v>
      </c>
      <c r="B103" s="25" t="s">
        <v>269</v>
      </c>
      <c r="C103" s="26" t="s">
        <v>202</v>
      </c>
      <c r="D103" s="49" t="s">
        <v>90</v>
      </c>
      <c r="E103" s="49" t="s">
        <v>91</v>
      </c>
      <c r="F103" s="27">
        <v>6524</v>
      </c>
    </row>
    <row r="104" spans="1:6" hidden="1" x14ac:dyDescent="0.3">
      <c r="A104" s="7" t="str">
        <f>_xlfn.XLOOKUP(ColombiaClientes6[[#This Row],[Client]],VpsClientes[Client],VpsClientes[VP],"",0)</f>
        <v>Moises Saavedra Garcia</v>
      </c>
      <c r="B104" s="25" t="s">
        <v>201</v>
      </c>
      <c r="C104" s="26" t="s">
        <v>192</v>
      </c>
      <c r="D104" s="49" t="s">
        <v>90</v>
      </c>
      <c r="E104" s="49" t="s">
        <v>91</v>
      </c>
      <c r="F104" s="27">
        <v>190</v>
      </c>
    </row>
    <row r="105" spans="1:6" x14ac:dyDescent="0.3">
      <c r="A105" s="7" t="str">
        <f>_xlfn.XLOOKUP(ColombiaClientes6[[#This Row],[Client]],VpsClientes[Client],VpsClientes[VP],"",0)</f>
        <v>Martha Guzman Arango</v>
      </c>
      <c r="B105" s="25" t="s">
        <v>269</v>
      </c>
      <c r="C105" s="26" t="s">
        <v>203</v>
      </c>
      <c r="D105" s="49" t="s">
        <v>90</v>
      </c>
      <c r="E105" s="49" t="s">
        <v>91</v>
      </c>
      <c r="F105" s="27">
        <v>18376</v>
      </c>
    </row>
    <row r="106" spans="1:6" hidden="1" x14ac:dyDescent="0.3">
      <c r="A106" s="7" t="str">
        <f>_xlfn.XLOOKUP(ColombiaClientes6[[#This Row],[Client]],VpsClientes[Client],VpsClientes[VP],"",0)</f>
        <v>Jhonatan Izquierdo Rico</v>
      </c>
      <c r="B106" s="25" t="s">
        <v>104</v>
      </c>
      <c r="C106" s="26" t="s">
        <v>192</v>
      </c>
      <c r="D106" s="49" t="s">
        <v>90</v>
      </c>
      <c r="E106" s="49" t="s">
        <v>91</v>
      </c>
      <c r="F106" s="27">
        <v>156</v>
      </c>
    </row>
    <row r="107" spans="1:6" x14ac:dyDescent="0.3">
      <c r="A107" s="7" t="str">
        <f>_xlfn.XLOOKUP(ColombiaClientes6[[#This Row],[Client]],VpsClientes[Client],VpsClientes[VP],"",0)</f>
        <v>Martha Guzman Arango</v>
      </c>
      <c r="B107" s="25" t="s">
        <v>269</v>
      </c>
      <c r="C107" s="26" t="s">
        <v>205</v>
      </c>
      <c r="D107" s="49" t="s">
        <v>90</v>
      </c>
      <c r="E107" s="49" t="s">
        <v>91</v>
      </c>
      <c r="F107" s="27">
        <v>19327</v>
      </c>
    </row>
    <row r="108" spans="1:6" x14ac:dyDescent="0.3">
      <c r="A108" s="7" t="str">
        <f>_xlfn.XLOOKUP(ColombiaClientes6[[#This Row],[Client]],VpsClientes[Client],VpsClientes[VP],"",0)</f>
        <v>Martha Guzman Arango</v>
      </c>
      <c r="B108" s="25" t="s">
        <v>269</v>
      </c>
      <c r="C108" s="26" t="s">
        <v>237</v>
      </c>
      <c r="D108" s="49" t="s">
        <v>90</v>
      </c>
      <c r="E108" s="49" t="s">
        <v>91</v>
      </c>
      <c r="F108" s="27">
        <v>4</v>
      </c>
    </row>
    <row r="109" spans="1:6" x14ac:dyDescent="0.3">
      <c r="A109" s="7" t="str">
        <f>_xlfn.XLOOKUP(ColombiaClientes6[[#This Row],[Client]],VpsClientes[Client],VpsClientes[VP],"",0)</f>
        <v>Martha Guzman Arango</v>
      </c>
      <c r="B109" s="25" t="s">
        <v>269</v>
      </c>
      <c r="C109" s="26" t="s">
        <v>202</v>
      </c>
      <c r="D109" s="49" t="s">
        <v>90</v>
      </c>
      <c r="E109" s="49" t="s">
        <v>206</v>
      </c>
      <c r="F109" s="27">
        <v>911</v>
      </c>
    </row>
    <row r="110" spans="1:6" x14ac:dyDescent="0.3">
      <c r="A110" s="7" t="str">
        <f>_xlfn.XLOOKUP(ColombiaClientes6[[#This Row],[Client]],VpsClientes[Client],VpsClientes[VP],"",0)</f>
        <v>Martha Guzman Arango</v>
      </c>
      <c r="B110" s="25" t="s">
        <v>269</v>
      </c>
      <c r="C110" s="26" t="s">
        <v>203</v>
      </c>
      <c r="D110" s="49" t="s">
        <v>90</v>
      </c>
      <c r="E110" s="49" t="s">
        <v>206</v>
      </c>
      <c r="F110" s="27">
        <v>2510</v>
      </c>
    </row>
    <row r="111" spans="1:6" hidden="1" x14ac:dyDescent="0.3">
      <c r="A111" s="7" t="str">
        <f>_xlfn.XLOOKUP(ColombiaClientes6[[#This Row],[Client]],VpsClientes[Client],VpsClientes[VP],"",0)</f>
        <v>Carlos Beltran Hernandez</v>
      </c>
      <c r="B111" s="28" t="s">
        <v>93</v>
      </c>
      <c r="C111" s="10" t="s">
        <v>194</v>
      </c>
      <c r="D111" s="49" t="s">
        <v>90</v>
      </c>
      <c r="E111" s="49" t="s">
        <v>91</v>
      </c>
      <c r="F111" s="30">
        <v>10438</v>
      </c>
    </row>
    <row r="112" spans="1:6" x14ac:dyDescent="0.3">
      <c r="A112" s="7" t="str">
        <f>_xlfn.XLOOKUP(ColombiaClientes6[[#This Row],[Client]],VpsClientes[Client],VpsClientes[VP],"",0)</f>
        <v>Martha Guzman Arango</v>
      </c>
      <c r="B112" s="28" t="s">
        <v>269</v>
      </c>
      <c r="C112" s="29" t="s">
        <v>205</v>
      </c>
      <c r="D112" s="49" t="s">
        <v>90</v>
      </c>
      <c r="E112" s="49" t="s">
        <v>206</v>
      </c>
      <c r="F112" s="30">
        <v>5121</v>
      </c>
    </row>
    <row r="113" spans="1:6" hidden="1" x14ac:dyDescent="0.3">
      <c r="A113" s="7" t="str">
        <f>_xlfn.XLOOKUP(ColombiaClientes6[[#This Row],[Client]],VpsClientes[Client],VpsClientes[VP],"",0)</f>
        <v>Moises Saavedra Garcia</v>
      </c>
      <c r="B113" s="28" t="s">
        <v>110</v>
      </c>
      <c r="C113" s="29" t="s">
        <v>194</v>
      </c>
      <c r="D113" s="49" t="s">
        <v>90</v>
      </c>
      <c r="E113" s="49" t="s">
        <v>91</v>
      </c>
      <c r="F113" s="30">
        <v>4628</v>
      </c>
    </row>
    <row r="114" spans="1:6" hidden="1" x14ac:dyDescent="0.3">
      <c r="A114" s="7" t="str">
        <f>_xlfn.XLOOKUP(ColombiaClientes6[[#This Row],[Client]],VpsClientes[Client],VpsClientes[VP],"",0)</f>
        <v>Ludy Torres Benitez</v>
      </c>
      <c r="B114" s="28" t="s">
        <v>95</v>
      </c>
      <c r="C114" s="29" t="s">
        <v>194</v>
      </c>
      <c r="D114" s="49" t="s">
        <v>90</v>
      </c>
      <c r="E114" s="49" t="s">
        <v>91</v>
      </c>
      <c r="F114" s="30">
        <v>4340</v>
      </c>
    </row>
    <row r="115" spans="1:6" hidden="1" x14ac:dyDescent="0.3">
      <c r="A115" s="7" t="str">
        <f>_xlfn.XLOOKUP(ColombiaClientes6[[#This Row],[Client]],VpsClientes[Client],VpsClientes[VP],"",0)</f>
        <v>Martha Guzman Arango</v>
      </c>
      <c r="B115" s="28" t="s">
        <v>199</v>
      </c>
      <c r="C115" s="29" t="s">
        <v>194</v>
      </c>
      <c r="D115" s="49" t="s">
        <v>90</v>
      </c>
      <c r="E115" s="49" t="s">
        <v>91</v>
      </c>
      <c r="F115" s="30">
        <v>3413</v>
      </c>
    </row>
    <row r="116" spans="1:6" hidden="1" x14ac:dyDescent="0.3">
      <c r="A116" s="7" t="str">
        <f>_xlfn.XLOOKUP(ColombiaClientes6[[#This Row],[Client]],VpsClientes[Client],VpsClientes[VP],"",0)</f>
        <v>Hector Muraira Garza</v>
      </c>
      <c r="B116" s="28" t="s">
        <v>164</v>
      </c>
      <c r="C116" s="29" t="s">
        <v>194</v>
      </c>
      <c r="D116" s="49" t="s">
        <v>90</v>
      </c>
      <c r="E116" s="49" t="s">
        <v>91</v>
      </c>
      <c r="F116" s="30">
        <v>3388</v>
      </c>
    </row>
    <row r="117" spans="1:6" x14ac:dyDescent="0.3">
      <c r="A117" s="7" t="str">
        <f>_xlfn.XLOOKUP(ColombiaClientes6[[#This Row],[Client]],VpsClientes[Client],VpsClientes[VP],"",0)</f>
        <v>Martha Guzman Arango</v>
      </c>
      <c r="B117" s="28" t="s">
        <v>269</v>
      </c>
      <c r="C117" s="29" t="s">
        <v>237</v>
      </c>
      <c r="D117" s="49" t="s">
        <v>90</v>
      </c>
      <c r="E117" s="49" t="s">
        <v>206</v>
      </c>
      <c r="F117" s="30">
        <v>3915</v>
      </c>
    </row>
    <row r="118" spans="1:6" x14ac:dyDescent="0.3">
      <c r="A118" s="7" t="str">
        <f>_xlfn.XLOOKUP(ColombiaClientes6[[#This Row],[Client]],VpsClientes[Client],VpsClientes[VP],"",0)</f>
        <v>Martha Guzman Arango</v>
      </c>
      <c r="B118" s="28" t="s">
        <v>269</v>
      </c>
      <c r="C118" s="29" t="s">
        <v>202</v>
      </c>
      <c r="D118" s="49" t="s">
        <v>219</v>
      </c>
      <c r="E118" s="49" t="s">
        <v>91</v>
      </c>
      <c r="F118" s="30">
        <v>266</v>
      </c>
    </row>
    <row r="119" spans="1:6" hidden="1" x14ac:dyDescent="0.3">
      <c r="A119" s="7" t="str">
        <f>_xlfn.XLOOKUP(ColombiaClientes6[[#This Row],[Client]],VpsClientes[Client],VpsClientes[VP],"",0)</f>
        <v>Juan Granados Castillo</v>
      </c>
      <c r="B119" s="28" t="s">
        <v>134</v>
      </c>
      <c r="C119" s="29" t="s">
        <v>194</v>
      </c>
      <c r="D119" s="49" t="s">
        <v>90</v>
      </c>
      <c r="E119" s="49" t="s">
        <v>91</v>
      </c>
      <c r="F119" s="30">
        <v>2549</v>
      </c>
    </row>
    <row r="120" spans="1:6" x14ac:dyDescent="0.3">
      <c r="A120" s="7" t="str">
        <f>_xlfn.XLOOKUP(ColombiaClientes6[[#This Row],[Client]],VpsClientes[Client],VpsClientes[VP],"",0)</f>
        <v>Martha Guzman Arango</v>
      </c>
      <c r="B120" s="28" t="s">
        <v>269</v>
      </c>
      <c r="C120" s="29" t="s">
        <v>203</v>
      </c>
      <c r="D120" s="49" t="s">
        <v>219</v>
      </c>
      <c r="E120" s="49" t="s">
        <v>91</v>
      </c>
      <c r="F120" s="30">
        <v>3</v>
      </c>
    </row>
    <row r="121" spans="1:6" x14ac:dyDescent="0.3">
      <c r="A121" s="7" t="str">
        <f>_xlfn.XLOOKUP(ColombiaClientes6[[#This Row],[Client]],VpsClientes[Client],VpsClientes[VP],"",0)</f>
        <v>Martha Guzman Arango</v>
      </c>
      <c r="B121" s="28" t="s">
        <v>269</v>
      </c>
      <c r="C121" s="29" t="s">
        <v>205</v>
      </c>
      <c r="D121" s="49" t="s">
        <v>219</v>
      </c>
      <c r="E121" s="49" t="s">
        <v>91</v>
      </c>
      <c r="F121" s="30">
        <v>34</v>
      </c>
    </row>
    <row r="122" spans="1:6" x14ac:dyDescent="0.3">
      <c r="A122" s="7" t="str">
        <f>_xlfn.XLOOKUP(ColombiaClientes6[[#This Row],[Client]],VpsClientes[Client],VpsClientes[VP],"",0)</f>
        <v>Martha Guzman Arango</v>
      </c>
      <c r="B122" s="28" t="s">
        <v>269</v>
      </c>
      <c r="C122" s="29" t="s">
        <v>202</v>
      </c>
      <c r="D122" s="49" t="s">
        <v>219</v>
      </c>
      <c r="E122" s="49" t="s">
        <v>206</v>
      </c>
      <c r="F122" s="30">
        <v>314</v>
      </c>
    </row>
    <row r="123" spans="1:6" hidden="1" x14ac:dyDescent="0.3">
      <c r="A123" s="7" t="str">
        <f>_xlfn.XLOOKUP(ColombiaClientes6[[#This Row],[Client]],VpsClientes[Client],VpsClientes[VP],"",0)</f>
        <v>Sandra Romero Zuluaga</v>
      </c>
      <c r="B123" s="28" t="s">
        <v>113</v>
      </c>
      <c r="C123" s="29" t="s">
        <v>194</v>
      </c>
      <c r="D123" s="49" t="s">
        <v>90</v>
      </c>
      <c r="E123" s="49" t="s">
        <v>91</v>
      </c>
      <c r="F123" s="30">
        <v>1987</v>
      </c>
    </row>
    <row r="124" spans="1:6" x14ac:dyDescent="0.3">
      <c r="A124" s="7" t="str">
        <f>_xlfn.XLOOKUP(ColombiaClientes6[[#This Row],[Client]],VpsClientes[Client],VpsClientes[VP],"",0)</f>
        <v>Martha Guzman Arango</v>
      </c>
      <c r="B124" s="28" t="s">
        <v>269</v>
      </c>
      <c r="C124" s="29" t="s">
        <v>205</v>
      </c>
      <c r="D124" s="49" t="s">
        <v>219</v>
      </c>
      <c r="E124" s="49" t="s">
        <v>206</v>
      </c>
      <c r="F124" s="30">
        <v>18</v>
      </c>
    </row>
    <row r="125" spans="1:6" x14ac:dyDescent="0.3">
      <c r="A125" s="7" t="str">
        <f>_xlfn.XLOOKUP(ColombiaClientes6[[#This Row],[Client]],VpsClientes[Client],VpsClientes[VP],"",0)</f>
        <v>Alvaro Zamudio Rondon</v>
      </c>
      <c r="B125" s="28" t="s">
        <v>240</v>
      </c>
      <c r="C125" s="29" t="s">
        <v>92</v>
      </c>
      <c r="D125" s="49" t="s">
        <v>90</v>
      </c>
      <c r="E125" s="49" t="s">
        <v>91</v>
      </c>
      <c r="F125" s="30">
        <v>1967</v>
      </c>
    </row>
    <row r="126" spans="1:6" x14ac:dyDescent="0.3">
      <c r="A126" s="7" t="str">
        <f>_xlfn.XLOOKUP(ColombiaClientes6[[#This Row],[Client]],VpsClientes[Client],VpsClientes[VP],"",0)</f>
        <v>Alvaro Zamudio Rondon</v>
      </c>
      <c r="B126" s="28" t="s">
        <v>240</v>
      </c>
      <c r="C126" s="29" t="s">
        <v>191</v>
      </c>
      <c r="D126" s="49" t="s">
        <v>90</v>
      </c>
      <c r="E126" s="49" t="s">
        <v>91</v>
      </c>
      <c r="F126" s="30">
        <v>2568</v>
      </c>
    </row>
    <row r="127" spans="1:6" x14ac:dyDescent="0.3">
      <c r="A127" s="7" t="str">
        <f>_xlfn.XLOOKUP(ColombiaClientes6[[#This Row],[Client]],VpsClientes[Client],VpsClientes[VP],"",0)</f>
        <v>Alvaro Zamudio Rondon</v>
      </c>
      <c r="B127" s="28" t="s">
        <v>240</v>
      </c>
      <c r="C127" s="29" t="s">
        <v>192</v>
      </c>
      <c r="D127" s="49" t="s">
        <v>90</v>
      </c>
      <c r="E127" s="49" t="s">
        <v>91</v>
      </c>
      <c r="F127" s="30">
        <v>2768</v>
      </c>
    </row>
    <row r="128" spans="1:6" hidden="1" x14ac:dyDescent="0.3">
      <c r="A128" s="7" t="str">
        <f>_xlfn.XLOOKUP(ColombiaClientes6[[#This Row],[Client]],VpsClientes[Client],VpsClientes[VP],"",0)</f>
        <v>Hector Muraira Garza</v>
      </c>
      <c r="B128" s="28" t="s">
        <v>132</v>
      </c>
      <c r="C128" s="29" t="s">
        <v>194</v>
      </c>
      <c r="D128" s="49" t="s">
        <v>90</v>
      </c>
      <c r="E128" s="49" t="s">
        <v>91</v>
      </c>
      <c r="F128" s="30">
        <v>928</v>
      </c>
    </row>
    <row r="129" spans="1:6" x14ac:dyDescent="0.3">
      <c r="A129" s="7" t="str">
        <f>_xlfn.XLOOKUP(ColombiaClientes6[[#This Row],[Client]],VpsClientes[Client],VpsClientes[VP],"",0)</f>
        <v>Alvaro Zamudio Rondon</v>
      </c>
      <c r="B129" s="28" t="s">
        <v>240</v>
      </c>
      <c r="C129" s="29" t="s">
        <v>194</v>
      </c>
      <c r="D129" s="49" t="s">
        <v>90</v>
      </c>
      <c r="E129" s="49" t="s">
        <v>91</v>
      </c>
      <c r="F129" s="30">
        <v>2684</v>
      </c>
    </row>
    <row r="130" spans="1:6" x14ac:dyDescent="0.3">
      <c r="A130" s="7" t="str">
        <f>_xlfn.XLOOKUP(ColombiaClientes6[[#This Row],[Client]],VpsClientes[Client],VpsClientes[VP],"",0)</f>
        <v>Alvaro Zamudio Rondon</v>
      </c>
      <c r="B130" s="28" t="s">
        <v>240</v>
      </c>
      <c r="C130" s="29" t="s">
        <v>202</v>
      </c>
      <c r="D130" s="49" t="s">
        <v>90</v>
      </c>
      <c r="E130" s="49" t="s">
        <v>91</v>
      </c>
      <c r="F130" s="30">
        <v>2417</v>
      </c>
    </row>
    <row r="131" spans="1:6" hidden="1" x14ac:dyDescent="0.3">
      <c r="A131" s="7" t="str">
        <f>_xlfn.XLOOKUP(ColombiaClientes6[[#This Row],[Client]],VpsClientes[Client],VpsClientes[VP],"",0)</f>
        <v>Javier Orjuela Sarmiento</v>
      </c>
      <c r="B131" s="28" t="s">
        <v>133</v>
      </c>
      <c r="C131" s="29" t="s">
        <v>194</v>
      </c>
      <c r="D131" s="49" t="s">
        <v>90</v>
      </c>
      <c r="E131" s="49" t="s">
        <v>91</v>
      </c>
      <c r="F131" s="30">
        <v>829</v>
      </c>
    </row>
    <row r="132" spans="1:6" hidden="1" x14ac:dyDescent="0.3">
      <c r="A132" s="7" t="str">
        <f>_xlfn.XLOOKUP(ColombiaClientes6[[#This Row],[Client]],VpsClientes[Client],VpsClientes[VP],"",0)</f>
        <v>Carlos Castillo Figueroa</v>
      </c>
      <c r="B132" s="28" t="s">
        <v>105</v>
      </c>
      <c r="C132" s="29" t="s">
        <v>194</v>
      </c>
      <c r="D132" s="49" t="s">
        <v>90</v>
      </c>
      <c r="E132" s="49" t="s">
        <v>91</v>
      </c>
      <c r="F132" s="30">
        <v>766</v>
      </c>
    </row>
    <row r="133" spans="1:6" hidden="1" x14ac:dyDescent="0.3">
      <c r="A133" s="7" t="str">
        <f>_xlfn.XLOOKUP(ColombiaClientes6[[#This Row],[Client]],VpsClientes[Client],VpsClientes[VP],"",0)</f>
        <v>Hector Muraira Garza</v>
      </c>
      <c r="B133" s="28" t="s">
        <v>140</v>
      </c>
      <c r="C133" s="29" t="s">
        <v>194</v>
      </c>
      <c r="D133" s="49" t="s">
        <v>90</v>
      </c>
      <c r="E133" s="49" t="s">
        <v>91</v>
      </c>
      <c r="F133" s="30">
        <v>716</v>
      </c>
    </row>
    <row r="134" spans="1:6" x14ac:dyDescent="0.3">
      <c r="A134" s="7" t="str">
        <f>_xlfn.XLOOKUP(ColombiaClientes6[[#This Row],[Client]],VpsClientes[Client],VpsClientes[VP],"",0)</f>
        <v>Alvaro Zamudio Rondon</v>
      </c>
      <c r="B134" s="28" t="s">
        <v>240</v>
      </c>
      <c r="C134" s="29" t="s">
        <v>203</v>
      </c>
      <c r="D134" s="49" t="s">
        <v>90</v>
      </c>
      <c r="E134" s="49" t="s">
        <v>91</v>
      </c>
      <c r="F134" s="30">
        <v>2141</v>
      </c>
    </row>
    <row r="135" spans="1:6" x14ac:dyDescent="0.3">
      <c r="A135" s="7" t="str">
        <f>_xlfn.XLOOKUP(ColombiaClientes6[[#This Row],[Client]],VpsClientes[Client],VpsClientes[VP],"",0)</f>
        <v>Alvaro Zamudio Rondon</v>
      </c>
      <c r="B135" s="28" t="s">
        <v>240</v>
      </c>
      <c r="C135" s="29" t="s">
        <v>205</v>
      </c>
      <c r="D135" s="49" t="s">
        <v>90</v>
      </c>
      <c r="E135" s="49" t="s">
        <v>91</v>
      </c>
      <c r="F135" s="30">
        <v>3081</v>
      </c>
    </row>
    <row r="136" spans="1:6" hidden="1" x14ac:dyDescent="0.3">
      <c r="A136" s="7" t="str">
        <f>_xlfn.XLOOKUP(ColombiaClientes6[[#This Row],[Client]],VpsClientes[Client],VpsClientes[VP],"",0)</f>
        <v>Jhonatan Izquierdo Rico</v>
      </c>
      <c r="B136" s="28" t="s">
        <v>157</v>
      </c>
      <c r="C136" s="29" t="s">
        <v>194</v>
      </c>
      <c r="D136" s="49" t="s">
        <v>90</v>
      </c>
      <c r="E136" s="49" t="s">
        <v>91</v>
      </c>
      <c r="F136" s="30">
        <v>562</v>
      </c>
    </row>
    <row r="137" spans="1:6" hidden="1" x14ac:dyDescent="0.3">
      <c r="A137" s="7" t="str">
        <f>_xlfn.XLOOKUP(ColombiaClientes6[[#This Row],[Client]],VpsClientes[Client],VpsClientes[VP],"",0)</f>
        <v>Hector Muraira Garza</v>
      </c>
      <c r="B137" s="28" t="s">
        <v>167</v>
      </c>
      <c r="C137" s="29" t="s">
        <v>194</v>
      </c>
      <c r="D137" s="49" t="s">
        <v>90</v>
      </c>
      <c r="E137" s="49" t="s">
        <v>91</v>
      </c>
      <c r="F137" s="30">
        <v>489</v>
      </c>
    </row>
    <row r="138" spans="1:6" hidden="1" x14ac:dyDescent="0.3">
      <c r="A138" s="7" t="str">
        <f>_xlfn.XLOOKUP(ColombiaClientes6[[#This Row],[Client]],VpsClientes[Client],VpsClientes[VP],"",0)</f>
        <v>Moises Saavedra Garcia</v>
      </c>
      <c r="B138" s="28" t="s">
        <v>201</v>
      </c>
      <c r="C138" s="29" t="s">
        <v>194</v>
      </c>
      <c r="D138" s="49" t="s">
        <v>90</v>
      </c>
      <c r="E138" s="49" t="s">
        <v>91</v>
      </c>
      <c r="F138" s="30">
        <v>367</v>
      </c>
    </row>
    <row r="139" spans="1:6" x14ac:dyDescent="0.3">
      <c r="A139" s="7" t="str">
        <f>_xlfn.XLOOKUP(ColombiaClientes6[[#This Row],[Client]],VpsClientes[Client],VpsClientes[VP],"",0)</f>
        <v>Alvaro Zamudio Rondon</v>
      </c>
      <c r="B139" s="28" t="s">
        <v>240</v>
      </c>
      <c r="C139" s="29" t="s">
        <v>237</v>
      </c>
      <c r="D139" s="49" t="s">
        <v>90</v>
      </c>
      <c r="E139" s="49" t="s">
        <v>91</v>
      </c>
      <c r="F139" s="30">
        <v>208</v>
      </c>
    </row>
    <row r="140" spans="1:6" x14ac:dyDescent="0.3">
      <c r="A140" s="7" t="str">
        <f>_xlfn.XLOOKUP(ColombiaClientes6[[#This Row],[Client]],VpsClientes[Client],VpsClientes[VP],"",0)</f>
        <v>Alvaro Zamudio Rondon</v>
      </c>
      <c r="B140" s="28" t="s">
        <v>240</v>
      </c>
      <c r="C140" s="29" t="s">
        <v>92</v>
      </c>
      <c r="D140" s="49" t="s">
        <v>90</v>
      </c>
      <c r="E140" s="49" t="s">
        <v>206</v>
      </c>
      <c r="F140" s="30">
        <v>3277</v>
      </c>
    </row>
    <row r="141" spans="1:6" hidden="1" x14ac:dyDescent="0.3">
      <c r="A141" s="7" t="str">
        <f>_xlfn.XLOOKUP(ColombiaClientes6[[#This Row],[Client]],VpsClientes[Client],VpsClientes[VP],"",0)</f>
        <v>Jhonatan Izquierdo Rico</v>
      </c>
      <c r="B141" s="28" t="s">
        <v>104</v>
      </c>
      <c r="C141" s="29" t="s">
        <v>194</v>
      </c>
      <c r="D141" s="49" t="s">
        <v>90</v>
      </c>
      <c r="E141" s="49" t="s">
        <v>91</v>
      </c>
      <c r="F141" s="30">
        <v>236</v>
      </c>
    </row>
    <row r="142" spans="1:6" x14ac:dyDescent="0.3">
      <c r="A142" s="7" t="str">
        <f>_xlfn.XLOOKUP(ColombiaClientes6[[#This Row],[Client]],VpsClientes[Client],VpsClientes[VP],"",0)</f>
        <v>Alvaro Zamudio Rondon</v>
      </c>
      <c r="B142" s="28" t="s">
        <v>240</v>
      </c>
      <c r="C142" s="29" t="s">
        <v>191</v>
      </c>
      <c r="D142" s="49" t="s">
        <v>90</v>
      </c>
      <c r="E142" s="49" t="s">
        <v>206</v>
      </c>
      <c r="F142" s="30">
        <v>2971</v>
      </c>
    </row>
    <row r="143" spans="1:6" x14ac:dyDescent="0.3">
      <c r="A143" s="7" t="str">
        <f>_xlfn.XLOOKUP(ColombiaClientes6[[#This Row],[Client]],VpsClientes[Client],VpsClientes[VP],"",0)</f>
        <v>Alvaro Zamudio Rondon</v>
      </c>
      <c r="B143" s="28" t="s">
        <v>240</v>
      </c>
      <c r="C143" s="29" t="s">
        <v>192</v>
      </c>
      <c r="D143" s="49" t="s">
        <v>90</v>
      </c>
      <c r="E143" s="49" t="s">
        <v>206</v>
      </c>
      <c r="F143" s="30">
        <v>2248</v>
      </c>
    </row>
    <row r="144" spans="1:6" x14ac:dyDescent="0.3">
      <c r="A144" s="7" t="str">
        <f>_xlfn.XLOOKUP(ColombiaClientes6[[#This Row],[Client]],VpsClientes[Client],VpsClientes[VP],"",0)</f>
        <v>Alvaro Zamudio Rondon</v>
      </c>
      <c r="B144" s="28" t="s">
        <v>240</v>
      </c>
      <c r="C144" s="29" t="s">
        <v>194</v>
      </c>
      <c r="D144" s="49" t="s">
        <v>90</v>
      </c>
      <c r="E144" s="49" t="s">
        <v>206</v>
      </c>
      <c r="F144" s="30">
        <v>1963</v>
      </c>
    </row>
    <row r="145" spans="1:6" x14ac:dyDescent="0.3">
      <c r="A145" s="7" t="str">
        <f>_xlfn.XLOOKUP(ColombiaClientes6[[#This Row],[Client]],VpsClientes[Client],VpsClientes[VP],"",0)</f>
        <v>Alvaro Zamudio Rondon</v>
      </c>
      <c r="B145" s="28" t="s">
        <v>240</v>
      </c>
      <c r="C145" s="29" t="s">
        <v>202</v>
      </c>
      <c r="D145" s="49" t="s">
        <v>90</v>
      </c>
      <c r="E145" s="49" t="s">
        <v>206</v>
      </c>
      <c r="F145" s="30">
        <v>1993</v>
      </c>
    </row>
    <row r="146" spans="1:6" x14ac:dyDescent="0.3">
      <c r="A146" s="7" t="str">
        <f>_xlfn.XLOOKUP(ColombiaClientes6[[#This Row],[Client]],VpsClientes[Client],VpsClientes[VP],"",0)</f>
        <v>Alvaro Zamudio Rondon</v>
      </c>
      <c r="B146" s="28" t="s">
        <v>240</v>
      </c>
      <c r="C146" s="29" t="s">
        <v>203</v>
      </c>
      <c r="D146" s="49" t="s">
        <v>90</v>
      </c>
      <c r="E146" s="49" t="s">
        <v>206</v>
      </c>
      <c r="F146" s="30">
        <v>1513</v>
      </c>
    </row>
    <row r="147" spans="1:6" x14ac:dyDescent="0.3">
      <c r="A147" s="7" t="str">
        <f>_xlfn.XLOOKUP(ColombiaClientes6[[#This Row],[Client]],VpsClientes[Client],VpsClientes[VP],"",0)</f>
        <v>Alvaro Zamudio Rondon</v>
      </c>
      <c r="B147" s="28" t="s">
        <v>240</v>
      </c>
      <c r="C147" s="29" t="s">
        <v>205</v>
      </c>
      <c r="D147" s="49" t="s">
        <v>90</v>
      </c>
      <c r="E147" s="49" t="s">
        <v>206</v>
      </c>
      <c r="F147" s="30">
        <v>1900</v>
      </c>
    </row>
    <row r="148" spans="1:6" x14ac:dyDescent="0.3">
      <c r="A148" s="7" t="str">
        <f>_xlfn.XLOOKUP(ColombiaClientes6[[#This Row],[Client]],VpsClientes[Client],VpsClientes[VP],"",0)</f>
        <v>Alvaro Zamudio Rondon</v>
      </c>
      <c r="B148" s="28" t="s">
        <v>240</v>
      </c>
      <c r="C148" s="29" t="s">
        <v>237</v>
      </c>
      <c r="D148" s="49" t="s">
        <v>90</v>
      </c>
      <c r="E148" s="49" t="s">
        <v>206</v>
      </c>
      <c r="F148" s="30">
        <v>866</v>
      </c>
    </row>
    <row r="149" spans="1:6" x14ac:dyDescent="0.3">
      <c r="A149" s="7" t="str">
        <f>_xlfn.XLOOKUP(ColombiaClientes6[[#This Row],[Client]],VpsClientes[Client],VpsClientes[VP],"",0)</f>
        <v>Alvaro Zamudio Rondon</v>
      </c>
      <c r="B149" s="28" t="s">
        <v>240</v>
      </c>
      <c r="C149" s="29" t="s">
        <v>92</v>
      </c>
      <c r="D149" s="49" t="s">
        <v>219</v>
      </c>
      <c r="E149" s="49" t="s">
        <v>91</v>
      </c>
      <c r="F149" s="30">
        <v>1717</v>
      </c>
    </row>
    <row r="150" spans="1:6" hidden="1" x14ac:dyDescent="0.3">
      <c r="A150" s="7" t="str">
        <f>_xlfn.XLOOKUP(ColombiaClientes6[[#This Row],[Client]],VpsClientes[Client],VpsClientes[VP],"",0)</f>
        <v>Carlos Beltran Hernandez</v>
      </c>
      <c r="B150" s="35" t="s">
        <v>93</v>
      </c>
      <c r="C150" s="10" t="s">
        <v>202</v>
      </c>
      <c r="D150" s="49" t="s">
        <v>90</v>
      </c>
      <c r="E150" s="49" t="s">
        <v>91</v>
      </c>
      <c r="F150" s="36">
        <v>20798</v>
      </c>
    </row>
    <row r="151" spans="1:6" x14ac:dyDescent="0.3">
      <c r="A151" s="7" t="str">
        <f>_xlfn.XLOOKUP(ColombiaClientes6[[#This Row],[Client]],VpsClientes[Client],VpsClientes[VP],"",0)</f>
        <v>Alvaro Zamudio Rondon</v>
      </c>
      <c r="B151" s="35" t="s">
        <v>240</v>
      </c>
      <c r="C151" s="35" t="s">
        <v>191</v>
      </c>
      <c r="D151" s="49" t="s">
        <v>219</v>
      </c>
      <c r="E151" s="49" t="s">
        <v>91</v>
      </c>
      <c r="F151" s="36">
        <v>2425</v>
      </c>
    </row>
    <row r="152" spans="1:6" x14ac:dyDescent="0.3">
      <c r="A152" s="7" t="str">
        <f>_xlfn.XLOOKUP(ColombiaClientes6[[#This Row],[Client]],VpsClientes[Client],VpsClientes[VP],"",0)</f>
        <v>Alvaro Zamudio Rondon</v>
      </c>
      <c r="B152" s="35" t="s">
        <v>240</v>
      </c>
      <c r="C152" s="35" t="s">
        <v>192</v>
      </c>
      <c r="D152" s="49" t="s">
        <v>219</v>
      </c>
      <c r="E152" s="49" t="s">
        <v>91</v>
      </c>
      <c r="F152" s="36">
        <v>2415</v>
      </c>
    </row>
    <row r="153" spans="1:6" hidden="1" x14ac:dyDescent="0.3">
      <c r="A153" s="7" t="str">
        <f>_xlfn.XLOOKUP(ColombiaClientes6[[#This Row],[Client]],VpsClientes[Client],VpsClientes[VP],"",0)</f>
        <v>Ludy Torres Benitez</v>
      </c>
      <c r="B153" s="35" t="s">
        <v>95</v>
      </c>
      <c r="C153" s="35" t="s">
        <v>202</v>
      </c>
      <c r="D153" s="49" t="s">
        <v>90</v>
      </c>
      <c r="E153" s="49" t="s">
        <v>91</v>
      </c>
      <c r="F153" s="36">
        <v>4686</v>
      </c>
    </row>
    <row r="154" spans="1:6" hidden="1" x14ac:dyDescent="0.3">
      <c r="A154" s="7" t="str">
        <f>_xlfn.XLOOKUP(ColombiaClientes6[[#This Row],[Client]],VpsClientes[Client],VpsClientes[VP],"",0)</f>
        <v>Hector Muraira Garza</v>
      </c>
      <c r="B154" s="35" t="s">
        <v>164</v>
      </c>
      <c r="C154" s="35" t="s">
        <v>202</v>
      </c>
      <c r="D154" s="49" t="s">
        <v>90</v>
      </c>
      <c r="E154" s="49" t="s">
        <v>91</v>
      </c>
      <c r="F154" s="36">
        <v>4558</v>
      </c>
    </row>
    <row r="155" spans="1:6" hidden="1" x14ac:dyDescent="0.3">
      <c r="A155" s="7" t="str">
        <f>_xlfn.XLOOKUP(ColombiaClientes6[[#This Row],[Client]],VpsClientes[Client],VpsClientes[VP],"",0)</f>
        <v>Juan Granados Castillo</v>
      </c>
      <c r="B155" s="35" t="s">
        <v>134</v>
      </c>
      <c r="C155" s="35" t="s">
        <v>202</v>
      </c>
      <c r="D155" s="49" t="s">
        <v>90</v>
      </c>
      <c r="E155" s="49" t="s">
        <v>91</v>
      </c>
      <c r="F155" s="36">
        <v>3033</v>
      </c>
    </row>
    <row r="156" spans="1:6" hidden="1" x14ac:dyDescent="0.3">
      <c r="A156" s="7" t="str">
        <f>_xlfn.XLOOKUP(ColombiaClientes6[[#This Row],[Client]],VpsClientes[Client],VpsClientes[VP],"",0)</f>
        <v>Martha Guzman Arango</v>
      </c>
      <c r="B156" s="35" t="s">
        <v>199</v>
      </c>
      <c r="C156" s="35" t="s">
        <v>202</v>
      </c>
      <c r="D156" s="49" t="s">
        <v>90</v>
      </c>
      <c r="E156" s="49" t="s">
        <v>91</v>
      </c>
      <c r="F156" s="36">
        <v>2898</v>
      </c>
    </row>
    <row r="157" spans="1:6" x14ac:dyDescent="0.3">
      <c r="A157" s="7" t="str">
        <f>_xlfn.XLOOKUP(ColombiaClientes6[[#This Row],[Client]],VpsClientes[Client],VpsClientes[VP],"",0)</f>
        <v>Alvaro Zamudio Rondon</v>
      </c>
      <c r="B157" s="35" t="s">
        <v>240</v>
      </c>
      <c r="C157" s="35" t="s">
        <v>194</v>
      </c>
      <c r="D157" s="49" t="s">
        <v>219</v>
      </c>
      <c r="E157" s="49" t="s">
        <v>91</v>
      </c>
      <c r="F157" s="36">
        <v>2277</v>
      </c>
    </row>
    <row r="158" spans="1:6" hidden="1" x14ac:dyDescent="0.3">
      <c r="A158" s="7" t="str">
        <f>_xlfn.XLOOKUP(ColombiaClientes6[[#This Row],[Client]],VpsClientes[Client],VpsClientes[VP],"",0)</f>
        <v>Sandra Romero Zuluaga</v>
      </c>
      <c r="B158" s="35" t="s">
        <v>113</v>
      </c>
      <c r="C158" s="35" t="s">
        <v>202</v>
      </c>
      <c r="D158" s="49" t="s">
        <v>90</v>
      </c>
      <c r="E158" s="49" t="s">
        <v>91</v>
      </c>
      <c r="F158" s="36">
        <v>2465</v>
      </c>
    </row>
    <row r="159" spans="1:6" x14ac:dyDescent="0.3">
      <c r="A159" s="7" t="str">
        <f>_xlfn.XLOOKUP(ColombiaClientes6[[#This Row],[Client]],VpsClientes[Client],VpsClientes[VP],"",0)</f>
        <v>Alvaro Zamudio Rondon</v>
      </c>
      <c r="B159" s="35" t="s">
        <v>240</v>
      </c>
      <c r="C159" s="35" t="s">
        <v>202</v>
      </c>
      <c r="D159" s="49" t="s">
        <v>219</v>
      </c>
      <c r="E159" s="49" t="s">
        <v>91</v>
      </c>
      <c r="F159" s="36">
        <v>2229</v>
      </c>
    </row>
    <row r="160" spans="1:6" x14ac:dyDescent="0.3">
      <c r="A160" s="7" t="str">
        <f>_xlfn.XLOOKUP(ColombiaClientes6[[#This Row],[Client]],VpsClientes[Client],VpsClientes[VP],"",0)</f>
        <v>Alvaro Zamudio Rondon</v>
      </c>
      <c r="B160" s="35" t="s">
        <v>240</v>
      </c>
      <c r="C160" s="35" t="s">
        <v>203</v>
      </c>
      <c r="D160" s="49" t="s">
        <v>219</v>
      </c>
      <c r="E160" s="49" t="s">
        <v>91</v>
      </c>
      <c r="F160" s="36">
        <v>1503</v>
      </c>
    </row>
    <row r="161" spans="1:6" hidden="1" x14ac:dyDescent="0.3">
      <c r="A161" s="7" t="str">
        <f>_xlfn.XLOOKUP(ColombiaClientes6[[#This Row],[Client]],VpsClientes[Client],VpsClientes[VP],"",0)</f>
        <v>Moises Saavedra Garcia</v>
      </c>
      <c r="B161" s="35" t="s">
        <v>110</v>
      </c>
      <c r="C161" s="35" t="s">
        <v>202</v>
      </c>
      <c r="D161" s="49" t="s">
        <v>90</v>
      </c>
      <c r="E161" s="49" t="s">
        <v>91</v>
      </c>
      <c r="F161" s="36">
        <v>2249</v>
      </c>
    </row>
    <row r="162" spans="1:6" x14ac:dyDescent="0.3">
      <c r="A162" s="7" t="str">
        <f>_xlfn.XLOOKUP(ColombiaClientes6[[#This Row],[Client]],VpsClientes[Client],VpsClientes[VP],"",0)</f>
        <v>Alvaro Zamudio Rondon</v>
      </c>
      <c r="B162" s="35" t="s">
        <v>240</v>
      </c>
      <c r="C162" s="35" t="s">
        <v>205</v>
      </c>
      <c r="D162" s="49" t="s">
        <v>219</v>
      </c>
      <c r="E162" s="49" t="s">
        <v>91</v>
      </c>
      <c r="F162" s="36">
        <v>2239</v>
      </c>
    </row>
    <row r="163" spans="1:6" x14ac:dyDescent="0.3">
      <c r="A163" s="7" t="str">
        <f>_xlfn.XLOOKUP(ColombiaClientes6[[#This Row],[Client]],VpsClientes[Client],VpsClientes[VP],"",0)</f>
        <v>Alvaro Zamudio Rondon</v>
      </c>
      <c r="B163" s="35" t="s">
        <v>240</v>
      </c>
      <c r="C163" s="35" t="s">
        <v>237</v>
      </c>
      <c r="D163" s="49" t="s">
        <v>219</v>
      </c>
      <c r="E163" s="49" t="s">
        <v>91</v>
      </c>
      <c r="F163" s="36">
        <v>442</v>
      </c>
    </row>
    <row r="164" spans="1:6" x14ac:dyDescent="0.3">
      <c r="A164" s="7" t="str">
        <f>_xlfn.XLOOKUP(ColombiaClientes6[[#This Row],[Client]],VpsClientes[Client],VpsClientes[VP],"",0)</f>
        <v>Alvaro Zamudio Rondon</v>
      </c>
      <c r="B164" s="35" t="s">
        <v>240</v>
      </c>
      <c r="C164" s="35" t="s">
        <v>92</v>
      </c>
      <c r="D164" s="49" t="s">
        <v>219</v>
      </c>
      <c r="E164" s="49" t="s">
        <v>206</v>
      </c>
      <c r="F164" s="36">
        <v>232</v>
      </c>
    </row>
    <row r="165" spans="1:6" x14ac:dyDescent="0.3">
      <c r="A165" s="7" t="str">
        <f>_xlfn.XLOOKUP(ColombiaClientes6[[#This Row],[Client]],VpsClientes[Client],VpsClientes[VP],"",0)</f>
        <v>Alvaro Zamudio Rondon</v>
      </c>
      <c r="B165" s="35" t="s">
        <v>240</v>
      </c>
      <c r="C165" s="35" t="s">
        <v>191</v>
      </c>
      <c r="D165" s="49" t="s">
        <v>219</v>
      </c>
      <c r="E165" s="49" t="s">
        <v>206</v>
      </c>
      <c r="F165" s="36">
        <v>186</v>
      </c>
    </row>
    <row r="166" spans="1:6" hidden="1" x14ac:dyDescent="0.3">
      <c r="A166" s="7" t="str">
        <f>_xlfn.XLOOKUP(ColombiaClientes6[[#This Row],[Client]],VpsClientes[Client],VpsClientes[VP],"",0)</f>
        <v>Hector Muraira Garza</v>
      </c>
      <c r="B166" s="35" t="s">
        <v>132</v>
      </c>
      <c r="C166" s="35" t="s">
        <v>202</v>
      </c>
      <c r="D166" s="49" t="s">
        <v>90</v>
      </c>
      <c r="E166" s="49" t="s">
        <v>91</v>
      </c>
      <c r="F166" s="36">
        <v>1012</v>
      </c>
    </row>
    <row r="167" spans="1:6" x14ac:dyDescent="0.3">
      <c r="A167" s="7" t="str">
        <f>_xlfn.XLOOKUP(ColombiaClientes6[[#This Row],[Client]],VpsClientes[Client],VpsClientes[VP],"",0)</f>
        <v>Alvaro Zamudio Rondon</v>
      </c>
      <c r="B167" s="35" t="s">
        <v>240</v>
      </c>
      <c r="C167" s="35" t="s">
        <v>192</v>
      </c>
      <c r="D167" s="49" t="s">
        <v>219</v>
      </c>
      <c r="E167" s="49" t="s">
        <v>206</v>
      </c>
      <c r="F167" s="36">
        <v>341</v>
      </c>
    </row>
    <row r="168" spans="1:6" hidden="1" x14ac:dyDescent="0.3">
      <c r="A168" s="7" t="str">
        <f>_xlfn.XLOOKUP(ColombiaClientes6[[#This Row],[Client]],VpsClientes[Client],VpsClientes[VP],"",0)</f>
        <v>Hector Muraira Garza</v>
      </c>
      <c r="B168" s="35" t="s">
        <v>140</v>
      </c>
      <c r="C168" s="35" t="s">
        <v>202</v>
      </c>
      <c r="D168" s="49" t="s">
        <v>90</v>
      </c>
      <c r="E168" s="49" t="s">
        <v>91</v>
      </c>
      <c r="F168" s="36">
        <v>851</v>
      </c>
    </row>
    <row r="169" spans="1:6" hidden="1" x14ac:dyDescent="0.3">
      <c r="A169" s="7" t="str">
        <f>_xlfn.XLOOKUP(ColombiaClientes6[[#This Row],[Client]],VpsClientes[Client],VpsClientes[VP],"",0)</f>
        <v>Jhonatan Izquierdo Rico</v>
      </c>
      <c r="B169" s="35" t="s">
        <v>157</v>
      </c>
      <c r="C169" s="35" t="s">
        <v>202</v>
      </c>
      <c r="D169" s="49" t="s">
        <v>90</v>
      </c>
      <c r="E169" s="49" t="s">
        <v>91</v>
      </c>
      <c r="F169" s="36">
        <v>688</v>
      </c>
    </row>
    <row r="170" spans="1:6" x14ac:dyDescent="0.3">
      <c r="A170" s="7" t="str">
        <f>_xlfn.XLOOKUP(ColombiaClientes6[[#This Row],[Client]],VpsClientes[Client],VpsClientes[VP],"",0)</f>
        <v>Alvaro Zamudio Rondon</v>
      </c>
      <c r="B170" s="35" t="s">
        <v>240</v>
      </c>
      <c r="C170" s="35" t="s">
        <v>194</v>
      </c>
      <c r="D170" s="49" t="s">
        <v>219</v>
      </c>
      <c r="E170" s="49" t="s">
        <v>206</v>
      </c>
      <c r="F170" s="36">
        <v>226</v>
      </c>
    </row>
    <row r="171" spans="1:6" x14ac:dyDescent="0.3">
      <c r="A171" s="7" t="str">
        <f>_xlfn.XLOOKUP(ColombiaClientes6[[#This Row],[Client]],VpsClientes[Client],VpsClientes[VP],"",0)</f>
        <v>Alvaro Zamudio Rondon</v>
      </c>
      <c r="B171" s="35" t="s">
        <v>240</v>
      </c>
      <c r="C171" s="35" t="s">
        <v>202</v>
      </c>
      <c r="D171" s="49" t="s">
        <v>219</v>
      </c>
      <c r="E171" s="49" t="s">
        <v>206</v>
      </c>
      <c r="F171" s="36">
        <v>300</v>
      </c>
    </row>
    <row r="172" spans="1:6" x14ac:dyDescent="0.3">
      <c r="A172" s="7" t="str">
        <f>_xlfn.XLOOKUP(ColombiaClientes6[[#This Row],[Client]],VpsClientes[Client],VpsClientes[VP],"",0)</f>
        <v>Alvaro Zamudio Rondon</v>
      </c>
      <c r="B172" s="35" t="s">
        <v>240</v>
      </c>
      <c r="C172" s="35" t="s">
        <v>203</v>
      </c>
      <c r="D172" s="49" t="s">
        <v>219</v>
      </c>
      <c r="E172" s="49" t="s">
        <v>206</v>
      </c>
      <c r="F172" s="36">
        <v>149</v>
      </c>
    </row>
    <row r="173" spans="1:6" x14ac:dyDescent="0.3">
      <c r="A173" s="7" t="str">
        <f>_xlfn.XLOOKUP(ColombiaClientes6[[#This Row],[Client]],VpsClientes[Client],VpsClientes[VP],"",0)</f>
        <v>Alvaro Zamudio Rondon</v>
      </c>
      <c r="B173" s="35" t="s">
        <v>240</v>
      </c>
      <c r="C173" s="35" t="s">
        <v>205</v>
      </c>
      <c r="D173" s="49" t="s">
        <v>219</v>
      </c>
      <c r="E173" s="49" t="s">
        <v>206</v>
      </c>
      <c r="F173" s="36">
        <v>324</v>
      </c>
    </row>
    <row r="174" spans="1:6" x14ac:dyDescent="0.3">
      <c r="A174" s="7" t="str">
        <f>_xlfn.XLOOKUP(ColombiaClientes6[[#This Row],[Client]],VpsClientes[Client],VpsClientes[VP],"",0)</f>
        <v>Alvaro Zamudio Rondon</v>
      </c>
      <c r="B174" s="35" t="s">
        <v>240</v>
      </c>
      <c r="C174" s="35" t="s">
        <v>237</v>
      </c>
      <c r="D174" s="49" t="s">
        <v>219</v>
      </c>
      <c r="E174" s="49" t="s">
        <v>206</v>
      </c>
      <c r="F174" s="36">
        <v>27</v>
      </c>
    </row>
    <row r="175" spans="1:6" hidden="1" x14ac:dyDescent="0.3">
      <c r="A175" s="7" t="str">
        <f>_xlfn.XLOOKUP(ColombiaClientes6[[#This Row],[Client]],VpsClientes[Client],VpsClientes[VP],"",0)</f>
        <v>Carlos Castillo Figueroa</v>
      </c>
      <c r="B175" s="35" t="s">
        <v>105</v>
      </c>
      <c r="C175" s="35" t="s">
        <v>202</v>
      </c>
      <c r="D175" s="49" t="s">
        <v>90</v>
      </c>
      <c r="E175" s="49" t="s">
        <v>91</v>
      </c>
      <c r="F175" s="36">
        <v>465</v>
      </c>
    </row>
    <row r="176" spans="1:6" hidden="1" x14ac:dyDescent="0.3">
      <c r="A176" s="7" t="str">
        <f>_xlfn.XLOOKUP(ColombiaClientes6[[#This Row],[Client]],VpsClientes[Client],VpsClientes[VP],"",0)</f>
        <v>Hector Muraira Garza</v>
      </c>
      <c r="B176" s="35" t="s">
        <v>167</v>
      </c>
      <c r="C176" s="35" t="s">
        <v>202</v>
      </c>
      <c r="D176" s="49" t="s">
        <v>90</v>
      </c>
      <c r="E176" s="49" t="s">
        <v>91</v>
      </c>
      <c r="F176" s="36">
        <v>447</v>
      </c>
    </row>
    <row r="177" spans="1:6" x14ac:dyDescent="0.3">
      <c r="A177" s="7" t="str">
        <f>_xlfn.XLOOKUP(ColombiaClientes6[[#This Row],[Client]],VpsClientes[Client],VpsClientes[VP],"",0)</f>
        <v>Martha Guzman Arango</v>
      </c>
      <c r="B177" s="35" t="s">
        <v>270</v>
      </c>
      <c r="C177" s="35" t="s">
        <v>202</v>
      </c>
      <c r="D177" s="49" t="s">
        <v>90</v>
      </c>
      <c r="E177" s="49" t="s">
        <v>91</v>
      </c>
      <c r="F177" s="36">
        <v>1572</v>
      </c>
    </row>
    <row r="178" spans="1:6" x14ac:dyDescent="0.3">
      <c r="A178" s="7" t="str">
        <f>_xlfn.XLOOKUP(ColombiaClientes6[[#This Row],[Client]],VpsClientes[Client],VpsClientes[VP],"",0)</f>
        <v>Martha Guzman Arango</v>
      </c>
      <c r="B178" s="35" t="s">
        <v>270</v>
      </c>
      <c r="C178" s="35" t="s">
        <v>203</v>
      </c>
      <c r="D178" s="49" t="s">
        <v>90</v>
      </c>
      <c r="E178" s="49" t="s">
        <v>91</v>
      </c>
      <c r="F178" s="36">
        <v>2071</v>
      </c>
    </row>
    <row r="179" spans="1:6" hidden="1" x14ac:dyDescent="0.3">
      <c r="A179" s="7" t="str">
        <f>_xlfn.XLOOKUP(ColombiaClientes6[[#This Row],[Client]],VpsClientes[Client],VpsClientes[VP],"",0)</f>
        <v>Jhonatan Izquierdo Rico</v>
      </c>
      <c r="B179" s="35" t="s">
        <v>104</v>
      </c>
      <c r="C179" s="35" t="s">
        <v>202</v>
      </c>
      <c r="D179" s="49" t="s">
        <v>90</v>
      </c>
      <c r="E179" s="49" t="s">
        <v>91</v>
      </c>
      <c r="F179" s="36">
        <v>325</v>
      </c>
    </row>
    <row r="180" spans="1:6" x14ac:dyDescent="0.3">
      <c r="A180" s="7" t="str">
        <f>_xlfn.XLOOKUP(ColombiaClientes6[[#This Row],[Client]],VpsClientes[Client],VpsClientes[VP],"",0)</f>
        <v>Martha Guzman Arango</v>
      </c>
      <c r="B180" s="35" t="s">
        <v>270</v>
      </c>
      <c r="C180" s="35" t="s">
        <v>205</v>
      </c>
      <c r="D180" s="49" t="s">
        <v>90</v>
      </c>
      <c r="E180" s="49" t="s">
        <v>91</v>
      </c>
      <c r="F180" s="36">
        <v>2014</v>
      </c>
    </row>
    <row r="181" spans="1:6" hidden="1" x14ac:dyDescent="0.3">
      <c r="A181" s="7" t="str">
        <f>_xlfn.XLOOKUP(ColombiaClientes6[[#This Row],[Client]],VpsClientes[Client],VpsClientes[VP],"",0)</f>
        <v>Javier Orjuela Sarmiento</v>
      </c>
      <c r="B181" s="35" t="s">
        <v>133</v>
      </c>
      <c r="C181" s="35" t="s">
        <v>202</v>
      </c>
      <c r="D181" s="49" t="s">
        <v>90</v>
      </c>
      <c r="E181" s="49" t="s">
        <v>91</v>
      </c>
      <c r="F181" s="36">
        <v>280</v>
      </c>
    </row>
    <row r="182" spans="1:6" x14ac:dyDescent="0.3">
      <c r="A182" s="7" t="str">
        <f>_xlfn.XLOOKUP(ColombiaClientes6[[#This Row],[Client]],VpsClientes[Client],VpsClientes[VP],"",0)</f>
        <v>Martha Guzman Arango</v>
      </c>
      <c r="B182" s="35" t="s">
        <v>270</v>
      </c>
      <c r="C182" s="35" t="s">
        <v>237</v>
      </c>
      <c r="D182" s="49" t="s">
        <v>90</v>
      </c>
      <c r="E182" s="49" t="s">
        <v>91</v>
      </c>
      <c r="F182" s="36">
        <v>137</v>
      </c>
    </row>
    <row r="183" spans="1:6" x14ac:dyDescent="0.3">
      <c r="A183" s="7" t="str">
        <f>_xlfn.XLOOKUP(ColombiaClientes6[[#This Row],[Client]],VpsClientes[Client],VpsClientes[VP],"",0)</f>
        <v>Martha Guzman Arango</v>
      </c>
      <c r="B183" s="35" t="s">
        <v>270</v>
      </c>
      <c r="C183" s="35" t="s">
        <v>202</v>
      </c>
      <c r="D183" s="49" t="s">
        <v>90</v>
      </c>
      <c r="E183" s="49" t="s">
        <v>206</v>
      </c>
      <c r="F183" s="36">
        <v>2199</v>
      </c>
    </row>
    <row r="184" spans="1:6" x14ac:dyDescent="0.3">
      <c r="A184" s="7" t="str">
        <f>_xlfn.XLOOKUP(ColombiaClientes6[[#This Row],[Client]],VpsClientes[Client],VpsClientes[VP],"",0)</f>
        <v>Martha Guzman Arango</v>
      </c>
      <c r="B184" s="35" t="s">
        <v>270</v>
      </c>
      <c r="C184" s="35" t="s">
        <v>203</v>
      </c>
      <c r="D184" s="49" t="s">
        <v>90</v>
      </c>
      <c r="E184" s="49" t="s">
        <v>206</v>
      </c>
      <c r="F184" s="36">
        <v>4830</v>
      </c>
    </row>
    <row r="185" spans="1:6" x14ac:dyDescent="0.3">
      <c r="A185" s="7" t="str">
        <f>_xlfn.XLOOKUP(ColombiaClientes6[[#This Row],[Client]],VpsClientes[Client],VpsClientes[VP],"",0)</f>
        <v>Martha Guzman Arango</v>
      </c>
      <c r="B185" s="35" t="s">
        <v>270</v>
      </c>
      <c r="C185" s="35" t="s">
        <v>205</v>
      </c>
      <c r="D185" s="49" t="s">
        <v>90</v>
      </c>
      <c r="E185" s="49" t="s">
        <v>206</v>
      </c>
      <c r="F185" s="36">
        <v>8343</v>
      </c>
    </row>
    <row r="186" spans="1:6" hidden="1" x14ac:dyDescent="0.3">
      <c r="A186" s="7" t="str">
        <f>_xlfn.XLOOKUP(ColombiaClientes6[[#This Row],[Client]],VpsClientes[Client],VpsClientes[VP],"",0)</f>
        <v>Moises Saavedra Garcia</v>
      </c>
      <c r="B186" s="35" t="s">
        <v>201</v>
      </c>
      <c r="C186" s="35" t="s">
        <v>202</v>
      </c>
      <c r="D186" s="49" t="s">
        <v>90</v>
      </c>
      <c r="E186" s="49" t="s">
        <v>91</v>
      </c>
      <c r="F186" s="36">
        <v>109</v>
      </c>
    </row>
    <row r="187" spans="1:6" x14ac:dyDescent="0.3">
      <c r="A187" s="7" t="str">
        <f>_xlfn.XLOOKUP(ColombiaClientes6[[#This Row],[Client]],VpsClientes[Client],VpsClientes[VP],"",0)</f>
        <v>Martha Guzman Arango</v>
      </c>
      <c r="B187" s="35" t="s">
        <v>270</v>
      </c>
      <c r="C187" s="35" t="s">
        <v>237</v>
      </c>
      <c r="D187" s="49" t="s">
        <v>90</v>
      </c>
      <c r="E187" s="49" t="s">
        <v>206</v>
      </c>
      <c r="F187" s="36">
        <v>1584</v>
      </c>
    </row>
    <row r="188" spans="1:6" x14ac:dyDescent="0.3">
      <c r="A188" s="7" t="str">
        <f>_xlfn.XLOOKUP(ColombiaClientes6[[#This Row],[Client]],VpsClientes[Client],VpsClientes[VP],"",0)</f>
        <v>Martha Guzman Arango</v>
      </c>
      <c r="B188" s="35" t="s">
        <v>270</v>
      </c>
      <c r="C188" s="35" t="s">
        <v>202</v>
      </c>
      <c r="D188" s="49" t="s">
        <v>219</v>
      </c>
      <c r="E188" s="49" t="s">
        <v>91</v>
      </c>
      <c r="F188" s="36">
        <v>622</v>
      </c>
    </row>
    <row r="189" spans="1:6" x14ac:dyDescent="0.3">
      <c r="A189" s="7" t="str">
        <f>_xlfn.XLOOKUP(ColombiaClientes6[[#This Row],[Client]],VpsClientes[Client],VpsClientes[VP],"",0)</f>
        <v>Martha Guzman Arango</v>
      </c>
      <c r="B189" s="35" t="s">
        <v>270</v>
      </c>
      <c r="C189" s="35" t="s">
        <v>203</v>
      </c>
      <c r="D189" s="49" t="s">
        <v>219</v>
      </c>
      <c r="E189" s="49" t="s">
        <v>91</v>
      </c>
      <c r="F189" s="36">
        <v>1396</v>
      </c>
    </row>
    <row r="190" spans="1:6" x14ac:dyDescent="0.3">
      <c r="A190" s="7" t="str">
        <f>_xlfn.XLOOKUP(ColombiaClientes6[[#This Row],[Client]],VpsClientes[Client],VpsClientes[VP],"",0)</f>
        <v>Martha Guzman Arango</v>
      </c>
      <c r="B190" s="35" t="s">
        <v>270</v>
      </c>
      <c r="C190" s="35" t="s">
        <v>205</v>
      </c>
      <c r="D190" s="49" t="s">
        <v>219</v>
      </c>
      <c r="E190" s="49" t="s">
        <v>91</v>
      </c>
      <c r="F190" s="36">
        <v>2210</v>
      </c>
    </row>
    <row r="191" spans="1:6" hidden="1" x14ac:dyDescent="0.3">
      <c r="A191" s="7" t="str">
        <f>_xlfn.XLOOKUP(ColombiaClientes6[[#This Row],[Client]],VpsClientes[Client],VpsClientes[VP],"",0)</f>
        <v>Carlos Beltran Hernandez</v>
      </c>
      <c r="B191" s="37" t="s">
        <v>93</v>
      </c>
      <c r="C191" s="10" t="s">
        <v>203</v>
      </c>
      <c r="D191" s="49" t="s">
        <v>90</v>
      </c>
      <c r="E191" s="49" t="s">
        <v>91</v>
      </c>
      <c r="F191" s="39">
        <v>23402</v>
      </c>
    </row>
    <row r="192" spans="1:6" x14ac:dyDescent="0.3">
      <c r="A192" s="7" t="str">
        <f>_xlfn.XLOOKUP(ColombiaClientes6[[#This Row],[Client]],VpsClientes[Client],VpsClientes[VP],"",0)</f>
        <v>Martha Guzman Arango</v>
      </c>
      <c r="B192" s="37" t="s">
        <v>270</v>
      </c>
      <c r="C192" s="38" t="s">
        <v>237</v>
      </c>
      <c r="D192" s="49" t="s">
        <v>219</v>
      </c>
      <c r="E192" s="49" t="s">
        <v>91</v>
      </c>
      <c r="F192" s="39">
        <v>404</v>
      </c>
    </row>
    <row r="193" spans="1:6" x14ac:dyDescent="0.3">
      <c r="A193" s="7" t="str">
        <f>_xlfn.XLOOKUP(ColombiaClientes6[[#This Row],[Client]],VpsClientes[Client],VpsClientes[VP],"",0)</f>
        <v>Martha Guzman Arango</v>
      </c>
      <c r="B193" s="37" t="s">
        <v>270</v>
      </c>
      <c r="C193" s="38" t="s">
        <v>202</v>
      </c>
      <c r="D193" s="49" t="s">
        <v>219</v>
      </c>
      <c r="E193" s="49" t="s">
        <v>206</v>
      </c>
      <c r="F193" s="39">
        <v>924</v>
      </c>
    </row>
    <row r="194" spans="1:6" hidden="1" x14ac:dyDescent="0.3">
      <c r="A194" s="7" t="str">
        <f>_xlfn.XLOOKUP(ColombiaClientes6[[#This Row],[Client]],VpsClientes[Client],VpsClientes[VP],"",0)</f>
        <v>Ludy Torres Benitez</v>
      </c>
      <c r="B194" s="37" t="s">
        <v>95</v>
      </c>
      <c r="C194" s="38" t="s">
        <v>203</v>
      </c>
      <c r="D194" s="49" t="s">
        <v>90</v>
      </c>
      <c r="E194" s="49" t="s">
        <v>91</v>
      </c>
      <c r="F194" s="39">
        <v>5898</v>
      </c>
    </row>
    <row r="195" spans="1:6" hidden="1" x14ac:dyDescent="0.3">
      <c r="A195" s="7" t="str">
        <f>_xlfn.XLOOKUP(ColombiaClientes6[[#This Row],[Client]],VpsClientes[Client],VpsClientes[VP],"",0)</f>
        <v>Hector Muraira Garza</v>
      </c>
      <c r="B195" s="37" t="s">
        <v>164</v>
      </c>
      <c r="C195" s="38" t="s">
        <v>203</v>
      </c>
      <c r="D195" s="49" t="s">
        <v>90</v>
      </c>
      <c r="E195" s="49" t="s">
        <v>91</v>
      </c>
      <c r="F195" s="39">
        <v>4180</v>
      </c>
    </row>
    <row r="196" spans="1:6" hidden="1" x14ac:dyDescent="0.3">
      <c r="A196" s="7" t="str">
        <f>_xlfn.XLOOKUP(ColombiaClientes6[[#This Row],[Client]],VpsClientes[Client],VpsClientes[VP],"",0)</f>
        <v>Martha Guzman Arango</v>
      </c>
      <c r="B196" s="37" t="s">
        <v>199</v>
      </c>
      <c r="C196" s="38" t="s">
        <v>203</v>
      </c>
      <c r="D196" s="49" t="s">
        <v>90</v>
      </c>
      <c r="E196" s="49" t="s">
        <v>91</v>
      </c>
      <c r="F196" s="39">
        <v>3311</v>
      </c>
    </row>
    <row r="197" spans="1:6" hidden="1" x14ac:dyDescent="0.3">
      <c r="A197" s="7" t="str">
        <f>_xlfn.XLOOKUP(ColombiaClientes6[[#This Row],[Client]],VpsClientes[Client],VpsClientes[VP],"",0)</f>
        <v>Sandra Romero Zuluaga</v>
      </c>
      <c r="B197" s="37" t="s">
        <v>113</v>
      </c>
      <c r="C197" s="38" t="s">
        <v>203</v>
      </c>
      <c r="D197" s="49" t="s">
        <v>90</v>
      </c>
      <c r="E197" s="49" t="s">
        <v>91</v>
      </c>
      <c r="F197" s="39">
        <v>3063</v>
      </c>
    </row>
    <row r="198" spans="1:6" hidden="1" x14ac:dyDescent="0.3">
      <c r="A198" s="7" t="str">
        <f>_xlfn.XLOOKUP(ColombiaClientes6[[#This Row],[Client]],VpsClientes[Client],VpsClientes[VP],"",0)</f>
        <v>Juan Granados Castillo</v>
      </c>
      <c r="B198" s="37" t="s">
        <v>134</v>
      </c>
      <c r="C198" s="38" t="s">
        <v>203</v>
      </c>
      <c r="D198" s="49" t="s">
        <v>90</v>
      </c>
      <c r="E198" s="49" t="s">
        <v>91</v>
      </c>
      <c r="F198" s="39">
        <v>2854</v>
      </c>
    </row>
    <row r="199" spans="1:6" x14ac:dyDescent="0.3">
      <c r="A199" s="7" t="str">
        <f>_xlfn.XLOOKUP(ColombiaClientes6[[#This Row],[Client]],VpsClientes[Client],VpsClientes[VP],"",0)</f>
        <v>Martha Guzman Arango</v>
      </c>
      <c r="B199" s="37" t="s">
        <v>270</v>
      </c>
      <c r="C199" s="38" t="s">
        <v>203</v>
      </c>
      <c r="D199" s="49" t="s">
        <v>219</v>
      </c>
      <c r="E199" s="49" t="s">
        <v>206</v>
      </c>
      <c r="F199" s="39">
        <v>753</v>
      </c>
    </row>
    <row r="200" spans="1:6" x14ac:dyDescent="0.3">
      <c r="A200" s="7" t="str">
        <f>_xlfn.XLOOKUP(ColombiaClientes6[[#This Row],[Client]],VpsClientes[Client],VpsClientes[VP],"",0)</f>
        <v>Martha Guzman Arango</v>
      </c>
      <c r="B200" s="37" t="s">
        <v>270</v>
      </c>
      <c r="C200" s="38" t="s">
        <v>205</v>
      </c>
      <c r="D200" s="49" t="s">
        <v>219</v>
      </c>
      <c r="E200" s="49" t="s">
        <v>206</v>
      </c>
      <c r="F200" s="39">
        <v>1980</v>
      </c>
    </row>
    <row r="201" spans="1:6" x14ac:dyDescent="0.3">
      <c r="A201" s="7" t="str">
        <f>_xlfn.XLOOKUP(ColombiaClientes6[[#This Row],[Client]],VpsClientes[Client],VpsClientes[VP],"",0)</f>
        <v>Martha Guzman Arango</v>
      </c>
      <c r="B201" s="37" t="s">
        <v>270</v>
      </c>
      <c r="C201" s="38" t="s">
        <v>237</v>
      </c>
      <c r="D201" s="49" t="s">
        <v>219</v>
      </c>
      <c r="E201" s="49" t="s">
        <v>206</v>
      </c>
      <c r="F201" s="39">
        <v>176</v>
      </c>
    </row>
    <row r="202" spans="1:6" x14ac:dyDescent="0.3">
      <c r="A202" s="7" t="str">
        <f>_xlfn.XLOOKUP(ColombiaClientes6[[#This Row],[Client]],VpsClientes[Client],VpsClientes[VP],"",0)</f>
        <v>Juan Camilo Granados</v>
      </c>
      <c r="B202" s="37" t="s">
        <v>244</v>
      </c>
      <c r="C202" s="38" t="s">
        <v>92</v>
      </c>
      <c r="D202" s="49" t="s">
        <v>90</v>
      </c>
      <c r="E202" s="49" t="s">
        <v>91</v>
      </c>
      <c r="F202" s="39">
        <v>1020</v>
      </c>
    </row>
    <row r="203" spans="1:6" hidden="1" x14ac:dyDescent="0.3">
      <c r="A203" s="7" t="str">
        <f>_xlfn.XLOOKUP(ColombiaClientes6[[#This Row],[Client]],VpsClientes[Client],VpsClientes[VP],"",0)</f>
        <v>Moises Saavedra Garcia</v>
      </c>
      <c r="B203" s="37" t="s">
        <v>110</v>
      </c>
      <c r="C203" s="38" t="s">
        <v>203</v>
      </c>
      <c r="D203" s="49" t="s">
        <v>90</v>
      </c>
      <c r="E203" s="49" t="s">
        <v>91</v>
      </c>
      <c r="F203" s="39">
        <v>1592</v>
      </c>
    </row>
    <row r="204" spans="1:6" x14ac:dyDescent="0.3">
      <c r="A204" s="7" t="str">
        <f>_xlfn.XLOOKUP(ColombiaClientes6[[#This Row],[Client]],VpsClientes[Client],VpsClientes[VP],"",0)</f>
        <v>Juan Camilo Granados</v>
      </c>
      <c r="B204" s="37" t="s">
        <v>244</v>
      </c>
      <c r="C204" s="38" t="s">
        <v>191</v>
      </c>
      <c r="D204" s="49" t="s">
        <v>90</v>
      </c>
      <c r="E204" s="49" t="s">
        <v>91</v>
      </c>
      <c r="F204" s="39">
        <v>665</v>
      </c>
    </row>
    <row r="205" spans="1:6" x14ac:dyDescent="0.3">
      <c r="A205" s="7" t="str">
        <f>_xlfn.XLOOKUP(ColombiaClientes6[[#This Row],[Client]],VpsClientes[Client],VpsClientes[VP],"",0)</f>
        <v>Juan Camilo Granados</v>
      </c>
      <c r="B205" s="37" t="s">
        <v>244</v>
      </c>
      <c r="C205" s="38" t="s">
        <v>192</v>
      </c>
      <c r="D205" s="49" t="s">
        <v>90</v>
      </c>
      <c r="E205" s="49" t="s">
        <v>91</v>
      </c>
      <c r="F205" s="39">
        <v>956</v>
      </c>
    </row>
    <row r="206" spans="1:6" x14ac:dyDescent="0.3">
      <c r="A206" s="7" t="str">
        <f>_xlfn.XLOOKUP(ColombiaClientes6[[#This Row],[Client]],VpsClientes[Client],VpsClientes[VP],"",0)</f>
        <v>Juan Camilo Granados</v>
      </c>
      <c r="B206" s="37" t="s">
        <v>244</v>
      </c>
      <c r="C206" s="38" t="s">
        <v>194</v>
      </c>
      <c r="D206" s="49" t="s">
        <v>90</v>
      </c>
      <c r="E206" s="49" t="s">
        <v>91</v>
      </c>
      <c r="F206" s="39">
        <v>859</v>
      </c>
    </row>
    <row r="207" spans="1:6" x14ac:dyDescent="0.3">
      <c r="A207" s="7" t="str">
        <f>_xlfn.XLOOKUP(ColombiaClientes6[[#This Row],[Client]],VpsClientes[Client],VpsClientes[VP],"",0)</f>
        <v>Juan Camilo Granados</v>
      </c>
      <c r="B207" s="37" t="s">
        <v>244</v>
      </c>
      <c r="C207" s="38" t="s">
        <v>202</v>
      </c>
      <c r="D207" s="49" t="s">
        <v>90</v>
      </c>
      <c r="E207" s="49" t="s">
        <v>91</v>
      </c>
      <c r="F207" s="39">
        <v>558</v>
      </c>
    </row>
    <row r="208" spans="1:6" x14ac:dyDescent="0.3">
      <c r="A208" s="7" t="str">
        <f>_xlfn.XLOOKUP(ColombiaClientes6[[#This Row],[Client]],VpsClientes[Client],VpsClientes[VP],"",0)</f>
        <v>Juan Camilo Granados</v>
      </c>
      <c r="B208" s="37" t="s">
        <v>244</v>
      </c>
      <c r="C208" s="38" t="s">
        <v>203</v>
      </c>
      <c r="D208" s="49" t="s">
        <v>90</v>
      </c>
      <c r="E208" s="49" t="s">
        <v>91</v>
      </c>
      <c r="F208" s="39">
        <v>1015</v>
      </c>
    </row>
    <row r="209" spans="1:6" hidden="1" x14ac:dyDescent="0.3">
      <c r="A209" s="7" t="str">
        <f>_xlfn.XLOOKUP(ColombiaClientes6[[#This Row],[Client]],VpsClientes[Client],VpsClientes[VP],"",0)</f>
        <v>Hector Muraira Garza</v>
      </c>
      <c r="B209" s="37" t="s">
        <v>132</v>
      </c>
      <c r="C209" s="38" t="s">
        <v>203</v>
      </c>
      <c r="D209" s="49" t="s">
        <v>90</v>
      </c>
      <c r="E209" s="49" t="s">
        <v>91</v>
      </c>
      <c r="F209" s="39">
        <v>910</v>
      </c>
    </row>
    <row r="210" spans="1:6" hidden="1" x14ac:dyDescent="0.3">
      <c r="A210" s="7" t="str">
        <f>_xlfn.XLOOKUP(ColombiaClientes6[[#This Row],[Client]],VpsClientes[Client],VpsClientes[VP],"",0)</f>
        <v>Carlos Castillo Figueroa</v>
      </c>
      <c r="B210" s="37" t="s">
        <v>105</v>
      </c>
      <c r="C210" s="38" t="s">
        <v>203</v>
      </c>
      <c r="D210" s="49" t="s">
        <v>90</v>
      </c>
      <c r="E210" s="49" t="s">
        <v>91</v>
      </c>
      <c r="F210" s="39">
        <v>720</v>
      </c>
    </row>
    <row r="211" spans="1:6" x14ac:dyDescent="0.3">
      <c r="A211" s="7" t="str">
        <f>_xlfn.XLOOKUP(ColombiaClientes6[[#This Row],[Client]],VpsClientes[Client],VpsClientes[VP],"",0)</f>
        <v>Juan Camilo Granados</v>
      </c>
      <c r="B211" s="37" t="s">
        <v>244</v>
      </c>
      <c r="C211" s="38" t="s">
        <v>205</v>
      </c>
      <c r="D211" s="49" t="s">
        <v>90</v>
      </c>
      <c r="E211" s="49" t="s">
        <v>91</v>
      </c>
      <c r="F211" s="39">
        <v>4</v>
      </c>
    </row>
    <row r="212" spans="1:6" x14ac:dyDescent="0.3">
      <c r="A212" s="7" t="str">
        <f>_xlfn.XLOOKUP(ColombiaClientes6[[#This Row],[Client]],VpsClientes[Client],VpsClientes[VP],"",0)</f>
        <v>Juan Camilo Granados</v>
      </c>
      <c r="B212" s="37" t="s">
        <v>244</v>
      </c>
      <c r="C212" s="38" t="s">
        <v>237</v>
      </c>
      <c r="D212" s="49" t="s">
        <v>90</v>
      </c>
      <c r="E212" s="49" t="s">
        <v>91</v>
      </c>
      <c r="F212" s="39">
        <v>0</v>
      </c>
    </row>
    <row r="213" spans="1:6" x14ac:dyDescent="0.3">
      <c r="A213" s="7" t="str">
        <f>_xlfn.XLOOKUP(ColombiaClientes6[[#This Row],[Client]],VpsClientes[Client],VpsClientes[VP],"",0)</f>
        <v>Juan Camilo Granados</v>
      </c>
      <c r="B213" s="37" t="s">
        <v>244</v>
      </c>
      <c r="C213" s="38" t="s">
        <v>92</v>
      </c>
      <c r="D213" s="49" t="s">
        <v>90</v>
      </c>
      <c r="E213" s="49" t="s">
        <v>206</v>
      </c>
      <c r="F213" s="39">
        <v>465</v>
      </c>
    </row>
    <row r="214" spans="1:6" hidden="1" x14ac:dyDescent="0.3">
      <c r="A214" s="7" t="str">
        <f>_xlfn.XLOOKUP(ColombiaClientes6[[#This Row],[Client]],VpsClientes[Client],VpsClientes[VP],"",0)</f>
        <v>Jhonatan Izquierdo Rico</v>
      </c>
      <c r="B214" s="37" t="s">
        <v>104</v>
      </c>
      <c r="C214" s="38" t="s">
        <v>203</v>
      </c>
      <c r="D214" s="49" t="s">
        <v>90</v>
      </c>
      <c r="E214" s="49" t="s">
        <v>91</v>
      </c>
      <c r="F214" s="39">
        <v>604</v>
      </c>
    </row>
    <row r="215" spans="1:6" x14ac:dyDescent="0.3">
      <c r="A215" s="7" t="str">
        <f>_xlfn.XLOOKUP(ColombiaClientes6[[#This Row],[Client]],VpsClientes[Client],VpsClientes[VP],"",0)</f>
        <v>Juan Camilo Granados</v>
      </c>
      <c r="B215" s="37" t="s">
        <v>244</v>
      </c>
      <c r="C215" s="38" t="s">
        <v>191</v>
      </c>
      <c r="D215" s="49" t="s">
        <v>90</v>
      </c>
      <c r="E215" s="49" t="s">
        <v>206</v>
      </c>
      <c r="F215" s="39">
        <v>476</v>
      </c>
    </row>
    <row r="216" spans="1:6" hidden="1" x14ac:dyDescent="0.3">
      <c r="A216" s="7" t="str">
        <f>_xlfn.XLOOKUP(ColombiaClientes6[[#This Row],[Client]],VpsClientes[Client],VpsClientes[VP],"",0)</f>
        <v>Moises Saavedra Garcia</v>
      </c>
      <c r="B216" s="37" t="s">
        <v>201</v>
      </c>
      <c r="C216" s="38" t="s">
        <v>203</v>
      </c>
      <c r="D216" s="49" t="s">
        <v>90</v>
      </c>
      <c r="E216" s="49" t="s">
        <v>91</v>
      </c>
      <c r="F216" s="39">
        <v>509</v>
      </c>
    </row>
    <row r="217" spans="1:6" hidden="1" x14ac:dyDescent="0.3">
      <c r="A217" s="7" t="str">
        <f>_xlfn.XLOOKUP(ColombiaClientes6[[#This Row],[Client]],VpsClientes[Client],VpsClientes[VP],"",0)</f>
        <v>Hector Muraira Garza</v>
      </c>
      <c r="B217" s="37" t="s">
        <v>167</v>
      </c>
      <c r="C217" s="38" t="s">
        <v>203</v>
      </c>
      <c r="D217" s="49" t="s">
        <v>90</v>
      </c>
      <c r="E217" s="49" t="s">
        <v>91</v>
      </c>
      <c r="F217" s="39">
        <v>474</v>
      </c>
    </row>
    <row r="218" spans="1:6" hidden="1" x14ac:dyDescent="0.3">
      <c r="A218" s="7" t="str">
        <f>_xlfn.XLOOKUP(ColombiaClientes6[[#This Row],[Client]],VpsClientes[Client],VpsClientes[VP],"",0)</f>
        <v>Hector Muraira Garza</v>
      </c>
      <c r="B218" s="37" t="s">
        <v>140</v>
      </c>
      <c r="C218" s="38" t="s">
        <v>203</v>
      </c>
      <c r="D218" s="49" t="s">
        <v>90</v>
      </c>
      <c r="E218" s="49" t="s">
        <v>91</v>
      </c>
      <c r="F218" s="39">
        <v>461</v>
      </c>
    </row>
    <row r="219" spans="1:6" x14ac:dyDescent="0.3">
      <c r="A219" s="7" t="str">
        <f>_xlfn.XLOOKUP(ColombiaClientes6[[#This Row],[Client]],VpsClientes[Client],VpsClientes[VP],"",0)</f>
        <v>Juan Camilo Granados</v>
      </c>
      <c r="B219" s="37" t="s">
        <v>244</v>
      </c>
      <c r="C219" s="38" t="s">
        <v>192</v>
      </c>
      <c r="D219" s="49" t="s">
        <v>90</v>
      </c>
      <c r="E219" s="49" t="s">
        <v>206</v>
      </c>
      <c r="F219" s="39">
        <v>687</v>
      </c>
    </row>
    <row r="220" spans="1:6" x14ac:dyDescent="0.3">
      <c r="A220" s="7" t="str">
        <f>_xlfn.XLOOKUP(ColombiaClientes6[[#This Row],[Client]],VpsClientes[Client],VpsClientes[VP],"",0)</f>
        <v>Juan Camilo Granados</v>
      </c>
      <c r="B220" s="37" t="s">
        <v>244</v>
      </c>
      <c r="C220" s="38" t="s">
        <v>194</v>
      </c>
      <c r="D220" s="49" t="s">
        <v>90</v>
      </c>
      <c r="E220" s="49" t="s">
        <v>206</v>
      </c>
      <c r="F220" s="39">
        <v>457</v>
      </c>
    </row>
    <row r="221" spans="1:6" x14ac:dyDescent="0.3">
      <c r="A221" s="7" t="str">
        <f>_xlfn.XLOOKUP(ColombiaClientes6[[#This Row],[Client]],VpsClientes[Client],VpsClientes[VP],"",0)</f>
        <v>Juan Camilo Granados</v>
      </c>
      <c r="B221" s="37" t="s">
        <v>244</v>
      </c>
      <c r="C221" s="38" t="s">
        <v>202</v>
      </c>
      <c r="D221" s="49" t="s">
        <v>90</v>
      </c>
      <c r="E221" s="49" t="s">
        <v>206</v>
      </c>
      <c r="F221" s="39">
        <v>542</v>
      </c>
    </row>
    <row r="222" spans="1:6" x14ac:dyDescent="0.3">
      <c r="A222" s="7" t="str">
        <f>_xlfn.XLOOKUP(ColombiaClientes6[[#This Row],[Client]],VpsClientes[Client],VpsClientes[VP],"",0)</f>
        <v>Juan Camilo Granados</v>
      </c>
      <c r="B222" s="37" t="s">
        <v>244</v>
      </c>
      <c r="C222" s="38" t="s">
        <v>203</v>
      </c>
      <c r="D222" s="49" t="s">
        <v>90</v>
      </c>
      <c r="E222" s="49" t="s">
        <v>206</v>
      </c>
      <c r="F222" s="39">
        <v>312</v>
      </c>
    </row>
    <row r="223" spans="1:6" x14ac:dyDescent="0.3">
      <c r="A223" s="7" t="str">
        <f>_xlfn.XLOOKUP(ColombiaClientes6[[#This Row],[Client]],VpsClientes[Client],VpsClientes[VP],"",0)</f>
        <v>Juan Camilo Granados</v>
      </c>
      <c r="B223" s="37" t="s">
        <v>244</v>
      </c>
      <c r="C223" s="38" t="s">
        <v>92</v>
      </c>
      <c r="D223" s="49" t="s">
        <v>219</v>
      </c>
      <c r="E223" s="49" t="s">
        <v>91</v>
      </c>
      <c r="F223" s="39">
        <v>192</v>
      </c>
    </row>
    <row r="224" spans="1:6" hidden="1" x14ac:dyDescent="0.3">
      <c r="A224" s="7" t="str">
        <f>_xlfn.XLOOKUP(ColombiaClientes6[[#This Row],[Client]],VpsClientes[Client],VpsClientes[VP],"",0)</f>
        <v>Jhonatan Izquierdo Rico</v>
      </c>
      <c r="B224" s="37" t="s">
        <v>157</v>
      </c>
      <c r="C224" s="38" t="s">
        <v>203</v>
      </c>
      <c r="D224" s="49" t="s">
        <v>90</v>
      </c>
      <c r="E224" s="49" t="s">
        <v>91</v>
      </c>
      <c r="F224" s="39">
        <v>203</v>
      </c>
    </row>
    <row r="225" spans="1:6" x14ac:dyDescent="0.3">
      <c r="A225" s="7" t="str">
        <f>_xlfn.XLOOKUP(ColombiaClientes6[[#This Row],[Client]],VpsClientes[Client],VpsClientes[VP],"",0)</f>
        <v>Juan Camilo Granados</v>
      </c>
      <c r="B225" s="37" t="s">
        <v>244</v>
      </c>
      <c r="C225" s="38" t="s">
        <v>191</v>
      </c>
      <c r="D225" s="49" t="s">
        <v>219</v>
      </c>
      <c r="E225" s="49" t="s">
        <v>91</v>
      </c>
      <c r="F225" s="39">
        <v>188</v>
      </c>
    </row>
    <row r="226" spans="1:6" x14ac:dyDescent="0.3">
      <c r="A226" s="7" t="str">
        <f>_xlfn.XLOOKUP(ColombiaClientes6[[#This Row],[Client]],VpsClientes[Client],VpsClientes[VP],"",0)</f>
        <v>Juan Camilo Granados</v>
      </c>
      <c r="B226" s="37" t="s">
        <v>244</v>
      </c>
      <c r="C226" s="38" t="s">
        <v>192</v>
      </c>
      <c r="D226" s="49" t="s">
        <v>219</v>
      </c>
      <c r="E226" s="49" t="s">
        <v>91</v>
      </c>
      <c r="F226" s="39">
        <v>232</v>
      </c>
    </row>
    <row r="227" spans="1:6" hidden="1" x14ac:dyDescent="0.3">
      <c r="A227" s="7" t="str">
        <f>_xlfn.XLOOKUP(ColombiaClientes6[[#This Row],[Client]],VpsClientes[Client],VpsClientes[VP],"",0)</f>
        <v>Javier Orjuela Sarmiento</v>
      </c>
      <c r="B227" s="37" t="s">
        <v>133</v>
      </c>
      <c r="C227" s="38" t="s">
        <v>203</v>
      </c>
      <c r="D227" s="49" t="s">
        <v>90</v>
      </c>
      <c r="E227" s="49" t="s">
        <v>91</v>
      </c>
      <c r="F227" s="39">
        <v>183</v>
      </c>
    </row>
    <row r="228" spans="1:6" x14ac:dyDescent="0.3">
      <c r="A228" s="7" t="str">
        <f>_xlfn.XLOOKUP(ColombiaClientes6[[#This Row],[Client]],VpsClientes[Client],VpsClientes[VP],"",0)</f>
        <v>Juan Camilo Granados</v>
      </c>
      <c r="B228" s="37" t="s">
        <v>244</v>
      </c>
      <c r="C228" s="38" t="s">
        <v>194</v>
      </c>
      <c r="D228" s="49" t="s">
        <v>219</v>
      </c>
      <c r="E228" s="49" t="s">
        <v>91</v>
      </c>
      <c r="F228" s="39">
        <v>234</v>
      </c>
    </row>
    <row r="229" spans="1:6" x14ac:dyDescent="0.3">
      <c r="A229" s="7" t="str">
        <f>_xlfn.XLOOKUP(ColombiaClientes6[[#This Row],[Client]],VpsClientes[Client],VpsClientes[VP],"",0)</f>
        <v>Juan Camilo Granados</v>
      </c>
      <c r="B229" s="37" t="s">
        <v>244</v>
      </c>
      <c r="C229" s="38" t="s">
        <v>202</v>
      </c>
      <c r="D229" s="49" t="s">
        <v>219</v>
      </c>
      <c r="E229" s="49" t="s">
        <v>91</v>
      </c>
      <c r="F229" s="39">
        <v>180</v>
      </c>
    </row>
    <row r="230" spans="1:6" x14ac:dyDescent="0.3">
      <c r="A230" s="7" t="str">
        <f>_xlfn.XLOOKUP(ColombiaClientes6[[#This Row],[Client]],VpsClientes[Client],VpsClientes[VP],"",0)</f>
        <v>Juan Camilo Granados</v>
      </c>
      <c r="B230" s="37" t="s">
        <v>244</v>
      </c>
      <c r="C230" s="38" t="s">
        <v>203</v>
      </c>
      <c r="D230" s="49" t="s">
        <v>219</v>
      </c>
      <c r="E230" s="49" t="s">
        <v>91</v>
      </c>
      <c r="F230" s="39">
        <v>116</v>
      </c>
    </row>
    <row r="231" spans="1:6" x14ac:dyDescent="0.3">
      <c r="A231" s="7" t="str">
        <f>_xlfn.XLOOKUP(ColombiaClientes6[[#This Row],[Client]],VpsClientes[Client],VpsClientes[VP],"",0)</f>
        <v>Juan Camilo Granados</v>
      </c>
      <c r="B231" s="37" t="s">
        <v>244</v>
      </c>
      <c r="C231" s="38" t="s">
        <v>205</v>
      </c>
      <c r="D231" s="49" t="s">
        <v>219</v>
      </c>
      <c r="E231" s="49" t="s">
        <v>91</v>
      </c>
      <c r="F231" s="39">
        <v>1</v>
      </c>
    </row>
    <row r="232" spans="1:6" x14ac:dyDescent="0.3">
      <c r="A232" s="7" t="str">
        <f>_xlfn.XLOOKUP(ColombiaClientes6[[#This Row],[Client]],VpsClientes[Client],VpsClientes[VP],"",0)</f>
        <v>Juan Camilo Granados</v>
      </c>
      <c r="B232" s="42" t="s">
        <v>244</v>
      </c>
      <c r="C232" s="10" t="s">
        <v>237</v>
      </c>
      <c r="D232" s="49" t="s">
        <v>219</v>
      </c>
      <c r="E232" s="49" t="s">
        <v>91</v>
      </c>
      <c r="F232" s="43">
        <v>0</v>
      </c>
    </row>
    <row r="233" spans="1:6" hidden="1" x14ac:dyDescent="0.3">
      <c r="A233" s="7" t="str">
        <f>_xlfn.XLOOKUP(ColombiaClientes6[[#This Row],[Client]],VpsClientes[Client],VpsClientes[VP],"",0)</f>
        <v>Carlos Beltran Hernandez</v>
      </c>
      <c r="B233" s="42" t="s">
        <v>93</v>
      </c>
      <c r="C233" s="42" t="s">
        <v>205</v>
      </c>
      <c r="D233" s="49" t="s">
        <v>90</v>
      </c>
      <c r="E233" s="49" t="s">
        <v>91</v>
      </c>
      <c r="F233" s="43">
        <v>17570</v>
      </c>
    </row>
    <row r="234" spans="1:6" hidden="1" x14ac:dyDescent="0.3">
      <c r="A234" s="7" t="str">
        <f>_xlfn.XLOOKUP(ColombiaClientes6[[#This Row],[Client]],VpsClientes[Client],VpsClientes[VP],"",0)</f>
        <v>Ludy Torres Benitez</v>
      </c>
      <c r="B234" s="42" t="s">
        <v>95</v>
      </c>
      <c r="C234" s="42" t="s">
        <v>205</v>
      </c>
      <c r="D234" s="49" t="s">
        <v>90</v>
      </c>
      <c r="E234" s="49" t="s">
        <v>91</v>
      </c>
      <c r="F234" s="43">
        <v>6567</v>
      </c>
    </row>
    <row r="235" spans="1:6" x14ac:dyDescent="0.3">
      <c r="A235" s="7" t="str">
        <f>_xlfn.XLOOKUP(ColombiaClientes6[[#This Row],[Client]],VpsClientes[Client],VpsClientes[VP],"",0)</f>
        <v>Juan Camilo Granados</v>
      </c>
      <c r="B235" s="42" t="s">
        <v>244</v>
      </c>
      <c r="C235" s="42" t="s">
        <v>92</v>
      </c>
      <c r="D235" s="49" t="s">
        <v>219</v>
      </c>
      <c r="E235" s="49" t="s">
        <v>206</v>
      </c>
      <c r="F235" s="43">
        <v>143</v>
      </c>
    </row>
    <row r="236" spans="1:6" hidden="1" x14ac:dyDescent="0.3">
      <c r="A236" s="7" t="str">
        <f>_xlfn.XLOOKUP(ColombiaClientes6[[#This Row],[Client]],VpsClientes[Client],VpsClientes[VP],"",0)</f>
        <v>Hector Muraira Garza</v>
      </c>
      <c r="B236" s="42" t="s">
        <v>164</v>
      </c>
      <c r="C236" s="42" t="s">
        <v>205</v>
      </c>
      <c r="D236" s="49" t="s">
        <v>90</v>
      </c>
      <c r="E236" s="49" t="s">
        <v>91</v>
      </c>
      <c r="F236" s="43">
        <v>5002</v>
      </c>
    </row>
    <row r="237" spans="1:6" hidden="1" x14ac:dyDescent="0.3">
      <c r="A237" s="7" t="str">
        <f>_xlfn.XLOOKUP(ColombiaClientes6[[#This Row],[Client]],VpsClientes[Client],VpsClientes[VP],"",0)</f>
        <v>Sandra Romero Zuluaga</v>
      </c>
      <c r="B237" s="42" t="s">
        <v>113</v>
      </c>
      <c r="C237" s="42" t="s">
        <v>205</v>
      </c>
      <c r="D237" s="49" t="s">
        <v>90</v>
      </c>
      <c r="E237" s="49" t="s">
        <v>91</v>
      </c>
      <c r="F237" s="43">
        <v>3325</v>
      </c>
    </row>
    <row r="238" spans="1:6" x14ac:dyDescent="0.3">
      <c r="A238" s="7" t="str">
        <f>_xlfn.XLOOKUP(ColombiaClientes6[[#This Row],[Client]],VpsClientes[Client],VpsClientes[VP],"",0)</f>
        <v>Juan Camilo Granados</v>
      </c>
      <c r="B238" s="42" t="s">
        <v>244</v>
      </c>
      <c r="C238" s="42" t="s">
        <v>191</v>
      </c>
      <c r="D238" s="49" t="s">
        <v>219</v>
      </c>
      <c r="E238" s="49" t="s">
        <v>206</v>
      </c>
      <c r="F238" s="43">
        <v>71</v>
      </c>
    </row>
    <row r="239" spans="1:6" hidden="1" x14ac:dyDescent="0.3">
      <c r="A239" s="7" t="str">
        <f>_xlfn.XLOOKUP(ColombiaClientes6[[#This Row],[Client]],VpsClientes[Client],VpsClientes[VP],"",0)</f>
        <v>Juan Granados Castillo</v>
      </c>
      <c r="B239" s="42" t="s">
        <v>134</v>
      </c>
      <c r="C239" s="42" t="s">
        <v>205</v>
      </c>
      <c r="D239" s="49" t="s">
        <v>90</v>
      </c>
      <c r="E239" s="49" t="s">
        <v>91</v>
      </c>
      <c r="F239" s="43">
        <v>2863</v>
      </c>
    </row>
    <row r="240" spans="1:6" x14ac:dyDescent="0.3">
      <c r="A240" s="7" t="str">
        <f>_xlfn.XLOOKUP(ColombiaClientes6[[#This Row],[Client]],VpsClientes[Client],VpsClientes[VP],"",0)</f>
        <v>Juan Camilo Granados</v>
      </c>
      <c r="B240" s="42" t="s">
        <v>244</v>
      </c>
      <c r="C240" s="42" t="s">
        <v>192</v>
      </c>
      <c r="D240" s="49" t="s">
        <v>219</v>
      </c>
      <c r="E240" s="49" t="s">
        <v>206</v>
      </c>
      <c r="F240" s="43">
        <v>98</v>
      </c>
    </row>
    <row r="241" spans="1:6" hidden="1" x14ac:dyDescent="0.3">
      <c r="A241" s="7" t="str">
        <f>_xlfn.XLOOKUP(ColombiaClientes6[[#This Row],[Client]],VpsClientes[Client],VpsClientes[VP],"",0)</f>
        <v>Martha Guzman Arango</v>
      </c>
      <c r="B241" s="42" t="s">
        <v>199</v>
      </c>
      <c r="C241" s="42" t="s">
        <v>205</v>
      </c>
      <c r="D241" s="49" t="s">
        <v>90</v>
      </c>
      <c r="E241" s="49" t="s">
        <v>91</v>
      </c>
      <c r="F241" s="43">
        <v>2528</v>
      </c>
    </row>
    <row r="242" spans="1:6" x14ac:dyDescent="0.3">
      <c r="A242" s="7" t="str">
        <f>_xlfn.XLOOKUP(ColombiaClientes6[[#This Row],[Client]],VpsClientes[Client],VpsClientes[VP],"",0)</f>
        <v>Juan Camilo Granados</v>
      </c>
      <c r="B242" s="42" t="s">
        <v>244</v>
      </c>
      <c r="C242" s="42" t="s">
        <v>194</v>
      </c>
      <c r="D242" s="49" t="s">
        <v>219</v>
      </c>
      <c r="E242" s="49" t="s">
        <v>206</v>
      </c>
      <c r="F242" s="43">
        <v>100</v>
      </c>
    </row>
    <row r="243" spans="1:6" hidden="1" x14ac:dyDescent="0.3">
      <c r="A243" s="7" t="str">
        <f>_xlfn.XLOOKUP(ColombiaClientes6[[#This Row],[Client]],VpsClientes[Client],VpsClientes[VP],"",0)</f>
        <v>Hector Muraira Garza</v>
      </c>
      <c r="B243" s="42" t="s">
        <v>132</v>
      </c>
      <c r="C243" s="42" t="s">
        <v>205</v>
      </c>
      <c r="D243" s="49" t="s">
        <v>90</v>
      </c>
      <c r="E243" s="49" t="s">
        <v>91</v>
      </c>
      <c r="F243" s="43">
        <v>2127</v>
      </c>
    </row>
    <row r="244" spans="1:6" x14ac:dyDescent="0.3">
      <c r="A244" s="7" t="str">
        <f>_xlfn.XLOOKUP(ColombiaClientes6[[#This Row],[Client]],VpsClientes[Client],VpsClientes[VP],"",0)</f>
        <v>Juan Camilo Granados</v>
      </c>
      <c r="B244" s="42" t="s">
        <v>244</v>
      </c>
      <c r="C244" s="42" t="s">
        <v>202</v>
      </c>
      <c r="D244" s="49" t="s">
        <v>219</v>
      </c>
      <c r="E244" s="49" t="s">
        <v>206</v>
      </c>
      <c r="F244" s="43">
        <v>97</v>
      </c>
    </row>
    <row r="245" spans="1:6" x14ac:dyDescent="0.3">
      <c r="A245" s="7" t="str">
        <f>_xlfn.XLOOKUP(ColombiaClientes6[[#This Row],[Client]],VpsClientes[Client],VpsClientes[VP],"",0)</f>
        <v>Juan Camilo Granados</v>
      </c>
      <c r="B245" s="42" t="s">
        <v>244</v>
      </c>
      <c r="C245" s="42" t="s">
        <v>203</v>
      </c>
      <c r="D245" s="49" t="s">
        <v>219</v>
      </c>
      <c r="E245" s="49" t="s">
        <v>206</v>
      </c>
      <c r="F245" s="43">
        <v>14</v>
      </c>
    </row>
    <row r="246" spans="1:6" x14ac:dyDescent="0.3">
      <c r="A246" s="7">
        <f>_xlfn.XLOOKUP(ColombiaClientes6[[#This Row],[Client]],VpsClientes[Client],VpsClientes[VP],"",0)</f>
        <v>0</v>
      </c>
      <c r="B246" s="42" t="s">
        <v>249</v>
      </c>
      <c r="C246" s="42" t="s">
        <v>92</v>
      </c>
      <c r="D246" s="49" t="s">
        <v>90</v>
      </c>
      <c r="E246" s="49" t="s">
        <v>91</v>
      </c>
      <c r="F246" s="43">
        <v>355</v>
      </c>
    </row>
    <row r="247" spans="1:6" x14ac:dyDescent="0.3">
      <c r="A247" s="7">
        <f>_xlfn.XLOOKUP(ColombiaClientes6[[#This Row],[Client]],VpsClientes[Client],VpsClientes[VP],"",0)</f>
        <v>0</v>
      </c>
      <c r="B247" s="42" t="s">
        <v>249</v>
      </c>
      <c r="C247" s="42" t="s">
        <v>191</v>
      </c>
      <c r="D247" s="49" t="s">
        <v>90</v>
      </c>
      <c r="E247" s="49" t="s">
        <v>91</v>
      </c>
      <c r="F247" s="43">
        <v>1762</v>
      </c>
    </row>
    <row r="248" spans="1:6" hidden="1" x14ac:dyDescent="0.3">
      <c r="A248" s="7" t="str">
        <f>_xlfn.XLOOKUP(ColombiaClientes6[[#This Row],[Client]],VpsClientes[Client],VpsClientes[VP],"",0)</f>
        <v>Moises Saavedra Garcia</v>
      </c>
      <c r="B248" s="42" t="s">
        <v>110</v>
      </c>
      <c r="C248" s="42" t="s">
        <v>205</v>
      </c>
      <c r="D248" s="49" t="s">
        <v>90</v>
      </c>
      <c r="E248" s="49" t="s">
        <v>91</v>
      </c>
      <c r="F248" s="43">
        <v>1491</v>
      </c>
    </row>
    <row r="249" spans="1:6" hidden="1" x14ac:dyDescent="0.3">
      <c r="A249" s="7" t="str">
        <f>_xlfn.XLOOKUP(ColombiaClientes6[[#This Row],[Client]],VpsClientes[Client],VpsClientes[VP],"",0)</f>
        <v>Jhonatan Izquierdo Rico</v>
      </c>
      <c r="B249" s="42" t="s">
        <v>157</v>
      </c>
      <c r="C249" s="42" t="s">
        <v>205</v>
      </c>
      <c r="D249" s="49" t="s">
        <v>90</v>
      </c>
      <c r="E249" s="49" t="s">
        <v>91</v>
      </c>
      <c r="F249" s="43">
        <v>1099</v>
      </c>
    </row>
    <row r="250" spans="1:6" x14ac:dyDescent="0.3">
      <c r="A250" s="7">
        <f>_xlfn.XLOOKUP(ColombiaClientes6[[#This Row],[Client]],VpsClientes[Client],VpsClientes[VP],"",0)</f>
        <v>0</v>
      </c>
      <c r="B250" s="42" t="s">
        <v>249</v>
      </c>
      <c r="C250" s="42" t="s">
        <v>192</v>
      </c>
      <c r="D250" s="49" t="s">
        <v>90</v>
      </c>
      <c r="E250" s="49" t="s">
        <v>91</v>
      </c>
      <c r="F250" s="43">
        <v>183</v>
      </c>
    </row>
    <row r="251" spans="1:6" hidden="1" x14ac:dyDescent="0.3">
      <c r="A251" s="7" t="str">
        <f>_xlfn.XLOOKUP(ColombiaClientes6[[#This Row],[Client]],VpsClientes[Client],VpsClientes[VP],"",0)</f>
        <v>Jhonatan Izquierdo Rico</v>
      </c>
      <c r="B251" s="42" t="s">
        <v>104</v>
      </c>
      <c r="C251" s="42" t="s">
        <v>205</v>
      </c>
      <c r="D251" s="49" t="s">
        <v>90</v>
      </c>
      <c r="E251" s="49" t="s">
        <v>91</v>
      </c>
      <c r="F251" s="43">
        <v>925</v>
      </c>
    </row>
    <row r="252" spans="1:6" x14ac:dyDescent="0.3">
      <c r="A252" s="7">
        <f>_xlfn.XLOOKUP(ColombiaClientes6[[#This Row],[Client]],VpsClientes[Client],VpsClientes[VP],"",0)</f>
        <v>0</v>
      </c>
      <c r="B252" s="42" t="s">
        <v>249</v>
      </c>
      <c r="C252" s="42" t="s">
        <v>194</v>
      </c>
      <c r="D252" s="49" t="s">
        <v>90</v>
      </c>
      <c r="E252" s="49" t="s">
        <v>91</v>
      </c>
      <c r="F252" s="43">
        <v>2004</v>
      </c>
    </row>
    <row r="253" spans="1:6" hidden="1" x14ac:dyDescent="0.3">
      <c r="A253" s="7" t="str">
        <f>_xlfn.XLOOKUP(ColombiaClientes6[[#This Row],[Client]],VpsClientes[Client],VpsClientes[VP],"",0)</f>
        <v>Hector Muraira Garza</v>
      </c>
      <c r="B253" s="42" t="s">
        <v>167</v>
      </c>
      <c r="C253" s="42" t="s">
        <v>205</v>
      </c>
      <c r="D253" s="49" t="s">
        <v>90</v>
      </c>
      <c r="E253" s="49" t="s">
        <v>91</v>
      </c>
      <c r="F253" s="43">
        <v>606</v>
      </c>
    </row>
    <row r="254" spans="1:6" hidden="1" x14ac:dyDescent="0.3">
      <c r="A254" s="7" t="str">
        <f>_xlfn.XLOOKUP(ColombiaClientes6[[#This Row],[Client]],VpsClientes[Client],VpsClientes[VP],"",0)</f>
        <v>Hector Muraira Garza</v>
      </c>
      <c r="B254" s="42" t="s">
        <v>140</v>
      </c>
      <c r="C254" s="42" t="s">
        <v>205</v>
      </c>
      <c r="D254" s="49" t="s">
        <v>90</v>
      </c>
      <c r="E254" s="49" t="s">
        <v>91</v>
      </c>
      <c r="F254" s="43">
        <v>512</v>
      </c>
    </row>
    <row r="255" spans="1:6" x14ac:dyDescent="0.3">
      <c r="A255" s="7">
        <f>_xlfn.XLOOKUP(ColombiaClientes6[[#This Row],[Client]],VpsClientes[Client],VpsClientes[VP],"",0)</f>
        <v>0</v>
      </c>
      <c r="B255" s="42" t="s">
        <v>249</v>
      </c>
      <c r="C255" s="42" t="s">
        <v>202</v>
      </c>
      <c r="D255" s="49" t="s">
        <v>90</v>
      </c>
      <c r="E255" s="49" t="s">
        <v>91</v>
      </c>
      <c r="F255" s="43">
        <v>962</v>
      </c>
    </row>
    <row r="256" spans="1:6" x14ac:dyDescent="0.3">
      <c r="A256" s="7">
        <f>_xlfn.XLOOKUP(ColombiaClientes6[[#This Row],[Client]],VpsClientes[Client],VpsClientes[VP],"",0)</f>
        <v>0</v>
      </c>
      <c r="B256" s="42" t="s">
        <v>249</v>
      </c>
      <c r="C256" s="42" t="s">
        <v>203</v>
      </c>
      <c r="D256" s="49" t="s">
        <v>90</v>
      </c>
      <c r="E256" s="49" t="s">
        <v>91</v>
      </c>
      <c r="F256" s="43">
        <v>1082</v>
      </c>
    </row>
    <row r="257" spans="1:6" x14ac:dyDescent="0.3">
      <c r="A257" s="7">
        <f>_xlfn.XLOOKUP(ColombiaClientes6[[#This Row],[Client]],VpsClientes[Client],VpsClientes[VP],"",0)</f>
        <v>0</v>
      </c>
      <c r="B257" s="42" t="s">
        <v>249</v>
      </c>
      <c r="C257" s="42" t="s">
        <v>205</v>
      </c>
      <c r="D257" s="49" t="s">
        <v>90</v>
      </c>
      <c r="E257" s="49" t="s">
        <v>91</v>
      </c>
      <c r="F257" s="43">
        <v>1057</v>
      </c>
    </row>
    <row r="258" spans="1:6" hidden="1" x14ac:dyDescent="0.3">
      <c r="A258" s="7" t="str">
        <f>_xlfn.XLOOKUP(ColombiaClientes6[[#This Row],[Client]],VpsClientes[Client],VpsClientes[VP],"",0)</f>
        <v>Moises Saavedra Garcia</v>
      </c>
      <c r="B258" s="42" t="s">
        <v>201</v>
      </c>
      <c r="C258" s="42" t="s">
        <v>205</v>
      </c>
      <c r="D258" s="49" t="s">
        <v>90</v>
      </c>
      <c r="E258" s="49" t="s">
        <v>91</v>
      </c>
      <c r="F258" s="43">
        <v>345</v>
      </c>
    </row>
    <row r="259" spans="1:6" x14ac:dyDescent="0.3">
      <c r="A259" s="7">
        <f>_xlfn.XLOOKUP(ColombiaClientes6[[#This Row],[Client]],VpsClientes[Client],VpsClientes[VP],"",0)</f>
        <v>0</v>
      </c>
      <c r="B259" s="42" t="s">
        <v>249</v>
      </c>
      <c r="C259" s="42" t="s">
        <v>237</v>
      </c>
      <c r="D259" s="49" t="s">
        <v>90</v>
      </c>
      <c r="E259" s="49" t="s">
        <v>91</v>
      </c>
      <c r="F259" s="43">
        <v>80</v>
      </c>
    </row>
    <row r="260" spans="1:6" x14ac:dyDescent="0.3">
      <c r="A260" s="7">
        <f>_xlfn.XLOOKUP(ColombiaClientes6[[#This Row],[Client]],VpsClientes[Client],VpsClientes[VP],"",0)</f>
        <v>0</v>
      </c>
      <c r="B260" s="42" t="s">
        <v>249</v>
      </c>
      <c r="C260" s="42" t="s">
        <v>92</v>
      </c>
      <c r="D260" s="49" t="s">
        <v>90</v>
      </c>
      <c r="E260" s="49" t="s">
        <v>206</v>
      </c>
      <c r="F260" s="43">
        <v>265</v>
      </c>
    </row>
    <row r="261" spans="1:6" x14ac:dyDescent="0.3">
      <c r="A261" s="7">
        <f>_xlfn.XLOOKUP(ColombiaClientes6[[#This Row],[Client]],VpsClientes[Client],VpsClientes[VP],"",0)</f>
        <v>0</v>
      </c>
      <c r="B261" s="42" t="s">
        <v>249</v>
      </c>
      <c r="C261" s="42" t="s">
        <v>191</v>
      </c>
      <c r="D261" s="49" t="s">
        <v>90</v>
      </c>
      <c r="E261" s="49" t="s">
        <v>206</v>
      </c>
      <c r="F261" s="43">
        <v>498</v>
      </c>
    </row>
    <row r="262" spans="1:6" x14ac:dyDescent="0.3">
      <c r="A262" s="7">
        <f>_xlfn.XLOOKUP(ColombiaClientes6[[#This Row],[Client]],VpsClientes[Client],VpsClientes[VP],"",0)</f>
        <v>0</v>
      </c>
      <c r="B262" s="42" t="s">
        <v>249</v>
      </c>
      <c r="C262" s="42" t="s">
        <v>192</v>
      </c>
      <c r="D262" s="49" t="s">
        <v>90</v>
      </c>
      <c r="E262" s="49" t="s">
        <v>206</v>
      </c>
      <c r="F262" s="43">
        <v>614</v>
      </c>
    </row>
    <row r="263" spans="1:6" hidden="1" x14ac:dyDescent="0.3">
      <c r="A263" s="7" t="str">
        <f>_xlfn.XLOOKUP(ColombiaClientes6[[#This Row],[Client]],VpsClientes[Client],VpsClientes[VP],"",0)</f>
        <v>Javier Orjuela Sarmiento</v>
      </c>
      <c r="B263" s="42" t="s">
        <v>133</v>
      </c>
      <c r="C263" s="42" t="s">
        <v>205</v>
      </c>
      <c r="D263" s="49" t="s">
        <v>90</v>
      </c>
      <c r="E263" s="49" t="s">
        <v>91</v>
      </c>
      <c r="F263" s="43">
        <v>149</v>
      </c>
    </row>
    <row r="264" spans="1:6" x14ac:dyDescent="0.3">
      <c r="A264" s="7">
        <f>_xlfn.XLOOKUP(ColombiaClientes6[[#This Row],[Client]],VpsClientes[Client],VpsClientes[VP],"",0)</f>
        <v>0</v>
      </c>
      <c r="B264" s="42" t="s">
        <v>249</v>
      </c>
      <c r="C264" s="42" t="s">
        <v>194</v>
      </c>
      <c r="D264" s="49" t="s">
        <v>90</v>
      </c>
      <c r="E264" s="49" t="s">
        <v>206</v>
      </c>
      <c r="F264" s="43">
        <v>512</v>
      </c>
    </row>
    <row r="265" spans="1:6" x14ac:dyDescent="0.3">
      <c r="A265" s="7">
        <f>_xlfn.XLOOKUP(ColombiaClientes6[[#This Row],[Client]],VpsClientes[Client],VpsClientes[VP],"",0)</f>
        <v>0</v>
      </c>
      <c r="B265" s="42" t="s">
        <v>249</v>
      </c>
      <c r="C265" s="42" t="s">
        <v>202</v>
      </c>
      <c r="D265" s="49" t="s">
        <v>90</v>
      </c>
      <c r="E265" s="49" t="s">
        <v>206</v>
      </c>
      <c r="F265" s="43">
        <v>501</v>
      </c>
    </row>
    <row r="266" spans="1:6" x14ac:dyDescent="0.3">
      <c r="A266" s="7">
        <f>_xlfn.XLOOKUP(ColombiaClientes6[[#This Row],[Client]],VpsClientes[Client],VpsClientes[VP],"",0)</f>
        <v>0</v>
      </c>
      <c r="B266" s="42" t="s">
        <v>249</v>
      </c>
      <c r="C266" s="42" t="s">
        <v>203</v>
      </c>
      <c r="D266" s="49" t="s">
        <v>90</v>
      </c>
      <c r="E266" s="49" t="s">
        <v>206</v>
      </c>
      <c r="F266" s="43">
        <v>569</v>
      </c>
    </row>
    <row r="267" spans="1:6" x14ac:dyDescent="0.3">
      <c r="A267" s="7">
        <f>_xlfn.XLOOKUP(ColombiaClientes6[[#This Row],[Client]],VpsClientes[Client],VpsClientes[VP],"",0)</f>
        <v>0</v>
      </c>
      <c r="B267" s="42" t="s">
        <v>249</v>
      </c>
      <c r="C267" s="42" t="s">
        <v>205</v>
      </c>
      <c r="D267" s="49" t="s">
        <v>90</v>
      </c>
      <c r="E267" s="49" t="s">
        <v>206</v>
      </c>
      <c r="F267" s="43">
        <v>1069</v>
      </c>
    </row>
    <row r="268" spans="1:6" hidden="1" x14ac:dyDescent="0.3">
      <c r="A268" s="7" t="str">
        <f>_xlfn.XLOOKUP(ColombiaClientes6[[#This Row],[Client]],VpsClientes[Client],VpsClientes[VP],"",0)</f>
        <v>Carlos Castillo Figueroa</v>
      </c>
      <c r="B268" s="42" t="s">
        <v>105</v>
      </c>
      <c r="C268" s="42" t="s">
        <v>205</v>
      </c>
      <c r="D268" s="49" t="s">
        <v>90</v>
      </c>
      <c r="E268" s="49" t="s">
        <v>91</v>
      </c>
      <c r="F268" s="43">
        <v>41</v>
      </c>
    </row>
    <row r="269" spans="1:6" x14ac:dyDescent="0.3">
      <c r="A269" s="7">
        <f>_xlfn.XLOOKUP(ColombiaClientes6[[#This Row],[Client]],VpsClientes[Client],VpsClientes[VP],"",0)</f>
        <v>0</v>
      </c>
      <c r="B269" s="42" t="s">
        <v>249</v>
      </c>
      <c r="C269" s="42" t="s">
        <v>237</v>
      </c>
      <c r="D269" s="49" t="s">
        <v>90</v>
      </c>
      <c r="E269" s="49" t="s">
        <v>206</v>
      </c>
      <c r="F269" s="43">
        <v>351</v>
      </c>
    </row>
    <row r="270" spans="1:6" x14ac:dyDescent="0.3">
      <c r="A270" s="7">
        <f>_xlfn.XLOOKUP(ColombiaClientes6[[#This Row],[Client]],VpsClientes[Client],VpsClientes[VP],"",0)</f>
        <v>0</v>
      </c>
      <c r="B270" s="42" t="s">
        <v>249</v>
      </c>
      <c r="C270" s="42" t="s">
        <v>92</v>
      </c>
      <c r="D270" s="49" t="s">
        <v>219</v>
      </c>
      <c r="E270" s="49" t="s">
        <v>91</v>
      </c>
      <c r="F270" s="43">
        <v>10</v>
      </c>
    </row>
    <row r="271" spans="1:6" x14ac:dyDescent="0.3">
      <c r="A271" s="7">
        <f>_xlfn.XLOOKUP(ColombiaClientes6[[#This Row],[Client]],VpsClientes[Client],VpsClientes[VP],"",0)</f>
        <v>0</v>
      </c>
      <c r="B271" s="42" t="s">
        <v>249</v>
      </c>
      <c r="C271" s="42" t="s">
        <v>191</v>
      </c>
      <c r="D271" s="49" t="s">
        <v>219</v>
      </c>
      <c r="E271" s="49" t="s">
        <v>91</v>
      </c>
      <c r="F271" s="43">
        <v>74</v>
      </c>
    </row>
    <row r="272" spans="1:6" hidden="1" x14ac:dyDescent="0.3">
      <c r="A272" s="7" t="str">
        <f>_xlfn.XLOOKUP(ColombiaClientes6[[#This Row],[Client]],VpsClientes[Client],VpsClientes[VP],"",0)</f>
        <v>Hector Muraira Garza</v>
      </c>
      <c r="B272" s="42" t="s">
        <v>130</v>
      </c>
      <c r="C272" s="42" t="s">
        <v>205</v>
      </c>
      <c r="D272" s="49" t="s">
        <v>90</v>
      </c>
      <c r="E272" s="49" t="s">
        <v>91</v>
      </c>
      <c r="F272" s="43">
        <v>0</v>
      </c>
    </row>
    <row r="273" spans="1:6" hidden="1" x14ac:dyDescent="0.3">
      <c r="A273" s="7" t="str">
        <f>_xlfn.XLOOKUP(ColombiaClientes6[[#This Row],[Client]],VpsClientes[Client],VpsClientes[VP],"",0)</f>
        <v>Carlos Beltran Hernandez</v>
      </c>
      <c r="B273" s="48" t="s">
        <v>93</v>
      </c>
      <c r="C273" s="10" t="s">
        <v>237</v>
      </c>
      <c r="D273" s="49" t="s">
        <v>90</v>
      </c>
      <c r="E273" s="49" t="s">
        <v>91</v>
      </c>
      <c r="F273" s="50">
        <v>1494</v>
      </c>
    </row>
    <row r="274" spans="1:6" hidden="1" x14ac:dyDescent="0.3">
      <c r="A274" s="7" t="str">
        <f>_xlfn.XLOOKUP(ColombiaClientes6[[#This Row],[Client]],VpsClientes[Client],VpsClientes[VP],"",0)</f>
        <v>Ludy Torres Benitez</v>
      </c>
      <c r="B274" s="48" t="s">
        <v>95</v>
      </c>
      <c r="C274" s="48" t="s">
        <v>237</v>
      </c>
      <c r="D274" s="49" t="s">
        <v>90</v>
      </c>
      <c r="E274" s="49" t="s">
        <v>91</v>
      </c>
      <c r="F274" s="50">
        <v>649</v>
      </c>
    </row>
    <row r="275" spans="1:6" hidden="1" x14ac:dyDescent="0.3">
      <c r="A275" s="7" t="str">
        <f>_xlfn.XLOOKUP(ColombiaClientes6[[#This Row],[Client]],VpsClientes[Client],VpsClientes[VP],"",0)</f>
        <v>Hector Muraira Garza</v>
      </c>
      <c r="B275" s="48" t="s">
        <v>164</v>
      </c>
      <c r="C275" s="48" t="s">
        <v>237</v>
      </c>
      <c r="D275" s="49" t="s">
        <v>90</v>
      </c>
      <c r="E275" s="49" t="s">
        <v>91</v>
      </c>
      <c r="F275" s="50">
        <v>531</v>
      </c>
    </row>
    <row r="276" spans="1:6" x14ac:dyDescent="0.3">
      <c r="A276" s="7">
        <f>_xlfn.XLOOKUP(ColombiaClientes6[[#This Row],[Client]],VpsClientes[Client],VpsClientes[VP],"",0)</f>
        <v>0</v>
      </c>
      <c r="B276" s="48" t="s">
        <v>249</v>
      </c>
      <c r="C276" s="48" t="s">
        <v>192</v>
      </c>
      <c r="D276" s="49" t="s">
        <v>219</v>
      </c>
      <c r="E276" s="49" t="s">
        <v>91</v>
      </c>
      <c r="F276" s="50">
        <v>15</v>
      </c>
    </row>
    <row r="277" spans="1:6" hidden="1" x14ac:dyDescent="0.3">
      <c r="A277" s="7" t="str">
        <f>_xlfn.XLOOKUP(ColombiaClientes6[[#This Row],[Client]],VpsClientes[Client],VpsClientes[VP],"",0)</f>
        <v>Sandra Romero Zuluaga</v>
      </c>
      <c r="B277" s="48" t="s">
        <v>113</v>
      </c>
      <c r="C277" s="48" t="s">
        <v>237</v>
      </c>
      <c r="D277" s="49" t="s">
        <v>90</v>
      </c>
      <c r="E277" s="49" t="s">
        <v>91</v>
      </c>
      <c r="F277" s="50">
        <v>312</v>
      </c>
    </row>
    <row r="278" spans="1:6" hidden="1" x14ac:dyDescent="0.3">
      <c r="A278" s="7" t="str">
        <f>_xlfn.XLOOKUP(ColombiaClientes6[[#This Row],[Client]],VpsClientes[Client],VpsClientes[VP],"",0)</f>
        <v>Martha Guzman Arango</v>
      </c>
      <c r="B278" s="48" t="s">
        <v>199</v>
      </c>
      <c r="C278" s="48" t="s">
        <v>237</v>
      </c>
      <c r="D278" s="49" t="s">
        <v>90</v>
      </c>
      <c r="E278" s="49" t="s">
        <v>91</v>
      </c>
      <c r="F278" s="50">
        <v>274</v>
      </c>
    </row>
    <row r="279" spans="1:6" x14ac:dyDescent="0.3">
      <c r="A279" s="7">
        <f>_xlfn.XLOOKUP(ColombiaClientes6[[#This Row],[Client]],VpsClientes[Client],VpsClientes[VP],"",0)</f>
        <v>0</v>
      </c>
      <c r="B279" s="48" t="s">
        <v>249</v>
      </c>
      <c r="C279" s="48" t="s">
        <v>194</v>
      </c>
      <c r="D279" s="49" t="s">
        <v>219</v>
      </c>
      <c r="E279" s="49" t="s">
        <v>91</v>
      </c>
      <c r="F279" s="50">
        <v>24</v>
      </c>
    </row>
    <row r="280" spans="1:6" x14ac:dyDescent="0.3">
      <c r="A280" s="7">
        <f>_xlfn.XLOOKUP(ColombiaClientes6[[#This Row],[Client]],VpsClientes[Client],VpsClientes[VP],"",0)</f>
        <v>0</v>
      </c>
      <c r="B280" s="48" t="s">
        <v>249</v>
      </c>
      <c r="C280" s="48" t="s">
        <v>202</v>
      </c>
      <c r="D280" s="49" t="s">
        <v>219</v>
      </c>
      <c r="E280" s="49" t="s">
        <v>91</v>
      </c>
      <c r="F280" s="50">
        <v>60</v>
      </c>
    </row>
    <row r="281" spans="1:6" hidden="1" x14ac:dyDescent="0.3">
      <c r="A281" s="7" t="str">
        <f>_xlfn.XLOOKUP(ColombiaClientes6[[#This Row],[Client]],VpsClientes[Client],VpsClientes[VP],"",0)</f>
        <v>Jhonatan Izquierdo Rico</v>
      </c>
      <c r="B281" s="48" t="s">
        <v>104</v>
      </c>
      <c r="C281" s="48" t="s">
        <v>237</v>
      </c>
      <c r="D281" s="49" t="s">
        <v>90</v>
      </c>
      <c r="E281" s="49" t="s">
        <v>91</v>
      </c>
      <c r="F281" s="50">
        <v>186</v>
      </c>
    </row>
    <row r="282" spans="1:6" x14ac:dyDescent="0.3">
      <c r="A282" s="7">
        <f>_xlfn.XLOOKUP(ColombiaClientes6[[#This Row],[Client]],VpsClientes[Client],VpsClientes[VP],"",0)</f>
        <v>0</v>
      </c>
      <c r="B282" s="48" t="s">
        <v>249</v>
      </c>
      <c r="C282" s="48" t="s">
        <v>203</v>
      </c>
      <c r="D282" s="49" t="s">
        <v>219</v>
      </c>
      <c r="E282" s="49" t="s">
        <v>91</v>
      </c>
      <c r="F282" s="50">
        <v>79</v>
      </c>
    </row>
    <row r="283" spans="1:6" x14ac:dyDescent="0.3">
      <c r="A283" s="7">
        <f>_xlfn.XLOOKUP(ColombiaClientes6[[#This Row],[Client]],VpsClientes[Client],VpsClientes[VP],"",0)</f>
        <v>0</v>
      </c>
      <c r="B283" s="48" t="s">
        <v>249</v>
      </c>
      <c r="C283" s="48" t="s">
        <v>205</v>
      </c>
      <c r="D283" s="49" t="s">
        <v>219</v>
      </c>
      <c r="E283" s="49" t="s">
        <v>91</v>
      </c>
      <c r="F283" s="50">
        <v>216</v>
      </c>
    </row>
    <row r="284" spans="1:6" hidden="1" x14ac:dyDescent="0.3">
      <c r="A284" s="7" t="str">
        <f>_xlfn.XLOOKUP(ColombiaClientes6[[#This Row],[Client]],VpsClientes[Client],VpsClientes[VP],"",0)</f>
        <v>Juan Granados Castillo</v>
      </c>
      <c r="B284" s="48" t="s">
        <v>134</v>
      </c>
      <c r="C284" s="48" t="s">
        <v>237</v>
      </c>
      <c r="D284" s="49" t="s">
        <v>90</v>
      </c>
      <c r="E284" s="49" t="s">
        <v>91</v>
      </c>
      <c r="F284" s="50">
        <v>134</v>
      </c>
    </row>
    <row r="285" spans="1:6" x14ac:dyDescent="0.3">
      <c r="A285" s="7">
        <f>_xlfn.XLOOKUP(ColombiaClientes6[[#This Row],[Client]],VpsClientes[Client],VpsClientes[VP],"",0)</f>
        <v>0</v>
      </c>
      <c r="B285" s="48" t="s">
        <v>249</v>
      </c>
      <c r="C285" s="48" t="s">
        <v>237</v>
      </c>
      <c r="D285" s="49" t="s">
        <v>219</v>
      </c>
      <c r="E285" s="49" t="s">
        <v>91</v>
      </c>
      <c r="F285" s="50">
        <v>45</v>
      </c>
    </row>
    <row r="286" spans="1:6" x14ac:dyDescent="0.3">
      <c r="A286" s="7">
        <f>_xlfn.XLOOKUP(ColombiaClientes6[[#This Row],[Client]],VpsClientes[Client],VpsClientes[VP],"",0)</f>
        <v>0</v>
      </c>
      <c r="B286" s="48" t="s">
        <v>249</v>
      </c>
      <c r="C286" s="48" t="s">
        <v>92</v>
      </c>
      <c r="D286" s="49" t="s">
        <v>219</v>
      </c>
      <c r="E286" s="49" t="s">
        <v>206</v>
      </c>
      <c r="F286" s="50">
        <v>1</v>
      </c>
    </row>
    <row r="287" spans="1:6" x14ac:dyDescent="0.3">
      <c r="A287" s="7">
        <f>_xlfn.XLOOKUP(ColombiaClientes6[[#This Row],[Client]],VpsClientes[Client],VpsClientes[VP],"",0)</f>
        <v>0</v>
      </c>
      <c r="B287" s="48" t="s">
        <v>249</v>
      </c>
      <c r="C287" s="48" t="s">
        <v>191</v>
      </c>
      <c r="D287" s="49" t="s">
        <v>219</v>
      </c>
      <c r="E287" s="49" t="s">
        <v>206</v>
      </c>
      <c r="F287" s="50">
        <v>1</v>
      </c>
    </row>
    <row r="288" spans="1:6" x14ac:dyDescent="0.3">
      <c r="A288" s="7">
        <f>_xlfn.XLOOKUP(ColombiaClientes6[[#This Row],[Client]],VpsClientes[Client],VpsClientes[VP],"",0)</f>
        <v>0</v>
      </c>
      <c r="B288" s="48" t="s">
        <v>249</v>
      </c>
      <c r="C288" s="48" t="s">
        <v>192</v>
      </c>
      <c r="D288" s="49" t="s">
        <v>219</v>
      </c>
      <c r="E288" s="49" t="s">
        <v>206</v>
      </c>
      <c r="F288" s="50">
        <v>0</v>
      </c>
    </row>
    <row r="289" spans="1:6" hidden="1" x14ac:dyDescent="0.3">
      <c r="A289" s="7" t="str">
        <f>_xlfn.XLOOKUP(ColombiaClientes6[[#This Row],[Client]],VpsClientes[Client],VpsClientes[VP],"",0)</f>
        <v>Moises Saavedra Garcia</v>
      </c>
      <c r="B289" s="48" t="s">
        <v>110</v>
      </c>
      <c r="C289" s="48" t="s">
        <v>237</v>
      </c>
      <c r="D289" s="49" t="s">
        <v>90</v>
      </c>
      <c r="E289" s="49" t="s">
        <v>91</v>
      </c>
      <c r="F289" s="50">
        <v>66</v>
      </c>
    </row>
    <row r="290" spans="1:6" hidden="1" x14ac:dyDescent="0.3">
      <c r="A290" s="7" t="str">
        <f>_xlfn.XLOOKUP(ColombiaClientes6[[#This Row],[Client]],VpsClientes[Client],VpsClientes[VP],"",0)</f>
        <v>Hector Muraira Garza</v>
      </c>
      <c r="B290" s="48" t="s">
        <v>132</v>
      </c>
      <c r="C290" s="48" t="s">
        <v>237</v>
      </c>
      <c r="D290" s="49" t="s">
        <v>90</v>
      </c>
      <c r="E290" s="49" t="s">
        <v>91</v>
      </c>
      <c r="F290" s="50">
        <v>49</v>
      </c>
    </row>
    <row r="291" spans="1:6" x14ac:dyDescent="0.3">
      <c r="A291" s="7">
        <f>_xlfn.XLOOKUP(ColombiaClientes6[[#This Row],[Client]],VpsClientes[Client],VpsClientes[VP],"",0)</f>
        <v>0</v>
      </c>
      <c r="B291" s="48" t="s">
        <v>249</v>
      </c>
      <c r="C291" s="48" t="s">
        <v>194</v>
      </c>
      <c r="D291" s="49" t="s">
        <v>219</v>
      </c>
      <c r="E291" s="49" t="s">
        <v>206</v>
      </c>
      <c r="F291" s="50">
        <v>8</v>
      </c>
    </row>
    <row r="292" spans="1:6" x14ac:dyDescent="0.3">
      <c r="A292" s="7">
        <f>_xlfn.XLOOKUP(ColombiaClientes6[[#This Row],[Client]],VpsClientes[Client],VpsClientes[VP],"",0)</f>
        <v>0</v>
      </c>
      <c r="B292" s="48" t="s">
        <v>249</v>
      </c>
      <c r="C292" s="48" t="s">
        <v>202</v>
      </c>
      <c r="D292" s="49" t="s">
        <v>219</v>
      </c>
      <c r="E292" s="49" t="s">
        <v>206</v>
      </c>
      <c r="F292" s="50">
        <v>38</v>
      </c>
    </row>
    <row r="293" spans="1:6" hidden="1" x14ac:dyDescent="0.3">
      <c r="A293" s="7" t="str">
        <f>_xlfn.XLOOKUP(ColombiaClientes6[[#This Row],[Client]],VpsClientes[Client],VpsClientes[VP],"",0)</f>
        <v>Hector Muraira Garza</v>
      </c>
      <c r="B293" s="48" t="s">
        <v>140</v>
      </c>
      <c r="C293" s="48" t="s">
        <v>237</v>
      </c>
      <c r="D293" s="49" t="s">
        <v>90</v>
      </c>
      <c r="E293" s="49" t="s">
        <v>91</v>
      </c>
      <c r="F293" s="50">
        <v>33</v>
      </c>
    </row>
    <row r="294" spans="1:6" x14ac:dyDescent="0.3">
      <c r="A294" s="7">
        <f>_xlfn.XLOOKUP(ColombiaClientes6[[#This Row],[Client]],VpsClientes[Client],VpsClientes[VP],"",0)</f>
        <v>0</v>
      </c>
      <c r="B294" s="48" t="s">
        <v>249</v>
      </c>
      <c r="C294" s="48" t="s">
        <v>203</v>
      </c>
      <c r="D294" s="49" t="s">
        <v>219</v>
      </c>
      <c r="E294" s="49" t="s">
        <v>206</v>
      </c>
      <c r="F294" s="50">
        <v>9</v>
      </c>
    </row>
    <row r="295" spans="1:6" hidden="1" x14ac:dyDescent="0.3">
      <c r="A295" s="7" t="str">
        <f>_xlfn.XLOOKUP(ColombiaClientes6[[#This Row],[Client]],VpsClientes[Client],VpsClientes[VP],"",0)</f>
        <v>Hector Muraira Garza</v>
      </c>
      <c r="B295" s="48" t="s">
        <v>167</v>
      </c>
      <c r="C295" s="48" t="s">
        <v>237</v>
      </c>
      <c r="D295" s="49" t="s">
        <v>90</v>
      </c>
      <c r="E295" s="49" t="s">
        <v>91</v>
      </c>
      <c r="F295" s="50">
        <v>30</v>
      </c>
    </row>
    <row r="296" spans="1:6" x14ac:dyDescent="0.3">
      <c r="A296" s="7">
        <f>_xlfn.XLOOKUP(ColombiaClientes6[[#This Row],[Client]],VpsClientes[Client],VpsClientes[VP],"",0)</f>
        <v>0</v>
      </c>
      <c r="B296" s="48" t="s">
        <v>249</v>
      </c>
      <c r="C296" s="48" t="s">
        <v>205</v>
      </c>
      <c r="D296" s="49" t="s">
        <v>219</v>
      </c>
      <c r="E296" s="49" t="s">
        <v>206</v>
      </c>
      <c r="F296" s="50">
        <v>46</v>
      </c>
    </row>
    <row r="297" spans="1:6" x14ac:dyDescent="0.3">
      <c r="A297" s="7">
        <f>_xlfn.XLOOKUP(ColombiaClientes6[[#This Row],[Client]],VpsClientes[Client],VpsClientes[VP],"",0)</f>
        <v>0</v>
      </c>
      <c r="B297" s="48" t="s">
        <v>249</v>
      </c>
      <c r="C297" s="48" t="s">
        <v>237</v>
      </c>
      <c r="D297" s="49" t="s">
        <v>219</v>
      </c>
      <c r="E297" s="49" t="s">
        <v>206</v>
      </c>
      <c r="F297" s="50">
        <v>9</v>
      </c>
    </row>
    <row r="298" spans="1:6" x14ac:dyDescent="0.3">
      <c r="A298" s="7" t="str">
        <f>_xlfn.XLOOKUP(ColombiaClientes6[[#This Row],[Client]],VpsClientes[Client],VpsClientes[VP],"",0)</f>
        <v>Juan Camilo Granados</v>
      </c>
      <c r="B298" s="48" t="s">
        <v>259</v>
      </c>
      <c r="C298" s="48" t="s">
        <v>92</v>
      </c>
      <c r="D298" s="49" t="s">
        <v>90</v>
      </c>
      <c r="E298" s="49" t="s">
        <v>91</v>
      </c>
      <c r="F298" s="50">
        <v>84</v>
      </c>
    </row>
    <row r="299" spans="1:6" x14ac:dyDescent="0.3">
      <c r="A299" s="7" t="str">
        <f>_xlfn.XLOOKUP(ColombiaClientes6[[#This Row],[Client]],VpsClientes[Client],VpsClientes[VP],"",0)</f>
        <v>Juan Camilo Granados</v>
      </c>
      <c r="B299" s="48" t="s">
        <v>259</v>
      </c>
      <c r="C299" s="48" t="s">
        <v>191</v>
      </c>
      <c r="D299" s="49" t="s">
        <v>90</v>
      </c>
      <c r="E299" s="49" t="s">
        <v>91</v>
      </c>
      <c r="F299" s="50">
        <v>80</v>
      </c>
    </row>
    <row r="300" spans="1:6" x14ac:dyDescent="0.3">
      <c r="A300" s="7" t="str">
        <f>_xlfn.XLOOKUP(ColombiaClientes6[[#This Row],[Client]],VpsClientes[Client],VpsClientes[VP],"",0)</f>
        <v>Juan Camilo Granados</v>
      </c>
      <c r="B300" s="48" t="s">
        <v>259</v>
      </c>
      <c r="C300" s="48" t="s">
        <v>192</v>
      </c>
      <c r="D300" s="49" t="s">
        <v>90</v>
      </c>
      <c r="E300" s="49" t="s">
        <v>91</v>
      </c>
      <c r="F300" s="50">
        <v>259</v>
      </c>
    </row>
    <row r="301" spans="1:6" hidden="1" x14ac:dyDescent="0.3">
      <c r="A301" s="7" t="str">
        <f>_xlfn.XLOOKUP(ColombiaClientes6[[#This Row],[Client]],VpsClientes[Client],VpsClientes[VP],"",0)</f>
        <v>Javier Orjuela Sarmiento</v>
      </c>
      <c r="B301" s="48" t="s">
        <v>133</v>
      </c>
      <c r="C301" s="48" t="s">
        <v>237</v>
      </c>
      <c r="D301" s="49" t="s">
        <v>90</v>
      </c>
      <c r="E301" s="49" t="s">
        <v>91</v>
      </c>
      <c r="F301" s="50">
        <v>9</v>
      </c>
    </row>
    <row r="302" spans="1:6" x14ac:dyDescent="0.3">
      <c r="A302" s="7" t="str">
        <f>_xlfn.XLOOKUP(ColombiaClientes6[[#This Row],[Client]],VpsClientes[Client],VpsClientes[VP],"",0)</f>
        <v>Juan Camilo Granados</v>
      </c>
      <c r="B302" s="48" t="s">
        <v>259</v>
      </c>
      <c r="C302" s="48" t="s">
        <v>194</v>
      </c>
      <c r="D302" s="49" t="s">
        <v>90</v>
      </c>
      <c r="E302" s="49" t="s">
        <v>91</v>
      </c>
      <c r="F302" s="50">
        <v>229</v>
      </c>
    </row>
    <row r="303" spans="1:6" x14ac:dyDescent="0.3">
      <c r="A303" s="7" t="str">
        <f>_xlfn.XLOOKUP(ColombiaClientes6[[#This Row],[Client]],VpsClientes[Client],VpsClientes[VP],"",0)</f>
        <v>Juan Camilo Granados</v>
      </c>
      <c r="B303" s="48" t="s">
        <v>259</v>
      </c>
      <c r="C303" s="48" t="s">
        <v>202</v>
      </c>
      <c r="D303" s="49" t="s">
        <v>90</v>
      </c>
      <c r="E303" s="49" t="s">
        <v>91</v>
      </c>
      <c r="F303" s="50">
        <v>169</v>
      </c>
    </row>
    <row r="304" spans="1:6" hidden="1" x14ac:dyDescent="0.3">
      <c r="A304" s="7" t="str">
        <f>_xlfn.XLOOKUP(ColombiaClientes6[[#This Row],[Client]],VpsClientes[Client],VpsClientes[VP],"",0)</f>
        <v>Moises Saavedra Garcia</v>
      </c>
      <c r="B304" s="48" t="s">
        <v>201</v>
      </c>
      <c r="C304" s="48" t="s">
        <v>237</v>
      </c>
      <c r="D304" s="49" t="s">
        <v>90</v>
      </c>
      <c r="E304" s="49" t="s">
        <v>91</v>
      </c>
      <c r="F304" s="50">
        <v>3</v>
      </c>
    </row>
    <row r="305" spans="1:6" hidden="1" x14ac:dyDescent="0.3">
      <c r="A305" s="7" t="str">
        <f>_xlfn.XLOOKUP(ColombiaClientes6[[#This Row],[Client]],VpsClientes[Client],VpsClientes[VP],"",0)</f>
        <v>Carlos Castillo Figueroa</v>
      </c>
      <c r="B305" s="48" t="s">
        <v>105</v>
      </c>
      <c r="C305" s="48" t="s">
        <v>237</v>
      </c>
      <c r="D305" s="49" t="s">
        <v>90</v>
      </c>
      <c r="E305" s="49" t="s">
        <v>91</v>
      </c>
      <c r="F305" s="50">
        <v>2</v>
      </c>
    </row>
    <row r="306" spans="1:6" x14ac:dyDescent="0.3">
      <c r="A306" s="7" t="str">
        <f>_xlfn.XLOOKUP(ColombiaClientes6[[#This Row],[Client]],VpsClientes[Client],VpsClientes[VP],"",0)</f>
        <v>Juan Camilo Granados</v>
      </c>
      <c r="B306" s="48" t="s">
        <v>259</v>
      </c>
      <c r="C306" s="48" t="s">
        <v>203</v>
      </c>
      <c r="D306" s="49" t="s">
        <v>90</v>
      </c>
      <c r="E306" s="49" t="s">
        <v>91</v>
      </c>
      <c r="F306" s="50">
        <v>196</v>
      </c>
    </row>
    <row r="307" spans="1:6" hidden="1" x14ac:dyDescent="0.3">
      <c r="A307" s="7" t="str">
        <f>_xlfn.XLOOKUP(ColombiaClientes6[[#This Row],[Client]],VpsClientes[Client],VpsClientes[VP],"",0)</f>
        <v>Jhonatan Izquierdo Rico</v>
      </c>
      <c r="B307" s="48" t="s">
        <v>157</v>
      </c>
      <c r="C307" s="48" t="s">
        <v>237</v>
      </c>
      <c r="D307" s="49" t="s">
        <v>90</v>
      </c>
      <c r="E307" s="49" t="s">
        <v>91</v>
      </c>
      <c r="F307" s="50">
        <v>2</v>
      </c>
    </row>
    <row r="308" spans="1:6" hidden="1" x14ac:dyDescent="0.3">
      <c r="A308" s="7" t="str">
        <f>_xlfn.XLOOKUP(ColombiaClientes6[[#This Row],[Client]],VpsClientes[Client],VpsClientes[VP],"",0)</f>
        <v>Jhonatan Izquierdo Rico</v>
      </c>
      <c r="B308" s="48" t="s">
        <v>107</v>
      </c>
      <c r="C308" s="48" t="s">
        <v>237</v>
      </c>
      <c r="D308" s="49" t="s">
        <v>90</v>
      </c>
      <c r="E308" s="49" t="s">
        <v>91</v>
      </c>
      <c r="F308" s="50">
        <v>1</v>
      </c>
    </row>
    <row r="309" spans="1:6" x14ac:dyDescent="0.3">
      <c r="A309" s="7" t="str">
        <f>_xlfn.XLOOKUP(ColombiaClientes6[[#This Row],[Client]],VpsClientes[Client],VpsClientes[VP],"",0)</f>
        <v>Juan Camilo Granados</v>
      </c>
      <c r="B309" s="48" t="s">
        <v>259</v>
      </c>
      <c r="C309" s="48" t="s">
        <v>205</v>
      </c>
      <c r="D309" s="49" t="s">
        <v>90</v>
      </c>
      <c r="E309" s="49" t="s">
        <v>91</v>
      </c>
      <c r="F309" s="50">
        <v>66</v>
      </c>
    </row>
    <row r="310" spans="1:6" x14ac:dyDescent="0.3">
      <c r="A310" s="7" t="str">
        <f>_xlfn.XLOOKUP(ColombiaClientes6[[#This Row],[Client]],VpsClientes[Client],VpsClientes[VP],"",0)</f>
        <v>Juan Camilo Granados</v>
      </c>
      <c r="B310" s="48" t="s">
        <v>259</v>
      </c>
      <c r="C310" s="48" t="s">
        <v>92</v>
      </c>
      <c r="D310" s="49" t="s">
        <v>90</v>
      </c>
      <c r="E310" s="49" t="s">
        <v>206</v>
      </c>
      <c r="F310" s="50">
        <v>424</v>
      </c>
    </row>
    <row r="311" spans="1:6" x14ac:dyDescent="0.3">
      <c r="A311" s="7" t="str">
        <f>_xlfn.XLOOKUP(ColombiaClientes6[[#This Row],[Client]],VpsClientes[Client],VpsClientes[VP],"",0)</f>
        <v>Juan Camilo Granados</v>
      </c>
      <c r="B311" s="48" t="s">
        <v>259</v>
      </c>
      <c r="C311" s="48" t="s">
        <v>191</v>
      </c>
      <c r="D311" s="49" t="s">
        <v>90</v>
      </c>
      <c r="E311" s="49" t="s">
        <v>206</v>
      </c>
      <c r="F311" s="50">
        <v>366</v>
      </c>
    </row>
    <row r="312" spans="1:6" hidden="1" x14ac:dyDescent="0.3">
      <c r="A312" s="7" t="str">
        <f>_xlfn.XLOOKUP(ColombiaClientes6[[#This Row],[Client]],VpsClientes[Client],VpsClientes[VP],"",0)</f>
        <v>Carlos Beltran Hernandez</v>
      </c>
      <c r="B312" s="53" t="s">
        <v>93</v>
      </c>
      <c r="C312" s="10" t="s">
        <v>92</v>
      </c>
      <c r="D312" s="10" t="s">
        <v>90</v>
      </c>
      <c r="E312" s="10" t="s">
        <v>206</v>
      </c>
      <c r="F312" s="55">
        <v>22232</v>
      </c>
    </row>
    <row r="313" spans="1:6" x14ac:dyDescent="0.3">
      <c r="A313" s="7" t="str">
        <f>_xlfn.XLOOKUP(ColombiaClientes6[[#This Row],[Client]],VpsClientes[Client],VpsClientes[VP],"",0)</f>
        <v>Juan Camilo Granados</v>
      </c>
      <c r="B313" s="53" t="s">
        <v>259</v>
      </c>
      <c r="C313" s="54" t="s">
        <v>192</v>
      </c>
      <c r="D313" s="59" t="s">
        <v>90</v>
      </c>
      <c r="E313" s="59" t="s">
        <v>206</v>
      </c>
      <c r="F313" s="55">
        <v>283</v>
      </c>
    </row>
    <row r="314" spans="1:6" hidden="1" x14ac:dyDescent="0.3">
      <c r="A314" s="7" t="str">
        <f>_xlfn.XLOOKUP(ColombiaClientes6[[#This Row],[Client]],VpsClientes[Client],VpsClientes[VP],"",0)</f>
        <v>Javier Orjuela Sarmiento</v>
      </c>
      <c r="B314" s="53" t="s">
        <v>133</v>
      </c>
      <c r="C314" s="54" t="s">
        <v>92</v>
      </c>
      <c r="D314" s="59" t="s">
        <v>90</v>
      </c>
      <c r="E314" s="59" t="s">
        <v>206</v>
      </c>
      <c r="F314" s="55">
        <v>9413</v>
      </c>
    </row>
    <row r="315" spans="1:6" hidden="1" x14ac:dyDescent="0.3">
      <c r="A315" s="7" t="str">
        <f>_xlfn.XLOOKUP(ColombiaClientes6[[#This Row],[Client]],VpsClientes[Client],VpsClientes[VP],"",0)</f>
        <v>Ludy Torres Benitez</v>
      </c>
      <c r="B315" s="53" t="s">
        <v>95</v>
      </c>
      <c r="C315" s="54" t="s">
        <v>92</v>
      </c>
      <c r="D315" s="59" t="s">
        <v>90</v>
      </c>
      <c r="E315" s="59" t="s">
        <v>206</v>
      </c>
      <c r="F315" s="55">
        <v>6702</v>
      </c>
    </row>
    <row r="316" spans="1:6" hidden="1" x14ac:dyDescent="0.3">
      <c r="A316" s="7" t="str">
        <f>_xlfn.XLOOKUP(ColombiaClientes6[[#This Row],[Client]],VpsClientes[Client],VpsClientes[VP],"",0)</f>
        <v>Hector Muraira Garza</v>
      </c>
      <c r="B316" s="53" t="s">
        <v>164</v>
      </c>
      <c r="C316" s="54" t="s">
        <v>92</v>
      </c>
      <c r="D316" s="59" t="s">
        <v>90</v>
      </c>
      <c r="E316" s="59" t="s">
        <v>206</v>
      </c>
      <c r="F316" s="55">
        <v>6586</v>
      </c>
    </row>
    <row r="317" spans="1:6" hidden="1" x14ac:dyDescent="0.3">
      <c r="A317" s="7" t="str">
        <f>_xlfn.XLOOKUP(ColombiaClientes6[[#This Row],[Client]],VpsClientes[Client],VpsClientes[VP],"",0)</f>
        <v>Sandra Romero Zuluaga</v>
      </c>
      <c r="B317" s="53" t="s">
        <v>113</v>
      </c>
      <c r="C317" s="54" t="s">
        <v>92</v>
      </c>
      <c r="D317" s="59" t="s">
        <v>90</v>
      </c>
      <c r="E317" s="59" t="s">
        <v>206</v>
      </c>
      <c r="F317" s="55">
        <v>5589</v>
      </c>
    </row>
    <row r="318" spans="1:6" x14ac:dyDescent="0.3">
      <c r="A318" s="7" t="str">
        <f>_xlfn.XLOOKUP(ColombiaClientes6[[#This Row],[Client]],VpsClientes[Client],VpsClientes[VP],"",0)</f>
        <v>Juan Camilo Granados</v>
      </c>
      <c r="B318" s="53" t="s">
        <v>259</v>
      </c>
      <c r="C318" s="54" t="s">
        <v>194</v>
      </c>
      <c r="D318" s="59" t="s">
        <v>90</v>
      </c>
      <c r="E318" s="59" t="s">
        <v>206</v>
      </c>
      <c r="F318" s="55">
        <v>283</v>
      </c>
    </row>
    <row r="319" spans="1:6" x14ac:dyDescent="0.3">
      <c r="A319" s="7" t="str">
        <f>_xlfn.XLOOKUP(ColombiaClientes6[[#This Row],[Client]],VpsClientes[Client],VpsClientes[VP],"",0)</f>
        <v>Juan Camilo Granados</v>
      </c>
      <c r="B319" s="53" t="s">
        <v>259</v>
      </c>
      <c r="C319" s="54" t="s">
        <v>202</v>
      </c>
      <c r="D319" s="59" t="s">
        <v>90</v>
      </c>
      <c r="E319" s="59" t="s">
        <v>206</v>
      </c>
      <c r="F319" s="55">
        <v>276</v>
      </c>
    </row>
    <row r="320" spans="1:6" x14ac:dyDescent="0.3">
      <c r="A320" s="7" t="str">
        <f>_xlfn.XLOOKUP(ColombiaClientes6[[#This Row],[Client]],VpsClientes[Client],VpsClientes[VP],"",0)</f>
        <v>Juan Camilo Granados</v>
      </c>
      <c r="B320" s="53" t="s">
        <v>259</v>
      </c>
      <c r="C320" s="54" t="s">
        <v>203</v>
      </c>
      <c r="D320" s="59" t="s">
        <v>90</v>
      </c>
      <c r="E320" s="59" t="s">
        <v>206</v>
      </c>
      <c r="F320" s="55">
        <v>133</v>
      </c>
    </row>
    <row r="321" spans="1:6" x14ac:dyDescent="0.3">
      <c r="A321" s="7" t="str">
        <f>_xlfn.XLOOKUP(ColombiaClientes6[[#This Row],[Client]],VpsClientes[Client],VpsClientes[VP],"",0)</f>
        <v>Juan Camilo Granados</v>
      </c>
      <c r="B321" s="53" t="s">
        <v>259</v>
      </c>
      <c r="C321" s="54" t="s">
        <v>205</v>
      </c>
      <c r="D321" s="59" t="s">
        <v>90</v>
      </c>
      <c r="E321" s="59" t="s">
        <v>206</v>
      </c>
      <c r="F321" s="55">
        <v>94</v>
      </c>
    </row>
    <row r="322" spans="1:6" hidden="1" x14ac:dyDescent="0.3">
      <c r="A322" s="7" t="str">
        <f>_xlfn.XLOOKUP(ColombiaClientes6[[#This Row],[Client]],VpsClientes[Client],VpsClientes[VP],"",0)</f>
        <v>Jhonatan Izquierdo Rico</v>
      </c>
      <c r="B322" s="53" t="s">
        <v>104</v>
      </c>
      <c r="C322" s="54" t="s">
        <v>92</v>
      </c>
      <c r="D322" s="59" t="s">
        <v>90</v>
      </c>
      <c r="E322" s="59" t="s">
        <v>206</v>
      </c>
      <c r="F322" s="55">
        <v>2289</v>
      </c>
    </row>
    <row r="323" spans="1:6" hidden="1" x14ac:dyDescent="0.3">
      <c r="A323" s="7" t="str">
        <f>_xlfn.XLOOKUP(ColombiaClientes6[[#This Row],[Client]],VpsClientes[Client],VpsClientes[VP],"",0)</f>
        <v>Moises Saavedra Garcia</v>
      </c>
      <c r="B323" s="53" t="s">
        <v>110</v>
      </c>
      <c r="C323" s="54" t="s">
        <v>92</v>
      </c>
      <c r="D323" s="59" t="s">
        <v>90</v>
      </c>
      <c r="E323" s="59" t="s">
        <v>206</v>
      </c>
      <c r="F323" s="55">
        <v>2265</v>
      </c>
    </row>
    <row r="324" spans="1:6" hidden="1" x14ac:dyDescent="0.3">
      <c r="A324" s="7" t="str">
        <f>_xlfn.XLOOKUP(ColombiaClientes6[[#This Row],[Client]],VpsClientes[Client],VpsClientes[VP],"",0)</f>
        <v>Jhonatan Izquierdo Rico</v>
      </c>
      <c r="B324" s="53" t="s">
        <v>157</v>
      </c>
      <c r="C324" s="54" t="s">
        <v>92</v>
      </c>
      <c r="D324" s="59" t="s">
        <v>90</v>
      </c>
      <c r="E324" s="59" t="s">
        <v>206</v>
      </c>
      <c r="F324" s="55">
        <v>2117</v>
      </c>
    </row>
    <row r="325" spans="1:6" hidden="1" x14ac:dyDescent="0.3">
      <c r="A325" s="7" t="str">
        <f>_xlfn.XLOOKUP(ColombiaClientes6[[#This Row],[Client]],VpsClientes[Client],VpsClientes[VP],"",0)</f>
        <v>Hector Muraira Garza</v>
      </c>
      <c r="B325" s="53" t="s">
        <v>132</v>
      </c>
      <c r="C325" s="54" t="s">
        <v>92</v>
      </c>
      <c r="D325" s="59" t="s">
        <v>90</v>
      </c>
      <c r="E325" s="59" t="s">
        <v>206</v>
      </c>
      <c r="F325" s="55">
        <v>1920</v>
      </c>
    </row>
    <row r="326" spans="1:6" x14ac:dyDescent="0.3">
      <c r="A326" s="7" t="str">
        <f>_xlfn.XLOOKUP(ColombiaClientes6[[#This Row],[Client]],VpsClientes[Client],VpsClientes[VP],"",0)</f>
        <v>Juan Camilo Granados</v>
      </c>
      <c r="B326" s="53" t="s">
        <v>259</v>
      </c>
      <c r="C326" s="54" t="s">
        <v>237</v>
      </c>
      <c r="D326" s="59" t="s">
        <v>90</v>
      </c>
      <c r="E326" s="59" t="s">
        <v>206</v>
      </c>
      <c r="F326" s="55">
        <v>17</v>
      </c>
    </row>
    <row r="327" spans="1:6" x14ac:dyDescent="0.3">
      <c r="A327" s="7" t="str">
        <f>_xlfn.XLOOKUP(ColombiaClientes6[[#This Row],[Client]],VpsClientes[Client],VpsClientes[VP],"",0)</f>
        <v>Juan Camilo Granados</v>
      </c>
      <c r="B327" s="53" t="s">
        <v>259</v>
      </c>
      <c r="C327" s="54" t="s">
        <v>92</v>
      </c>
      <c r="D327" s="59" t="s">
        <v>219</v>
      </c>
      <c r="E327" s="59" t="s">
        <v>91</v>
      </c>
      <c r="F327" s="55">
        <v>50</v>
      </c>
    </row>
    <row r="328" spans="1:6" x14ac:dyDescent="0.3">
      <c r="A328" s="7" t="str">
        <f>_xlfn.XLOOKUP(ColombiaClientes6[[#This Row],[Client]],VpsClientes[Client],VpsClientes[VP],"",0)</f>
        <v>Juan Camilo Granados</v>
      </c>
      <c r="B328" s="53" t="s">
        <v>259</v>
      </c>
      <c r="C328" s="54" t="s">
        <v>191</v>
      </c>
      <c r="D328" s="59" t="s">
        <v>219</v>
      </c>
      <c r="E328" s="59" t="s">
        <v>91</v>
      </c>
      <c r="F328" s="55">
        <v>50</v>
      </c>
    </row>
    <row r="329" spans="1:6" hidden="1" x14ac:dyDescent="0.3">
      <c r="A329" s="7" t="str">
        <f>_xlfn.XLOOKUP(ColombiaClientes6[[#This Row],[Client]],VpsClientes[Client],VpsClientes[VP],"",0)</f>
        <v>Hector Muraira Garza</v>
      </c>
      <c r="B329" s="53" t="s">
        <v>140</v>
      </c>
      <c r="C329" s="54" t="s">
        <v>92</v>
      </c>
      <c r="D329" s="59" t="s">
        <v>90</v>
      </c>
      <c r="E329" s="59" t="s">
        <v>206</v>
      </c>
      <c r="F329" s="55">
        <v>1051</v>
      </c>
    </row>
    <row r="330" spans="1:6" x14ac:dyDescent="0.3">
      <c r="A330" s="7" t="str">
        <f>_xlfn.XLOOKUP(ColombiaClientes6[[#This Row],[Client]],VpsClientes[Client],VpsClientes[VP],"",0)</f>
        <v>Juan Camilo Granados</v>
      </c>
      <c r="B330" s="53" t="s">
        <v>259</v>
      </c>
      <c r="C330" s="54" t="s">
        <v>192</v>
      </c>
      <c r="D330" s="59" t="s">
        <v>219</v>
      </c>
      <c r="E330" s="59" t="s">
        <v>91</v>
      </c>
      <c r="F330" s="55">
        <v>77</v>
      </c>
    </row>
    <row r="331" spans="1:6" hidden="1" x14ac:dyDescent="0.3">
      <c r="A331" s="7" t="str">
        <f>_xlfn.XLOOKUP(ColombiaClientes6[[#This Row],[Client]],VpsClientes[Client],VpsClientes[VP],"",0)</f>
        <v>Juan Granados Castillo</v>
      </c>
      <c r="B331" s="53" t="s">
        <v>134</v>
      </c>
      <c r="C331" s="54" t="s">
        <v>92</v>
      </c>
      <c r="D331" s="59" t="s">
        <v>90</v>
      </c>
      <c r="E331" s="59" t="s">
        <v>206</v>
      </c>
      <c r="F331" s="55">
        <v>863</v>
      </c>
    </row>
    <row r="332" spans="1:6" x14ac:dyDescent="0.3">
      <c r="A332" s="7" t="str">
        <f>_xlfn.XLOOKUP(ColombiaClientes6[[#This Row],[Client]],VpsClientes[Client],VpsClientes[VP],"",0)</f>
        <v>Juan Camilo Granados</v>
      </c>
      <c r="B332" s="53" t="s">
        <v>259</v>
      </c>
      <c r="C332" s="54" t="s">
        <v>194</v>
      </c>
      <c r="D332" s="59" t="s">
        <v>219</v>
      </c>
      <c r="E332" s="59" t="s">
        <v>91</v>
      </c>
      <c r="F332" s="55">
        <v>72</v>
      </c>
    </row>
    <row r="333" spans="1:6" x14ac:dyDescent="0.3">
      <c r="A333" s="7" t="str">
        <f>_xlfn.XLOOKUP(ColombiaClientes6[[#This Row],[Client]],VpsClientes[Client],VpsClientes[VP],"",0)</f>
        <v>Juan Camilo Granados</v>
      </c>
      <c r="B333" s="53" t="s">
        <v>259</v>
      </c>
      <c r="C333" s="54" t="s">
        <v>202</v>
      </c>
      <c r="D333" s="59" t="s">
        <v>219</v>
      </c>
      <c r="E333" s="59" t="s">
        <v>91</v>
      </c>
      <c r="F333" s="55">
        <v>98</v>
      </c>
    </row>
    <row r="334" spans="1:6" x14ac:dyDescent="0.3">
      <c r="A334" s="7" t="str">
        <f>_xlfn.XLOOKUP(ColombiaClientes6[[#This Row],[Client]],VpsClientes[Client],VpsClientes[VP],"",0)</f>
        <v>Juan Camilo Granados</v>
      </c>
      <c r="B334" s="53" t="s">
        <v>259</v>
      </c>
      <c r="C334" s="54" t="s">
        <v>203</v>
      </c>
      <c r="D334" s="59" t="s">
        <v>219</v>
      </c>
      <c r="E334" s="59" t="s">
        <v>91</v>
      </c>
      <c r="F334" s="55">
        <v>109</v>
      </c>
    </row>
    <row r="335" spans="1:6" x14ac:dyDescent="0.3">
      <c r="A335" s="7" t="str">
        <f>_xlfn.XLOOKUP(ColombiaClientes6[[#This Row],[Client]],VpsClientes[Client],VpsClientes[VP],"",0)</f>
        <v>Juan Camilo Granados</v>
      </c>
      <c r="B335" s="53" t="s">
        <v>259</v>
      </c>
      <c r="C335" s="54" t="s">
        <v>205</v>
      </c>
      <c r="D335" s="59" t="s">
        <v>219</v>
      </c>
      <c r="E335" s="59" t="s">
        <v>91</v>
      </c>
      <c r="F335" s="55">
        <v>62</v>
      </c>
    </row>
    <row r="336" spans="1:6" x14ac:dyDescent="0.3">
      <c r="A336" s="7" t="str">
        <f>_xlfn.XLOOKUP(ColombiaClientes6[[#This Row],[Client]],VpsClientes[Client],VpsClientes[VP],"",0)</f>
        <v>Juan Camilo Granados</v>
      </c>
      <c r="B336" s="53" t="s">
        <v>259</v>
      </c>
      <c r="C336" s="54" t="s">
        <v>237</v>
      </c>
      <c r="D336" s="59" t="s">
        <v>219</v>
      </c>
      <c r="E336" s="59" t="s">
        <v>91</v>
      </c>
      <c r="F336" s="55">
        <v>4</v>
      </c>
    </row>
    <row r="337" spans="1:6" hidden="1" x14ac:dyDescent="0.3">
      <c r="A337" s="7" t="str">
        <f>_xlfn.XLOOKUP(ColombiaClientes6[[#This Row],[Client]],VpsClientes[Client],VpsClientes[VP],"",0)</f>
        <v>Hector Muraira Garza</v>
      </c>
      <c r="B337" s="53" t="s">
        <v>167</v>
      </c>
      <c r="C337" s="54" t="s">
        <v>92</v>
      </c>
      <c r="D337" s="59" t="s">
        <v>90</v>
      </c>
      <c r="E337" s="59" t="s">
        <v>206</v>
      </c>
      <c r="F337" s="55">
        <v>539</v>
      </c>
    </row>
    <row r="338" spans="1:6" x14ac:dyDescent="0.3">
      <c r="A338" s="7" t="str">
        <f>_xlfn.XLOOKUP(ColombiaClientes6[[#This Row],[Client]],VpsClientes[Client],VpsClientes[VP],"",0)</f>
        <v>Juan Camilo Granados</v>
      </c>
      <c r="B338" s="53" t="s">
        <v>259</v>
      </c>
      <c r="C338" s="54" t="s">
        <v>92</v>
      </c>
      <c r="D338" s="59" t="s">
        <v>219</v>
      </c>
      <c r="E338" s="59" t="s">
        <v>206</v>
      </c>
      <c r="F338" s="55">
        <v>0</v>
      </c>
    </row>
    <row r="339" spans="1:6" x14ac:dyDescent="0.3">
      <c r="A339" s="7" t="str">
        <f>_xlfn.XLOOKUP(ColombiaClientes6[[#This Row],[Client]],VpsClientes[Client],VpsClientes[VP],"",0)</f>
        <v>Juan Camilo Granados</v>
      </c>
      <c r="B339" s="53" t="s">
        <v>259</v>
      </c>
      <c r="C339" s="54" t="s">
        <v>191</v>
      </c>
      <c r="D339" s="59" t="s">
        <v>219</v>
      </c>
      <c r="E339" s="59" t="s">
        <v>206</v>
      </c>
      <c r="F339" s="55">
        <v>21</v>
      </c>
    </row>
    <row r="340" spans="1:6" x14ac:dyDescent="0.3">
      <c r="A340" s="7" t="str">
        <f>_xlfn.XLOOKUP(ColombiaClientes6[[#This Row],[Client]],VpsClientes[Client],VpsClientes[VP],"",0)</f>
        <v>Juan Camilo Granados</v>
      </c>
      <c r="B340" s="53" t="s">
        <v>259</v>
      </c>
      <c r="C340" s="54" t="s">
        <v>192</v>
      </c>
      <c r="D340" s="59" t="s">
        <v>219</v>
      </c>
      <c r="E340" s="59" t="s">
        <v>206</v>
      </c>
      <c r="F340" s="55">
        <v>3</v>
      </c>
    </row>
    <row r="341" spans="1:6" x14ac:dyDescent="0.3">
      <c r="A341" s="7" t="str">
        <f>_xlfn.XLOOKUP(ColombiaClientes6[[#This Row],[Client]],VpsClientes[Client],VpsClientes[VP],"",0)</f>
        <v>Juan Camilo Granados</v>
      </c>
      <c r="B341" s="53" t="s">
        <v>259</v>
      </c>
      <c r="C341" s="54" t="s">
        <v>194</v>
      </c>
      <c r="D341" s="59" t="s">
        <v>219</v>
      </c>
      <c r="E341" s="59" t="s">
        <v>206</v>
      </c>
      <c r="F341" s="55">
        <v>0</v>
      </c>
    </row>
    <row r="342" spans="1:6" x14ac:dyDescent="0.3">
      <c r="A342" s="7" t="str">
        <f>_xlfn.XLOOKUP(ColombiaClientes6[[#This Row],[Client]],VpsClientes[Client],VpsClientes[VP],"",0)</f>
        <v>Juan Camilo Granados</v>
      </c>
      <c r="B342" s="53" t="s">
        <v>259</v>
      </c>
      <c r="C342" s="54" t="s">
        <v>202</v>
      </c>
      <c r="D342" s="59" t="s">
        <v>219</v>
      </c>
      <c r="E342" s="59" t="s">
        <v>206</v>
      </c>
      <c r="F342" s="55">
        <v>7</v>
      </c>
    </row>
    <row r="343" spans="1:6" x14ac:dyDescent="0.3">
      <c r="A343" s="7" t="str">
        <f>_xlfn.XLOOKUP(ColombiaClientes6[[#This Row],[Client]],VpsClientes[Client],VpsClientes[VP],"",0)</f>
        <v>Juan Camilo Granados</v>
      </c>
      <c r="B343" s="53" t="s">
        <v>259</v>
      </c>
      <c r="C343" s="54" t="s">
        <v>203</v>
      </c>
      <c r="D343" s="59" t="s">
        <v>219</v>
      </c>
      <c r="E343" s="59" t="s">
        <v>206</v>
      </c>
      <c r="F343" s="55">
        <v>42</v>
      </c>
    </row>
    <row r="344" spans="1:6" x14ac:dyDescent="0.3">
      <c r="A344" s="7" t="str">
        <f>_xlfn.XLOOKUP(ColombiaClientes6[[#This Row],[Client]],VpsClientes[Client],VpsClientes[VP],"",0)</f>
        <v>Juan Camilo Granados</v>
      </c>
      <c r="B344" s="53" t="s">
        <v>259</v>
      </c>
      <c r="C344" s="54" t="s">
        <v>205</v>
      </c>
      <c r="D344" s="59" t="s">
        <v>219</v>
      </c>
      <c r="E344" s="59" t="s">
        <v>206</v>
      </c>
      <c r="F344" s="55">
        <v>0</v>
      </c>
    </row>
    <row r="345" spans="1:6" x14ac:dyDescent="0.3">
      <c r="A345" s="7" t="str">
        <f>_xlfn.XLOOKUP(ColombiaClientes6[[#This Row],[Client]],VpsClientes[Client],VpsClientes[VP],"",0)</f>
        <v>Hector Muraira Garza</v>
      </c>
      <c r="B345" s="53" t="s">
        <v>264</v>
      </c>
      <c r="C345" s="54" t="s">
        <v>191</v>
      </c>
      <c r="D345" s="59" t="s">
        <v>90</v>
      </c>
      <c r="E345" s="59" t="s">
        <v>91</v>
      </c>
      <c r="F345" s="55">
        <v>232</v>
      </c>
    </row>
    <row r="346" spans="1:6" hidden="1" x14ac:dyDescent="0.3">
      <c r="A346" s="7" t="str">
        <f>_xlfn.XLOOKUP(ColombiaClientes6[[#This Row],[Client]],VpsClientes[Client],VpsClientes[VP],"",0)</f>
        <v>Carlos Beltran Hernandez</v>
      </c>
      <c r="B346" s="58" t="s">
        <v>93</v>
      </c>
      <c r="C346" s="10" t="s">
        <v>191</v>
      </c>
      <c r="D346" s="59" t="s">
        <v>90</v>
      </c>
      <c r="E346" s="59" t="s">
        <v>206</v>
      </c>
      <c r="F346" s="60">
        <v>19506</v>
      </c>
    </row>
    <row r="347" spans="1:6" x14ac:dyDescent="0.3">
      <c r="A347" s="7" t="str">
        <f>_xlfn.XLOOKUP(ColombiaClientes6[[#This Row],[Client]],VpsClientes[Client],VpsClientes[VP],"",0)</f>
        <v>Hector Muraira Garza</v>
      </c>
      <c r="B347" s="58" t="s">
        <v>264</v>
      </c>
      <c r="C347" s="59" t="s">
        <v>192</v>
      </c>
      <c r="D347" s="59" t="s">
        <v>90</v>
      </c>
      <c r="E347" s="59" t="s">
        <v>91</v>
      </c>
      <c r="F347" s="60">
        <v>1692</v>
      </c>
    </row>
    <row r="348" spans="1:6" hidden="1" x14ac:dyDescent="0.3">
      <c r="A348" s="7" t="str">
        <f>_xlfn.XLOOKUP(ColombiaClientes6[[#This Row],[Client]],VpsClientes[Client],VpsClientes[VP],"",0)</f>
        <v>Ludy Torres Benitez</v>
      </c>
      <c r="B348" s="58" t="s">
        <v>95</v>
      </c>
      <c r="C348" s="59" t="s">
        <v>191</v>
      </c>
      <c r="D348" s="59" t="s">
        <v>90</v>
      </c>
      <c r="E348" s="59" t="s">
        <v>206</v>
      </c>
      <c r="F348" s="60">
        <v>6494</v>
      </c>
    </row>
    <row r="349" spans="1:6" hidden="1" x14ac:dyDescent="0.3">
      <c r="A349" s="7" t="str">
        <f>_xlfn.XLOOKUP(ColombiaClientes6[[#This Row],[Client]],VpsClientes[Client],VpsClientes[VP],"",0)</f>
        <v>Sandra Romero Zuluaga</v>
      </c>
      <c r="B349" s="58" t="s">
        <v>113</v>
      </c>
      <c r="C349" s="59" t="s">
        <v>191</v>
      </c>
      <c r="D349" s="59" t="s">
        <v>90</v>
      </c>
      <c r="E349" s="59" t="s">
        <v>206</v>
      </c>
      <c r="F349" s="60">
        <v>5704</v>
      </c>
    </row>
    <row r="350" spans="1:6" hidden="1" x14ac:dyDescent="0.3">
      <c r="A350" s="7" t="str">
        <f>_xlfn.XLOOKUP(ColombiaClientes6[[#This Row],[Client]],VpsClientes[Client],VpsClientes[VP],"",0)</f>
        <v>Hector Muraira Garza</v>
      </c>
      <c r="B350" s="58" t="s">
        <v>164</v>
      </c>
      <c r="C350" s="59" t="s">
        <v>191</v>
      </c>
      <c r="D350" s="59" t="s">
        <v>90</v>
      </c>
      <c r="E350" s="59" t="s">
        <v>206</v>
      </c>
      <c r="F350" s="60">
        <v>5149</v>
      </c>
    </row>
    <row r="351" spans="1:6" hidden="1" x14ac:dyDescent="0.3">
      <c r="A351" s="7" t="str">
        <f>_xlfn.XLOOKUP(ColombiaClientes6[[#This Row],[Client]],VpsClientes[Client],VpsClientes[VP],"",0)</f>
        <v>Javier Orjuela Sarmiento</v>
      </c>
      <c r="B351" s="58" t="s">
        <v>133</v>
      </c>
      <c r="C351" s="59" t="s">
        <v>191</v>
      </c>
      <c r="D351" s="59" t="s">
        <v>90</v>
      </c>
      <c r="E351" s="59" t="s">
        <v>206</v>
      </c>
      <c r="F351" s="60">
        <v>4795</v>
      </c>
    </row>
    <row r="352" spans="1:6" x14ac:dyDescent="0.3">
      <c r="A352" s="7" t="str">
        <f>_xlfn.XLOOKUP(ColombiaClientes6[[#This Row],[Client]],VpsClientes[Client],VpsClientes[VP],"",0)</f>
        <v>Hector Muraira Garza</v>
      </c>
      <c r="B352" s="58" t="s">
        <v>264</v>
      </c>
      <c r="C352" s="59" t="s">
        <v>194</v>
      </c>
      <c r="D352" s="59" t="s">
        <v>90</v>
      </c>
      <c r="E352" s="59" t="s">
        <v>91</v>
      </c>
      <c r="F352" s="60">
        <v>1348</v>
      </c>
    </row>
    <row r="353" spans="1:6" x14ac:dyDescent="0.3">
      <c r="A353" s="7" t="str">
        <f>_xlfn.XLOOKUP(ColombiaClientes6[[#This Row],[Client]],VpsClientes[Client],VpsClientes[VP],"",0)</f>
        <v>Hector Muraira Garza</v>
      </c>
      <c r="B353" s="58" t="s">
        <v>264</v>
      </c>
      <c r="C353" s="59" t="s">
        <v>202</v>
      </c>
      <c r="D353" s="59" t="s">
        <v>90</v>
      </c>
      <c r="E353" s="59" t="s">
        <v>91</v>
      </c>
      <c r="F353" s="60">
        <v>1568</v>
      </c>
    </row>
    <row r="354" spans="1:6" x14ac:dyDescent="0.3">
      <c r="A354" s="7" t="str">
        <f>_xlfn.XLOOKUP(ColombiaClientes6[[#This Row],[Client]],VpsClientes[Client],VpsClientes[VP],"",0)</f>
        <v>Hector Muraira Garza</v>
      </c>
      <c r="B354" s="58" t="s">
        <v>264</v>
      </c>
      <c r="C354" s="59" t="s">
        <v>203</v>
      </c>
      <c r="D354" s="59" t="s">
        <v>90</v>
      </c>
      <c r="E354" s="59" t="s">
        <v>91</v>
      </c>
      <c r="F354" s="60">
        <v>1063</v>
      </c>
    </row>
    <row r="355" spans="1:6" x14ac:dyDescent="0.3">
      <c r="A355" s="7" t="str">
        <f>_xlfn.XLOOKUP(ColombiaClientes6[[#This Row],[Client]],VpsClientes[Client],VpsClientes[VP],"",0)</f>
        <v>Hector Muraira Garza</v>
      </c>
      <c r="B355" s="58" t="s">
        <v>264</v>
      </c>
      <c r="C355" s="59" t="s">
        <v>205</v>
      </c>
      <c r="D355" s="59" t="s">
        <v>90</v>
      </c>
      <c r="E355" s="59" t="s">
        <v>91</v>
      </c>
      <c r="F355" s="60">
        <v>2809</v>
      </c>
    </row>
    <row r="356" spans="1:6" hidden="1" x14ac:dyDescent="0.3">
      <c r="A356" s="7" t="str">
        <f>_xlfn.XLOOKUP(ColombiaClientes6[[#This Row],[Client]],VpsClientes[Client],VpsClientes[VP],"",0)</f>
        <v>Hector Muraira Garza</v>
      </c>
      <c r="B356" s="58" t="s">
        <v>132</v>
      </c>
      <c r="C356" s="59" t="s">
        <v>191</v>
      </c>
      <c r="D356" s="59" t="s">
        <v>90</v>
      </c>
      <c r="E356" s="59" t="s">
        <v>206</v>
      </c>
      <c r="F356" s="60">
        <v>2103</v>
      </c>
    </row>
    <row r="357" spans="1:6" hidden="1" x14ac:dyDescent="0.3">
      <c r="A357" s="7" t="str">
        <f>_xlfn.XLOOKUP(ColombiaClientes6[[#This Row],[Client]],VpsClientes[Client],VpsClientes[VP],"",0)</f>
        <v>Jhonatan Izquierdo Rico</v>
      </c>
      <c r="B357" s="58" t="s">
        <v>104</v>
      </c>
      <c r="C357" s="59" t="s">
        <v>191</v>
      </c>
      <c r="D357" s="59" t="s">
        <v>90</v>
      </c>
      <c r="E357" s="59" t="s">
        <v>206</v>
      </c>
      <c r="F357" s="60">
        <v>1526</v>
      </c>
    </row>
    <row r="358" spans="1:6" hidden="1" x14ac:dyDescent="0.3">
      <c r="A358" s="7" t="str">
        <f>_xlfn.XLOOKUP(ColombiaClientes6[[#This Row],[Client]],VpsClientes[Client],VpsClientes[VP],"",0)</f>
        <v>Moises Saavedra Garcia</v>
      </c>
      <c r="B358" s="58" t="s">
        <v>110</v>
      </c>
      <c r="C358" s="59" t="s">
        <v>191</v>
      </c>
      <c r="D358" s="59" t="s">
        <v>90</v>
      </c>
      <c r="E358" s="59" t="s">
        <v>206</v>
      </c>
      <c r="F358" s="60">
        <v>1462</v>
      </c>
    </row>
    <row r="359" spans="1:6" x14ac:dyDescent="0.3">
      <c r="A359" s="7" t="str">
        <f>_xlfn.XLOOKUP(ColombiaClientes6[[#This Row],[Client]],VpsClientes[Client],VpsClientes[VP],"",0)</f>
        <v>Hector Muraira Garza</v>
      </c>
      <c r="B359" s="58" t="s">
        <v>264</v>
      </c>
      <c r="C359" s="59" t="s">
        <v>237</v>
      </c>
      <c r="D359" s="59" t="s">
        <v>90</v>
      </c>
      <c r="E359" s="59" t="s">
        <v>91</v>
      </c>
      <c r="F359" s="60">
        <v>75</v>
      </c>
    </row>
    <row r="360" spans="1:6" x14ac:dyDescent="0.3">
      <c r="A360" s="7" t="str">
        <f>_xlfn.XLOOKUP(ColombiaClientes6[[#This Row],[Client]],VpsClientes[Client],VpsClientes[VP],"",0)</f>
        <v>Hector Muraira Garza</v>
      </c>
      <c r="B360" s="58" t="s">
        <v>264</v>
      </c>
      <c r="C360" s="59" t="s">
        <v>191</v>
      </c>
      <c r="D360" s="59" t="s">
        <v>90</v>
      </c>
      <c r="E360" s="59" t="s">
        <v>206</v>
      </c>
      <c r="F360" s="60">
        <v>673</v>
      </c>
    </row>
    <row r="361" spans="1:6" hidden="1" x14ac:dyDescent="0.3">
      <c r="A361" s="7" t="str">
        <f>_xlfn.XLOOKUP(ColombiaClientes6[[#This Row],[Client]],VpsClientes[Client],VpsClientes[VP],"",0)</f>
        <v>Jhonatan Izquierdo Rico</v>
      </c>
      <c r="B361" s="58" t="s">
        <v>157</v>
      </c>
      <c r="C361" s="59" t="s">
        <v>191</v>
      </c>
      <c r="D361" s="59" t="s">
        <v>90</v>
      </c>
      <c r="E361" s="59" t="s">
        <v>206</v>
      </c>
      <c r="F361" s="60">
        <v>949</v>
      </c>
    </row>
    <row r="362" spans="1:6" x14ac:dyDescent="0.3">
      <c r="A362" s="7" t="str">
        <f>_xlfn.XLOOKUP(ColombiaClientes6[[#This Row],[Client]],VpsClientes[Client],VpsClientes[VP],"",0)</f>
        <v>Hector Muraira Garza</v>
      </c>
      <c r="B362" s="58" t="s">
        <v>264</v>
      </c>
      <c r="C362" s="59" t="s">
        <v>192</v>
      </c>
      <c r="D362" s="59" t="s">
        <v>90</v>
      </c>
      <c r="E362" s="59" t="s">
        <v>206</v>
      </c>
      <c r="F362" s="60">
        <v>1028</v>
      </c>
    </row>
    <row r="363" spans="1:6" hidden="1" x14ac:dyDescent="0.3">
      <c r="A363" s="7" t="str">
        <f>_xlfn.XLOOKUP(ColombiaClientes6[[#This Row],[Client]],VpsClientes[Client],VpsClientes[VP],"",0)</f>
        <v>Juan Granados Castillo</v>
      </c>
      <c r="B363" s="58" t="s">
        <v>134</v>
      </c>
      <c r="C363" s="59" t="s">
        <v>191</v>
      </c>
      <c r="D363" s="59" t="s">
        <v>90</v>
      </c>
      <c r="E363" s="59" t="s">
        <v>206</v>
      </c>
      <c r="F363" s="60">
        <v>759</v>
      </c>
    </row>
    <row r="364" spans="1:6" hidden="1" x14ac:dyDescent="0.3">
      <c r="A364" s="7" t="str">
        <f>_xlfn.XLOOKUP(ColombiaClientes6[[#This Row],[Client]],VpsClientes[Client],VpsClientes[VP],"",0)</f>
        <v>Hector Muraira Garza</v>
      </c>
      <c r="B364" s="58" t="s">
        <v>140</v>
      </c>
      <c r="C364" s="59" t="s">
        <v>191</v>
      </c>
      <c r="D364" s="59" t="s">
        <v>90</v>
      </c>
      <c r="E364" s="59" t="s">
        <v>206</v>
      </c>
      <c r="F364" s="60">
        <v>751</v>
      </c>
    </row>
    <row r="365" spans="1:6" x14ac:dyDescent="0.3">
      <c r="A365" s="7" t="str">
        <f>_xlfn.XLOOKUP(ColombiaClientes6[[#This Row],[Client]],VpsClientes[Client],VpsClientes[VP],"",0)</f>
        <v>Hector Muraira Garza</v>
      </c>
      <c r="B365" s="58" t="s">
        <v>264</v>
      </c>
      <c r="C365" s="59" t="s">
        <v>194</v>
      </c>
      <c r="D365" s="59" t="s">
        <v>90</v>
      </c>
      <c r="E365" s="59" t="s">
        <v>206</v>
      </c>
      <c r="F365" s="60">
        <v>1335</v>
      </c>
    </row>
    <row r="366" spans="1:6" x14ac:dyDescent="0.3">
      <c r="A366" s="7" t="str">
        <f>_xlfn.XLOOKUP(ColombiaClientes6[[#This Row],[Client]],VpsClientes[Client],VpsClientes[VP],"",0)</f>
        <v>Hector Muraira Garza</v>
      </c>
      <c r="B366" s="58" t="s">
        <v>264</v>
      </c>
      <c r="C366" s="59" t="s">
        <v>202</v>
      </c>
      <c r="D366" s="59" t="s">
        <v>90</v>
      </c>
      <c r="E366" s="59" t="s">
        <v>206</v>
      </c>
      <c r="F366" s="60">
        <v>1739</v>
      </c>
    </row>
    <row r="367" spans="1:6" x14ac:dyDescent="0.3">
      <c r="A367" s="7" t="str">
        <f>_xlfn.XLOOKUP(ColombiaClientes6[[#This Row],[Client]],VpsClientes[Client],VpsClientes[VP],"",0)</f>
        <v>Hector Muraira Garza</v>
      </c>
      <c r="B367" s="58" t="s">
        <v>264</v>
      </c>
      <c r="C367" s="59" t="s">
        <v>203</v>
      </c>
      <c r="D367" s="59" t="s">
        <v>90</v>
      </c>
      <c r="E367" s="59" t="s">
        <v>206</v>
      </c>
      <c r="F367" s="60">
        <v>2066</v>
      </c>
    </row>
    <row r="368" spans="1:6" x14ac:dyDescent="0.3">
      <c r="A368" s="7" t="str">
        <f>_xlfn.XLOOKUP(ColombiaClientes6[[#This Row],[Client]],VpsClientes[Client],VpsClientes[VP],"",0)</f>
        <v>Hector Muraira Garza</v>
      </c>
      <c r="B368" s="58" t="s">
        <v>264</v>
      </c>
      <c r="C368" s="59" t="s">
        <v>205</v>
      </c>
      <c r="D368" s="59" t="s">
        <v>90</v>
      </c>
      <c r="E368" s="59" t="s">
        <v>206</v>
      </c>
      <c r="F368" s="60">
        <v>2545</v>
      </c>
    </row>
    <row r="369" spans="1:6" x14ac:dyDescent="0.3">
      <c r="A369" s="7" t="str">
        <f>_xlfn.XLOOKUP(ColombiaClientes6[[#This Row],[Client]],VpsClientes[Client],VpsClientes[VP],"",0)</f>
        <v>Hector Muraira Garza</v>
      </c>
      <c r="B369" s="58" t="s">
        <v>264</v>
      </c>
      <c r="C369" s="59" t="s">
        <v>237</v>
      </c>
      <c r="D369" s="59" t="s">
        <v>90</v>
      </c>
      <c r="E369" s="59" t="s">
        <v>206</v>
      </c>
      <c r="F369" s="60">
        <v>598</v>
      </c>
    </row>
    <row r="370" spans="1:6" x14ac:dyDescent="0.3">
      <c r="A370" s="7" t="str">
        <f>_xlfn.XLOOKUP(ColombiaClientes6[[#This Row],[Client]],VpsClientes[Client],VpsClientes[VP],"",0)</f>
        <v>Hector Muraira Garza</v>
      </c>
      <c r="B370" s="58" t="s">
        <v>264</v>
      </c>
      <c r="C370" s="59" t="s">
        <v>191</v>
      </c>
      <c r="D370" s="59" t="s">
        <v>219</v>
      </c>
      <c r="E370" s="59" t="s">
        <v>91</v>
      </c>
      <c r="F370" s="60">
        <v>128</v>
      </c>
    </row>
    <row r="371" spans="1:6" x14ac:dyDescent="0.3">
      <c r="A371" s="7" t="str">
        <f>_xlfn.XLOOKUP(ColombiaClientes6[[#This Row],[Client]],VpsClientes[Client],VpsClientes[VP],"",0)</f>
        <v>Hector Muraira Garza</v>
      </c>
      <c r="B371" s="58" t="s">
        <v>264</v>
      </c>
      <c r="C371" s="59" t="s">
        <v>192</v>
      </c>
      <c r="D371" s="59" t="s">
        <v>219</v>
      </c>
      <c r="E371" s="59" t="s">
        <v>91</v>
      </c>
      <c r="F371" s="60">
        <v>202</v>
      </c>
    </row>
    <row r="372" spans="1:6" x14ac:dyDescent="0.3">
      <c r="A372" s="7" t="str">
        <f>_xlfn.XLOOKUP(ColombiaClientes6[[#This Row],[Client]],VpsClientes[Client],VpsClientes[VP],"",0)</f>
        <v>Hector Muraira Garza</v>
      </c>
      <c r="B372" s="58" t="s">
        <v>264</v>
      </c>
      <c r="C372" s="59" t="s">
        <v>194</v>
      </c>
      <c r="D372" s="59" t="s">
        <v>219</v>
      </c>
      <c r="E372" s="59" t="s">
        <v>91</v>
      </c>
      <c r="F372" s="60">
        <v>162</v>
      </c>
    </row>
    <row r="373" spans="1:6" x14ac:dyDescent="0.3">
      <c r="A373" s="7" t="str">
        <f>_xlfn.XLOOKUP(ColombiaClientes6[[#This Row],[Client]],VpsClientes[Client],VpsClientes[VP],"",0)</f>
        <v>Hector Muraira Garza</v>
      </c>
      <c r="B373" s="58" t="s">
        <v>264</v>
      </c>
      <c r="C373" s="59" t="s">
        <v>202</v>
      </c>
      <c r="D373" s="59" t="s">
        <v>219</v>
      </c>
      <c r="E373" s="59" t="s">
        <v>91</v>
      </c>
      <c r="F373" s="60">
        <v>244</v>
      </c>
    </row>
    <row r="374" spans="1:6" x14ac:dyDescent="0.3">
      <c r="A374" s="7" t="str">
        <f>_xlfn.XLOOKUP(ColombiaClientes6[[#This Row],[Client]],VpsClientes[Client],VpsClientes[VP],"",0)</f>
        <v>Hector Muraira Garza</v>
      </c>
      <c r="B374" s="58" t="s">
        <v>264</v>
      </c>
      <c r="C374" s="59" t="s">
        <v>203</v>
      </c>
      <c r="D374" s="59" t="s">
        <v>219</v>
      </c>
      <c r="E374" s="59" t="s">
        <v>91</v>
      </c>
      <c r="F374" s="60">
        <v>409</v>
      </c>
    </row>
    <row r="375" spans="1:6" x14ac:dyDescent="0.3">
      <c r="A375" s="7" t="str">
        <f>_xlfn.XLOOKUP(ColombiaClientes6[[#This Row],[Client]],VpsClientes[Client],VpsClientes[VP],"",0)</f>
        <v>Hector Muraira Garza</v>
      </c>
      <c r="B375" s="58" t="s">
        <v>264</v>
      </c>
      <c r="C375" s="59" t="s">
        <v>205</v>
      </c>
      <c r="D375" s="59" t="s">
        <v>219</v>
      </c>
      <c r="E375" s="59" t="s">
        <v>91</v>
      </c>
      <c r="F375" s="60">
        <v>881</v>
      </c>
    </row>
    <row r="376" spans="1:6" hidden="1" x14ac:dyDescent="0.3">
      <c r="A376" s="7" t="str">
        <f>_xlfn.XLOOKUP(ColombiaClientes6[[#This Row],[Client]],VpsClientes[Client],VpsClientes[VP],"",0)</f>
        <v>Hector Muraira Garza</v>
      </c>
      <c r="B376" s="58" t="s">
        <v>167</v>
      </c>
      <c r="C376" s="59" t="s">
        <v>191</v>
      </c>
      <c r="D376" s="59" t="s">
        <v>90</v>
      </c>
      <c r="E376" s="59" t="s">
        <v>206</v>
      </c>
      <c r="F376" s="60">
        <v>323</v>
      </c>
    </row>
    <row r="377" spans="1:6" hidden="1" x14ac:dyDescent="0.3">
      <c r="A377" s="7" t="str">
        <f>_xlfn.XLOOKUP(ColombiaClientes6[[#This Row],[Client]],VpsClientes[Client],VpsClientes[VP],"",0)</f>
        <v>Martha Guzman Arango</v>
      </c>
      <c r="B377" s="58" t="s">
        <v>199</v>
      </c>
      <c r="C377" s="59" t="s">
        <v>191</v>
      </c>
      <c r="D377" s="59" t="s">
        <v>90</v>
      </c>
      <c r="E377" s="59" t="s">
        <v>206</v>
      </c>
      <c r="F377" s="60">
        <v>287</v>
      </c>
    </row>
    <row r="378" spans="1:6" x14ac:dyDescent="0.3">
      <c r="A378" s="7" t="str">
        <f>_xlfn.XLOOKUP(ColombiaClientes6[[#This Row],[Client]],VpsClientes[Client],VpsClientes[VP],"",0)</f>
        <v>Hector Muraira Garza</v>
      </c>
      <c r="B378" s="58" t="s">
        <v>264</v>
      </c>
      <c r="C378" s="59" t="s">
        <v>237</v>
      </c>
      <c r="D378" s="59" t="s">
        <v>219</v>
      </c>
      <c r="E378" s="59" t="s">
        <v>91</v>
      </c>
      <c r="F378" s="60">
        <v>215</v>
      </c>
    </row>
    <row r="379" spans="1:6" x14ac:dyDescent="0.3">
      <c r="A379" s="7" t="str">
        <f>_xlfn.XLOOKUP(ColombiaClientes6[[#This Row],[Client]],VpsClientes[Client],VpsClientes[VP],"",0)</f>
        <v>Hector Muraira Garza</v>
      </c>
      <c r="B379" s="58" t="s">
        <v>264</v>
      </c>
      <c r="C379" s="59" t="s">
        <v>191</v>
      </c>
      <c r="D379" s="59" t="s">
        <v>219</v>
      </c>
      <c r="E379" s="59" t="s">
        <v>206</v>
      </c>
      <c r="F379" s="60">
        <v>3</v>
      </c>
    </row>
    <row r="380" spans="1:6" x14ac:dyDescent="0.3">
      <c r="A380" s="7" t="str">
        <f>_xlfn.XLOOKUP(ColombiaClientes6[[#This Row],[Client]],VpsClientes[Client],VpsClientes[VP],"",0)</f>
        <v>Hector Muraira Garza</v>
      </c>
      <c r="B380" s="58" t="s">
        <v>264</v>
      </c>
      <c r="C380" s="59" t="s">
        <v>192</v>
      </c>
      <c r="D380" s="59" t="s">
        <v>219</v>
      </c>
      <c r="E380" s="59" t="s">
        <v>206</v>
      </c>
      <c r="F380" s="60">
        <v>25</v>
      </c>
    </row>
    <row r="381" spans="1:6" x14ac:dyDescent="0.3">
      <c r="A381" s="7" t="str">
        <f>_xlfn.XLOOKUP(ColombiaClientes6[[#This Row],[Client]],VpsClientes[Client],VpsClientes[VP],"",0)</f>
        <v>Hector Muraira Garza</v>
      </c>
      <c r="B381" s="58" t="s">
        <v>264</v>
      </c>
      <c r="C381" s="59" t="s">
        <v>194</v>
      </c>
      <c r="D381" s="59" t="s">
        <v>219</v>
      </c>
      <c r="E381" s="59" t="s">
        <v>206</v>
      </c>
      <c r="F381" s="60">
        <v>95</v>
      </c>
    </row>
    <row r="382" spans="1:6" x14ac:dyDescent="0.3">
      <c r="A382" s="7" t="str">
        <f>_xlfn.XLOOKUP(ColombiaClientes6[[#This Row],[Client]],VpsClientes[Client],VpsClientes[VP],"",0)</f>
        <v>Hector Muraira Garza</v>
      </c>
      <c r="B382" s="58" t="s">
        <v>264</v>
      </c>
      <c r="C382" s="59" t="s">
        <v>202</v>
      </c>
      <c r="D382" s="59" t="s">
        <v>219</v>
      </c>
      <c r="E382" s="59" t="s">
        <v>206</v>
      </c>
      <c r="F382" s="60">
        <v>479</v>
      </c>
    </row>
    <row r="383" spans="1:6" hidden="1" x14ac:dyDescent="0.3">
      <c r="A383" s="7" t="str">
        <f>_xlfn.XLOOKUP(ColombiaClientes6[[#This Row],[Client]],VpsClientes[Client],VpsClientes[VP],"",0)</f>
        <v>Carlos Beltran Hernandez</v>
      </c>
      <c r="B383" s="63" t="s">
        <v>93</v>
      </c>
      <c r="C383" s="10" t="s">
        <v>192</v>
      </c>
      <c r="D383" s="87" t="s">
        <v>90</v>
      </c>
      <c r="E383" s="87" t="s">
        <v>206</v>
      </c>
      <c r="F383" s="64">
        <v>17546</v>
      </c>
    </row>
    <row r="384" spans="1:6" x14ac:dyDescent="0.3">
      <c r="A384" s="7" t="str">
        <f>_xlfn.XLOOKUP(ColombiaClientes6[[#This Row],[Client]],VpsClientes[Client],VpsClientes[VP],"",0)</f>
        <v>Hector Muraira Garza</v>
      </c>
      <c r="B384" s="63" t="s">
        <v>264</v>
      </c>
      <c r="C384" s="63" t="s">
        <v>203</v>
      </c>
      <c r="D384" s="87" t="s">
        <v>219</v>
      </c>
      <c r="E384" s="87" t="s">
        <v>206</v>
      </c>
      <c r="F384" s="64">
        <v>162</v>
      </c>
    </row>
    <row r="385" spans="1:6" hidden="1" x14ac:dyDescent="0.3">
      <c r="A385" s="7" t="str">
        <f>_xlfn.XLOOKUP(ColombiaClientes6[[#This Row],[Client]],VpsClientes[Client],VpsClientes[VP],"",0)</f>
        <v>Ludy Torres Benitez</v>
      </c>
      <c r="B385" s="63" t="s">
        <v>95</v>
      </c>
      <c r="C385" s="63" t="s">
        <v>192</v>
      </c>
      <c r="D385" s="87" t="s">
        <v>90</v>
      </c>
      <c r="E385" s="87" t="s">
        <v>206</v>
      </c>
      <c r="F385" s="64">
        <v>4812</v>
      </c>
    </row>
    <row r="386" spans="1:6" hidden="1" x14ac:dyDescent="0.3">
      <c r="A386" s="7" t="str">
        <f>_xlfn.XLOOKUP(ColombiaClientes6[[#This Row],[Client]],VpsClientes[Client],VpsClientes[VP],"",0)</f>
        <v>Javier Orjuela Sarmiento</v>
      </c>
      <c r="B386" s="63" t="s">
        <v>133</v>
      </c>
      <c r="C386" s="63" t="s">
        <v>192</v>
      </c>
      <c r="D386" s="87" t="s">
        <v>90</v>
      </c>
      <c r="E386" s="87" t="s">
        <v>206</v>
      </c>
      <c r="F386" s="64">
        <v>4481</v>
      </c>
    </row>
    <row r="387" spans="1:6" hidden="1" x14ac:dyDescent="0.3">
      <c r="A387" s="7" t="str">
        <f>_xlfn.XLOOKUP(ColombiaClientes6[[#This Row],[Client]],VpsClientes[Client],VpsClientes[VP],"",0)</f>
        <v>Hector Muraira Garza</v>
      </c>
      <c r="B387" s="63" t="s">
        <v>164</v>
      </c>
      <c r="C387" s="63" t="s">
        <v>192</v>
      </c>
      <c r="D387" s="87" t="s">
        <v>90</v>
      </c>
      <c r="E387" s="87" t="s">
        <v>206</v>
      </c>
      <c r="F387" s="64">
        <v>3733</v>
      </c>
    </row>
    <row r="388" spans="1:6" x14ac:dyDescent="0.3">
      <c r="A388" s="7" t="str">
        <f>_xlfn.XLOOKUP(ColombiaClientes6[[#This Row],[Client]],VpsClientes[Client],VpsClientes[VP],"",0)</f>
        <v>Hector Muraira Garza</v>
      </c>
      <c r="B388" s="63" t="s">
        <v>264</v>
      </c>
      <c r="C388" s="63" t="s">
        <v>205</v>
      </c>
      <c r="D388" s="87" t="s">
        <v>219</v>
      </c>
      <c r="E388" s="87" t="s">
        <v>206</v>
      </c>
      <c r="F388" s="64">
        <v>138</v>
      </c>
    </row>
    <row r="389" spans="1:6" x14ac:dyDescent="0.3">
      <c r="A389" s="7" t="str">
        <f>_xlfn.XLOOKUP(ColombiaClientes6[[#This Row],[Client]],VpsClientes[Client],VpsClientes[VP],"",0)</f>
        <v>Hector Muraira Garza</v>
      </c>
      <c r="B389" s="63" t="s">
        <v>264</v>
      </c>
      <c r="C389" s="63" t="s">
        <v>237</v>
      </c>
      <c r="D389" s="87" t="s">
        <v>219</v>
      </c>
      <c r="E389" s="87" t="s">
        <v>206</v>
      </c>
      <c r="F389" s="64">
        <v>53</v>
      </c>
    </row>
    <row r="390" spans="1:6" hidden="1" x14ac:dyDescent="0.3">
      <c r="A390" s="7" t="str">
        <f>_xlfn.XLOOKUP(ColombiaClientes6[[#This Row],[Client]],VpsClientes[Client],VpsClientes[VP],"",0)</f>
        <v>Sandra Romero Zuluaga</v>
      </c>
      <c r="B390" s="63" t="s">
        <v>113</v>
      </c>
      <c r="C390" s="63" t="s">
        <v>192</v>
      </c>
      <c r="D390" s="87" t="s">
        <v>90</v>
      </c>
      <c r="E390" s="87" t="s">
        <v>206</v>
      </c>
      <c r="F390" s="64">
        <v>2480</v>
      </c>
    </row>
    <row r="391" spans="1:6" hidden="1" x14ac:dyDescent="0.3">
      <c r="A391" s="7" t="str">
        <f>_xlfn.XLOOKUP(ColombiaClientes6[[#This Row],[Client]],VpsClientes[Client],VpsClientes[VP],"",0)</f>
        <v>Jhonatan Izquierdo Rico</v>
      </c>
      <c r="B391" s="63" t="s">
        <v>104</v>
      </c>
      <c r="C391" s="63" t="s">
        <v>192</v>
      </c>
      <c r="D391" s="87" t="s">
        <v>90</v>
      </c>
      <c r="E391" s="87" t="s">
        <v>206</v>
      </c>
      <c r="F391" s="64">
        <v>2377</v>
      </c>
    </row>
    <row r="392" spans="1:6" x14ac:dyDescent="0.3">
      <c r="A392" s="7" t="str">
        <f>_xlfn.XLOOKUP(ColombiaClientes6[[#This Row],[Client]],VpsClientes[Client],VpsClientes[VP],"",0)</f>
        <v>Sebastian Rojas Fernandez</v>
      </c>
      <c r="B392" s="63" t="s">
        <v>257</v>
      </c>
      <c r="C392" s="63" t="s">
        <v>92</v>
      </c>
      <c r="D392" s="87" t="s">
        <v>90</v>
      </c>
      <c r="E392" s="87" t="s">
        <v>91</v>
      </c>
      <c r="F392" s="64">
        <v>133</v>
      </c>
    </row>
    <row r="393" spans="1:6" x14ac:dyDescent="0.3">
      <c r="A393" s="7" t="str">
        <f>_xlfn.XLOOKUP(ColombiaClientes6[[#This Row],[Client]],VpsClientes[Client],VpsClientes[VP],"",0)</f>
        <v>Sebastian Rojas Fernandez</v>
      </c>
      <c r="B393" s="63" t="s">
        <v>257</v>
      </c>
      <c r="C393" s="63" t="s">
        <v>191</v>
      </c>
      <c r="D393" s="87" t="s">
        <v>90</v>
      </c>
      <c r="E393" s="87" t="s">
        <v>91</v>
      </c>
      <c r="F393" s="64">
        <v>238</v>
      </c>
    </row>
    <row r="394" spans="1:6" hidden="1" x14ac:dyDescent="0.3">
      <c r="A394" s="7" t="str">
        <f>_xlfn.XLOOKUP(ColombiaClientes6[[#This Row],[Client]],VpsClientes[Client],VpsClientes[VP],"",0)</f>
        <v>Hector Muraira Garza</v>
      </c>
      <c r="B394" s="63" t="s">
        <v>132</v>
      </c>
      <c r="C394" s="63" t="s">
        <v>192</v>
      </c>
      <c r="D394" s="87" t="s">
        <v>90</v>
      </c>
      <c r="E394" s="87" t="s">
        <v>206</v>
      </c>
      <c r="F394" s="64">
        <v>2018</v>
      </c>
    </row>
    <row r="395" spans="1:6" hidden="1" x14ac:dyDescent="0.3">
      <c r="A395" s="7" t="str">
        <f>_xlfn.XLOOKUP(ColombiaClientes6[[#This Row],[Client]],VpsClientes[Client],VpsClientes[VP],"",0)</f>
        <v>Martha Guzman Arango</v>
      </c>
      <c r="B395" s="63" t="s">
        <v>199</v>
      </c>
      <c r="C395" s="63" t="s">
        <v>192</v>
      </c>
      <c r="D395" s="87" t="s">
        <v>90</v>
      </c>
      <c r="E395" s="87" t="s">
        <v>206</v>
      </c>
      <c r="F395" s="64">
        <v>1938</v>
      </c>
    </row>
    <row r="396" spans="1:6" hidden="1" x14ac:dyDescent="0.3">
      <c r="A396" s="7" t="str">
        <f>_xlfn.XLOOKUP(ColombiaClientes6[[#This Row],[Client]],VpsClientes[Client],VpsClientes[VP],"",0)</f>
        <v>Juan Granados Castillo</v>
      </c>
      <c r="B396" s="63" t="s">
        <v>134</v>
      </c>
      <c r="C396" s="63" t="s">
        <v>192</v>
      </c>
      <c r="D396" s="87" t="s">
        <v>90</v>
      </c>
      <c r="E396" s="87" t="s">
        <v>206</v>
      </c>
      <c r="F396" s="64">
        <v>1236</v>
      </c>
    </row>
    <row r="397" spans="1:6" x14ac:dyDescent="0.3">
      <c r="A397" s="7" t="str">
        <f>_xlfn.XLOOKUP(ColombiaClientes6[[#This Row],[Client]],VpsClientes[Client],VpsClientes[VP],"",0)</f>
        <v>Sebastian Rojas Fernandez</v>
      </c>
      <c r="B397" s="63" t="s">
        <v>257</v>
      </c>
      <c r="C397" s="63" t="s">
        <v>192</v>
      </c>
      <c r="D397" s="87" t="s">
        <v>90</v>
      </c>
      <c r="E397" s="87" t="s">
        <v>91</v>
      </c>
      <c r="F397" s="64">
        <v>115</v>
      </c>
    </row>
    <row r="398" spans="1:6" x14ac:dyDescent="0.3">
      <c r="A398" s="7" t="str">
        <f>_xlfn.XLOOKUP(ColombiaClientes6[[#This Row],[Client]],VpsClientes[Client],VpsClientes[VP],"",0)</f>
        <v>Sebastian Rojas Fernandez</v>
      </c>
      <c r="B398" s="63" t="s">
        <v>257</v>
      </c>
      <c r="C398" s="63" t="s">
        <v>194</v>
      </c>
      <c r="D398" s="87" t="s">
        <v>90</v>
      </c>
      <c r="E398" s="87" t="s">
        <v>91</v>
      </c>
      <c r="F398" s="64">
        <v>39</v>
      </c>
    </row>
    <row r="399" spans="1:6" x14ac:dyDescent="0.3">
      <c r="A399" s="7" t="str">
        <f>_xlfn.XLOOKUP(ColombiaClientes6[[#This Row],[Client]],VpsClientes[Client],VpsClientes[VP],"",0)</f>
        <v>Sebastian Rojas Fernandez</v>
      </c>
      <c r="B399" s="63" t="s">
        <v>257</v>
      </c>
      <c r="C399" s="63" t="s">
        <v>202</v>
      </c>
      <c r="D399" s="87" t="s">
        <v>90</v>
      </c>
      <c r="E399" s="87" t="s">
        <v>91</v>
      </c>
      <c r="F399" s="64">
        <v>64</v>
      </c>
    </row>
    <row r="400" spans="1:6" hidden="1" x14ac:dyDescent="0.3">
      <c r="A400" s="7" t="str">
        <f>_xlfn.XLOOKUP(ColombiaClientes6[[#This Row],[Client]],VpsClientes[Client],VpsClientes[VP],"",0)</f>
        <v>Moises Saavedra Garcia</v>
      </c>
      <c r="B400" s="63" t="s">
        <v>201</v>
      </c>
      <c r="C400" s="63" t="s">
        <v>192</v>
      </c>
      <c r="D400" s="87" t="s">
        <v>90</v>
      </c>
      <c r="E400" s="87" t="s">
        <v>206</v>
      </c>
      <c r="F400" s="64">
        <v>739</v>
      </c>
    </row>
    <row r="401" spans="1:6" x14ac:dyDescent="0.3">
      <c r="A401" s="7" t="str">
        <f>_xlfn.XLOOKUP(ColombiaClientes6[[#This Row],[Client]],VpsClientes[Client],VpsClientes[VP],"",0)</f>
        <v>Sebastian Rojas Fernandez</v>
      </c>
      <c r="B401" s="63" t="s">
        <v>257</v>
      </c>
      <c r="C401" s="63" t="s">
        <v>203</v>
      </c>
      <c r="D401" s="87" t="s">
        <v>90</v>
      </c>
      <c r="E401" s="87" t="s">
        <v>91</v>
      </c>
      <c r="F401" s="64">
        <v>72</v>
      </c>
    </row>
    <row r="402" spans="1:6" x14ac:dyDescent="0.3">
      <c r="A402" s="7" t="str">
        <f>_xlfn.XLOOKUP(ColombiaClientes6[[#This Row],[Client]],VpsClientes[Client],VpsClientes[VP],"",0)</f>
        <v>Sebastian Rojas Fernandez</v>
      </c>
      <c r="B402" s="63" t="s">
        <v>257</v>
      </c>
      <c r="C402" s="63" t="s">
        <v>205</v>
      </c>
      <c r="D402" s="87" t="s">
        <v>90</v>
      </c>
      <c r="E402" s="87" t="s">
        <v>91</v>
      </c>
      <c r="F402" s="64">
        <v>124</v>
      </c>
    </row>
    <row r="403" spans="1:6" x14ac:dyDescent="0.3">
      <c r="A403" s="7" t="str">
        <f>_xlfn.XLOOKUP(ColombiaClientes6[[#This Row],[Client]],VpsClientes[Client],VpsClientes[VP],"",0)</f>
        <v>Sebastian Rojas Fernandez</v>
      </c>
      <c r="B403" s="63" t="s">
        <v>257</v>
      </c>
      <c r="C403" s="63" t="s">
        <v>237</v>
      </c>
      <c r="D403" s="87" t="s">
        <v>90</v>
      </c>
      <c r="E403" s="87" t="s">
        <v>91</v>
      </c>
      <c r="F403" s="64">
        <v>0</v>
      </c>
    </row>
    <row r="404" spans="1:6" x14ac:dyDescent="0.3">
      <c r="A404" s="7" t="str">
        <f>_xlfn.XLOOKUP(ColombiaClientes6[[#This Row],[Client]],VpsClientes[Client],VpsClientes[VP],"",0)</f>
        <v>Sebastian Rojas Fernandez</v>
      </c>
      <c r="B404" s="63" t="s">
        <v>257</v>
      </c>
      <c r="C404" s="63" t="s">
        <v>92</v>
      </c>
      <c r="D404" s="87" t="s">
        <v>90</v>
      </c>
      <c r="E404" s="87" t="s">
        <v>206</v>
      </c>
      <c r="F404" s="64">
        <v>595</v>
      </c>
    </row>
    <row r="405" spans="1:6" hidden="1" x14ac:dyDescent="0.3">
      <c r="A405" s="7" t="str">
        <f>_xlfn.XLOOKUP(ColombiaClientes6[[#This Row],[Client]],VpsClientes[Client],VpsClientes[VP],"",0)</f>
        <v>Moises Saavedra Garcia</v>
      </c>
      <c r="B405" s="63" t="s">
        <v>110</v>
      </c>
      <c r="C405" s="63" t="s">
        <v>192</v>
      </c>
      <c r="D405" s="87" t="s">
        <v>90</v>
      </c>
      <c r="E405" s="87" t="s">
        <v>206</v>
      </c>
      <c r="F405" s="64">
        <v>566</v>
      </c>
    </row>
    <row r="406" spans="1:6" hidden="1" x14ac:dyDescent="0.3">
      <c r="A406" s="7" t="str">
        <f>_xlfn.XLOOKUP(ColombiaClientes6[[#This Row],[Client]],VpsClientes[Client],VpsClientes[VP],"",0)</f>
        <v>Jhonatan Izquierdo Rico</v>
      </c>
      <c r="B406" s="63" t="s">
        <v>157</v>
      </c>
      <c r="C406" s="63" t="s">
        <v>192</v>
      </c>
      <c r="D406" s="87" t="s">
        <v>90</v>
      </c>
      <c r="E406" s="87" t="s">
        <v>206</v>
      </c>
      <c r="F406" s="64">
        <v>543</v>
      </c>
    </row>
    <row r="407" spans="1:6" x14ac:dyDescent="0.3">
      <c r="A407" s="7" t="str">
        <f>_xlfn.XLOOKUP(ColombiaClientes6[[#This Row],[Client]],VpsClientes[Client],VpsClientes[VP],"",0)</f>
        <v>Sebastian Rojas Fernandez</v>
      </c>
      <c r="B407" s="63" t="s">
        <v>257</v>
      </c>
      <c r="C407" s="63" t="s">
        <v>191</v>
      </c>
      <c r="D407" s="87" t="s">
        <v>90</v>
      </c>
      <c r="E407" s="87" t="s">
        <v>206</v>
      </c>
      <c r="F407" s="64">
        <v>526</v>
      </c>
    </row>
    <row r="408" spans="1:6" x14ac:dyDescent="0.3">
      <c r="A408" s="7" t="str">
        <f>_xlfn.XLOOKUP(ColombiaClientes6[[#This Row],[Client]],VpsClientes[Client],VpsClientes[VP],"",0)</f>
        <v>Sebastian Rojas Fernandez</v>
      </c>
      <c r="B408" s="63" t="s">
        <v>257</v>
      </c>
      <c r="C408" s="63" t="s">
        <v>192</v>
      </c>
      <c r="D408" s="87" t="s">
        <v>90</v>
      </c>
      <c r="E408" s="87" t="s">
        <v>206</v>
      </c>
      <c r="F408" s="64">
        <v>504</v>
      </c>
    </row>
    <row r="409" spans="1:6" x14ac:dyDescent="0.3">
      <c r="A409" s="7" t="str">
        <f>_xlfn.XLOOKUP(ColombiaClientes6[[#This Row],[Client]],VpsClientes[Client],VpsClientes[VP],"",0)</f>
        <v>Sebastian Rojas Fernandez</v>
      </c>
      <c r="B409" s="63" t="s">
        <v>257</v>
      </c>
      <c r="C409" s="63" t="s">
        <v>194</v>
      </c>
      <c r="D409" s="87" t="s">
        <v>90</v>
      </c>
      <c r="E409" s="87" t="s">
        <v>206</v>
      </c>
      <c r="F409" s="64">
        <v>282</v>
      </c>
    </row>
    <row r="410" spans="1:6" hidden="1" x14ac:dyDescent="0.3">
      <c r="A410" s="7" t="str">
        <f>_xlfn.XLOOKUP(ColombiaClientes6[[#This Row],[Client]],VpsClientes[Client],VpsClientes[VP],"",0)</f>
        <v>Hector Muraira Garza</v>
      </c>
      <c r="B410" s="63" t="s">
        <v>140</v>
      </c>
      <c r="C410" s="63" t="s">
        <v>192</v>
      </c>
      <c r="D410" s="87" t="s">
        <v>90</v>
      </c>
      <c r="E410" s="87" t="s">
        <v>206</v>
      </c>
      <c r="F410" s="64">
        <v>477</v>
      </c>
    </row>
    <row r="411" spans="1:6" x14ac:dyDescent="0.3">
      <c r="A411" s="7" t="str">
        <f>_xlfn.XLOOKUP(ColombiaClientes6[[#This Row],[Client]],VpsClientes[Client],VpsClientes[VP],"",0)</f>
        <v>Sebastian Rojas Fernandez</v>
      </c>
      <c r="B411" s="63" t="s">
        <v>257</v>
      </c>
      <c r="C411" s="63" t="s">
        <v>202</v>
      </c>
      <c r="D411" s="87" t="s">
        <v>90</v>
      </c>
      <c r="E411" s="87" t="s">
        <v>206</v>
      </c>
      <c r="F411" s="64">
        <v>211</v>
      </c>
    </row>
    <row r="412" spans="1:6" x14ac:dyDescent="0.3">
      <c r="A412" s="7" t="str">
        <f>_xlfn.XLOOKUP(ColombiaClientes6[[#This Row],[Client]],VpsClientes[Client],VpsClientes[VP],"",0)</f>
        <v>Sebastian Rojas Fernandez</v>
      </c>
      <c r="B412" s="63" t="s">
        <v>257</v>
      </c>
      <c r="C412" s="63" t="s">
        <v>203</v>
      </c>
      <c r="D412" s="87" t="s">
        <v>90</v>
      </c>
      <c r="E412" s="87" t="s">
        <v>206</v>
      </c>
      <c r="F412" s="64">
        <v>371</v>
      </c>
    </row>
    <row r="413" spans="1:6" x14ac:dyDescent="0.3">
      <c r="A413" s="7" t="str">
        <f>_xlfn.XLOOKUP(ColombiaClientes6[[#This Row],[Client]],VpsClientes[Client],VpsClientes[VP],"",0)</f>
        <v>Sebastian Rojas Fernandez</v>
      </c>
      <c r="B413" s="63" t="s">
        <v>257</v>
      </c>
      <c r="C413" s="63" t="s">
        <v>205</v>
      </c>
      <c r="D413" s="87" t="s">
        <v>90</v>
      </c>
      <c r="E413" s="87" t="s">
        <v>206</v>
      </c>
      <c r="F413" s="64">
        <v>428</v>
      </c>
    </row>
    <row r="414" spans="1:6" hidden="1" x14ac:dyDescent="0.3">
      <c r="A414" s="7" t="str">
        <f>_xlfn.XLOOKUP(ColombiaClientes6[[#This Row],[Client]],VpsClientes[Client],VpsClientes[VP],"",0)</f>
        <v>Hector Muraira Garza</v>
      </c>
      <c r="B414" s="63" t="s">
        <v>167</v>
      </c>
      <c r="C414" s="63" t="s">
        <v>192</v>
      </c>
      <c r="D414" s="87" t="s">
        <v>90</v>
      </c>
      <c r="E414" s="87" t="s">
        <v>206</v>
      </c>
      <c r="F414" s="64">
        <v>321</v>
      </c>
    </row>
    <row r="415" spans="1:6" x14ac:dyDescent="0.3">
      <c r="A415" s="7" t="str">
        <f>_xlfn.XLOOKUP(ColombiaClientes6[[#This Row],[Client]],VpsClientes[Client],VpsClientes[VP],"",0)</f>
        <v>Sebastian Rojas Fernandez</v>
      </c>
      <c r="B415" s="63" t="s">
        <v>257</v>
      </c>
      <c r="C415" s="63" t="s">
        <v>237</v>
      </c>
      <c r="D415" s="87" t="s">
        <v>90</v>
      </c>
      <c r="E415" s="87" t="s">
        <v>206</v>
      </c>
      <c r="F415" s="64">
        <v>125</v>
      </c>
    </row>
    <row r="416" spans="1:6" x14ac:dyDescent="0.3">
      <c r="A416" s="7" t="str">
        <f>_xlfn.XLOOKUP(ColombiaClientes6[[#This Row],[Client]],VpsClientes[Client],VpsClientes[VP],"",0)</f>
        <v>Sebastian Rojas Fernandez</v>
      </c>
      <c r="B416" s="63" t="s">
        <v>257</v>
      </c>
      <c r="C416" s="63" t="s">
        <v>92</v>
      </c>
      <c r="D416" s="87" t="s">
        <v>219</v>
      </c>
      <c r="E416" s="87" t="s">
        <v>91</v>
      </c>
      <c r="F416" s="64">
        <v>273</v>
      </c>
    </row>
    <row r="417" spans="1:6" x14ac:dyDescent="0.3">
      <c r="A417" s="7" t="str">
        <f>_xlfn.XLOOKUP(ColombiaClientes6[[#This Row],[Client]],VpsClientes[Client],VpsClientes[VP],"",0)</f>
        <v>Sebastian Rojas Fernandez</v>
      </c>
      <c r="B417" s="63" t="s">
        <v>257</v>
      </c>
      <c r="C417" s="63" t="s">
        <v>191</v>
      </c>
      <c r="D417" s="87" t="s">
        <v>219</v>
      </c>
      <c r="E417" s="87" t="s">
        <v>91</v>
      </c>
      <c r="F417" s="64">
        <v>257</v>
      </c>
    </row>
    <row r="418" spans="1:6" x14ac:dyDescent="0.3">
      <c r="A418" s="7" t="str">
        <f>_xlfn.XLOOKUP(ColombiaClientes6[[#This Row],[Client]],VpsClientes[Client],VpsClientes[VP],"",0)</f>
        <v>Sebastian Rojas Fernandez</v>
      </c>
      <c r="B418" s="63" t="s">
        <v>257</v>
      </c>
      <c r="C418" s="63" t="s">
        <v>192</v>
      </c>
      <c r="D418" s="87" t="s">
        <v>219</v>
      </c>
      <c r="E418" s="87" t="s">
        <v>91</v>
      </c>
      <c r="F418" s="64">
        <v>236</v>
      </c>
    </row>
    <row r="419" spans="1:6" x14ac:dyDescent="0.3">
      <c r="A419" s="7" t="str">
        <f>_xlfn.XLOOKUP(ColombiaClientes6[[#This Row],[Client]],VpsClientes[Client],VpsClientes[VP],"",0)</f>
        <v>Sebastian Rojas Fernandez</v>
      </c>
      <c r="B419" s="63" t="s">
        <v>257</v>
      </c>
      <c r="C419" s="63" t="s">
        <v>194</v>
      </c>
      <c r="D419" s="87" t="s">
        <v>219</v>
      </c>
      <c r="E419" s="87" t="s">
        <v>91</v>
      </c>
      <c r="F419" s="64">
        <v>200</v>
      </c>
    </row>
    <row r="420" spans="1:6" x14ac:dyDescent="0.3">
      <c r="A420" s="7" t="str">
        <f>_xlfn.XLOOKUP(ColombiaClientes6[[#This Row],[Client]],VpsClientes[Client],VpsClientes[VP],"",0)</f>
        <v>Sebastian Rojas Fernandez</v>
      </c>
      <c r="B420" s="63" t="s">
        <v>257</v>
      </c>
      <c r="C420" s="63" t="s">
        <v>202</v>
      </c>
      <c r="D420" s="87" t="s">
        <v>219</v>
      </c>
      <c r="E420" s="87" t="s">
        <v>91</v>
      </c>
      <c r="F420" s="64">
        <v>112</v>
      </c>
    </row>
    <row r="421" spans="1:6" hidden="1" x14ac:dyDescent="0.3">
      <c r="A421" s="7" t="str">
        <f>_xlfn.XLOOKUP(ColombiaClientes6[[#This Row],[Client]],VpsClientes[Client],VpsClientes[VP],"",0)</f>
        <v>Carlos Beltran Hernandez</v>
      </c>
      <c r="B421" s="65" t="s">
        <v>93</v>
      </c>
      <c r="C421" s="10" t="s">
        <v>194</v>
      </c>
      <c r="D421" s="87" t="s">
        <v>90</v>
      </c>
      <c r="E421" s="87" t="s">
        <v>206</v>
      </c>
      <c r="F421" s="67">
        <v>14958</v>
      </c>
    </row>
    <row r="422" spans="1:6" x14ac:dyDescent="0.3">
      <c r="A422" s="7" t="str">
        <f>_xlfn.XLOOKUP(ColombiaClientes6[[#This Row],[Client]],VpsClientes[Client],VpsClientes[VP],"",0)</f>
        <v>Sebastian Rojas Fernandez</v>
      </c>
      <c r="B422" s="65" t="s">
        <v>257</v>
      </c>
      <c r="C422" s="66" t="s">
        <v>203</v>
      </c>
      <c r="D422" s="87" t="s">
        <v>219</v>
      </c>
      <c r="E422" s="87" t="s">
        <v>91</v>
      </c>
      <c r="F422" s="67">
        <v>79</v>
      </c>
    </row>
    <row r="423" spans="1:6" hidden="1" x14ac:dyDescent="0.3">
      <c r="A423" s="7" t="str">
        <f>_xlfn.XLOOKUP(ColombiaClientes6[[#This Row],[Client]],VpsClientes[Client],VpsClientes[VP],"",0)</f>
        <v>Ludy Torres Benitez</v>
      </c>
      <c r="B423" s="65" t="s">
        <v>95</v>
      </c>
      <c r="C423" s="66" t="s">
        <v>194</v>
      </c>
      <c r="D423" s="87" t="s">
        <v>90</v>
      </c>
      <c r="E423" s="87" t="s">
        <v>206</v>
      </c>
      <c r="F423" s="67">
        <v>4601</v>
      </c>
    </row>
    <row r="424" spans="1:6" hidden="1" x14ac:dyDescent="0.3">
      <c r="A424" s="7" t="str">
        <f>_xlfn.XLOOKUP(ColombiaClientes6[[#This Row],[Client]],VpsClientes[Client],VpsClientes[VP],"",0)</f>
        <v>Martha Guzman Arango</v>
      </c>
      <c r="B424" s="65" t="s">
        <v>199</v>
      </c>
      <c r="C424" s="66" t="s">
        <v>194</v>
      </c>
      <c r="D424" s="87" t="s">
        <v>90</v>
      </c>
      <c r="E424" s="87" t="s">
        <v>206</v>
      </c>
      <c r="F424" s="67">
        <v>4535</v>
      </c>
    </row>
    <row r="425" spans="1:6" hidden="1" x14ac:dyDescent="0.3">
      <c r="A425" s="7" t="str">
        <f>_xlfn.XLOOKUP(ColombiaClientes6[[#This Row],[Client]],VpsClientes[Client],VpsClientes[VP],"",0)</f>
        <v>Hector Muraira Garza</v>
      </c>
      <c r="B425" s="65" t="s">
        <v>164</v>
      </c>
      <c r="C425" s="66" t="s">
        <v>194</v>
      </c>
      <c r="D425" s="87" t="s">
        <v>90</v>
      </c>
      <c r="E425" s="87" t="s">
        <v>206</v>
      </c>
      <c r="F425" s="67">
        <v>2561</v>
      </c>
    </row>
    <row r="426" spans="1:6" x14ac:dyDescent="0.3">
      <c r="A426" s="7" t="str">
        <f>_xlfn.XLOOKUP(ColombiaClientes6[[#This Row],[Client]],VpsClientes[Client],VpsClientes[VP],"",0)</f>
        <v>Sebastian Rojas Fernandez</v>
      </c>
      <c r="B426" s="65" t="s">
        <v>257</v>
      </c>
      <c r="C426" s="66" t="s">
        <v>205</v>
      </c>
      <c r="D426" s="87" t="s">
        <v>219</v>
      </c>
      <c r="E426" s="87" t="s">
        <v>91</v>
      </c>
      <c r="F426" s="67">
        <v>115</v>
      </c>
    </row>
    <row r="427" spans="1:6" x14ac:dyDescent="0.3">
      <c r="A427" s="7" t="str">
        <f>_xlfn.XLOOKUP(ColombiaClientes6[[#This Row],[Client]],VpsClientes[Client],VpsClientes[VP],"",0)</f>
        <v>Sebastian Rojas Fernandez</v>
      </c>
      <c r="B427" s="65" t="s">
        <v>257</v>
      </c>
      <c r="C427" s="66" t="s">
        <v>237</v>
      </c>
      <c r="D427" s="87" t="s">
        <v>219</v>
      </c>
      <c r="E427" s="87" t="s">
        <v>91</v>
      </c>
      <c r="F427" s="67">
        <v>27</v>
      </c>
    </row>
    <row r="428" spans="1:6" hidden="1" x14ac:dyDescent="0.3">
      <c r="A428" s="7" t="str">
        <f>_xlfn.XLOOKUP(ColombiaClientes6[[#This Row],[Client]],VpsClientes[Client],VpsClientes[VP],"",0)</f>
        <v>Jhonatan Izquierdo Rico</v>
      </c>
      <c r="B428" s="65" t="s">
        <v>104</v>
      </c>
      <c r="C428" s="66" t="s">
        <v>194</v>
      </c>
      <c r="D428" s="87" t="s">
        <v>90</v>
      </c>
      <c r="E428" s="87" t="s">
        <v>206</v>
      </c>
      <c r="F428" s="67">
        <v>2219</v>
      </c>
    </row>
    <row r="429" spans="1:6" x14ac:dyDescent="0.3">
      <c r="A429" s="7" t="str">
        <f>_xlfn.XLOOKUP(ColombiaClientes6[[#This Row],[Client]],VpsClientes[Client],VpsClientes[VP],"",0)</f>
        <v>Sebastian Rojas Fernandez</v>
      </c>
      <c r="B429" s="65" t="s">
        <v>257</v>
      </c>
      <c r="C429" s="66" t="s">
        <v>92</v>
      </c>
      <c r="D429" s="87" t="s">
        <v>219</v>
      </c>
      <c r="E429" s="87" t="s">
        <v>206</v>
      </c>
      <c r="F429" s="67">
        <v>13</v>
      </c>
    </row>
    <row r="430" spans="1:6" hidden="1" x14ac:dyDescent="0.3">
      <c r="A430" s="7" t="str">
        <f>_xlfn.XLOOKUP(ColombiaClientes6[[#This Row],[Client]],VpsClientes[Client],VpsClientes[VP],"",0)</f>
        <v>Sandra Romero Zuluaga</v>
      </c>
      <c r="B430" s="65" t="s">
        <v>113</v>
      </c>
      <c r="C430" s="66" t="s">
        <v>194</v>
      </c>
      <c r="D430" s="87" t="s">
        <v>90</v>
      </c>
      <c r="E430" s="87" t="s">
        <v>206</v>
      </c>
      <c r="F430" s="67">
        <v>2141</v>
      </c>
    </row>
    <row r="431" spans="1:6" x14ac:dyDescent="0.3">
      <c r="A431" s="7" t="str">
        <f>_xlfn.XLOOKUP(ColombiaClientes6[[#This Row],[Client]],VpsClientes[Client],VpsClientes[VP],"",0)</f>
        <v>Sebastian Rojas Fernandez</v>
      </c>
      <c r="B431" s="65" t="s">
        <v>257</v>
      </c>
      <c r="C431" s="66" t="s">
        <v>191</v>
      </c>
      <c r="D431" s="87" t="s">
        <v>219</v>
      </c>
      <c r="E431" s="87" t="s">
        <v>206</v>
      </c>
      <c r="F431" s="67">
        <v>4</v>
      </c>
    </row>
    <row r="432" spans="1:6" hidden="1" x14ac:dyDescent="0.3">
      <c r="A432" s="7" t="str">
        <f>_xlfn.XLOOKUP(ColombiaClientes6[[#This Row],[Client]],VpsClientes[Client],VpsClientes[VP],"",0)</f>
        <v>Hector Muraira Garza</v>
      </c>
      <c r="B432" s="65" t="s">
        <v>132</v>
      </c>
      <c r="C432" s="66" t="s">
        <v>194</v>
      </c>
      <c r="D432" s="87" t="s">
        <v>90</v>
      </c>
      <c r="E432" s="87" t="s">
        <v>206</v>
      </c>
      <c r="F432" s="67">
        <v>1400</v>
      </c>
    </row>
    <row r="433" spans="1:6" x14ac:dyDescent="0.3">
      <c r="A433" s="7" t="str">
        <f>_xlfn.XLOOKUP(ColombiaClientes6[[#This Row],[Client]],VpsClientes[Client],VpsClientes[VP],"",0)</f>
        <v>Sebastian Rojas Fernandez</v>
      </c>
      <c r="B433" s="65" t="s">
        <v>257</v>
      </c>
      <c r="C433" s="66" t="s">
        <v>192</v>
      </c>
      <c r="D433" s="87" t="s">
        <v>219</v>
      </c>
      <c r="E433" s="87" t="s">
        <v>206</v>
      </c>
      <c r="F433" s="67">
        <v>3</v>
      </c>
    </row>
    <row r="434" spans="1:6" x14ac:dyDescent="0.3">
      <c r="A434" s="7" t="str">
        <f>_xlfn.XLOOKUP(ColombiaClientes6[[#This Row],[Client]],VpsClientes[Client],VpsClientes[VP],"",0)</f>
        <v>Sebastian Rojas Fernandez</v>
      </c>
      <c r="B434" s="65" t="s">
        <v>257</v>
      </c>
      <c r="C434" s="66" t="s">
        <v>194</v>
      </c>
      <c r="D434" s="87" t="s">
        <v>219</v>
      </c>
      <c r="E434" s="87" t="s">
        <v>206</v>
      </c>
      <c r="F434" s="67">
        <v>0</v>
      </c>
    </row>
    <row r="435" spans="1:6" hidden="1" x14ac:dyDescent="0.3">
      <c r="A435" s="7" t="str">
        <f>_xlfn.XLOOKUP(ColombiaClientes6[[#This Row],[Client]],VpsClientes[Client],VpsClientes[VP],"",0)</f>
        <v>Juan Granados Castillo</v>
      </c>
      <c r="B435" s="65" t="s">
        <v>134</v>
      </c>
      <c r="C435" s="66" t="s">
        <v>194</v>
      </c>
      <c r="D435" s="87" t="s">
        <v>90</v>
      </c>
      <c r="E435" s="87" t="s">
        <v>206</v>
      </c>
      <c r="F435" s="67">
        <v>1097</v>
      </c>
    </row>
    <row r="436" spans="1:6" x14ac:dyDescent="0.3">
      <c r="A436" s="7" t="str">
        <f>_xlfn.XLOOKUP(ColombiaClientes6[[#This Row],[Client]],VpsClientes[Client],VpsClientes[VP],"",0)</f>
        <v>Sebastian Rojas Fernandez</v>
      </c>
      <c r="B436" s="65" t="s">
        <v>257</v>
      </c>
      <c r="C436" s="66" t="s">
        <v>202</v>
      </c>
      <c r="D436" s="87" t="s">
        <v>219</v>
      </c>
      <c r="E436" s="87" t="s">
        <v>206</v>
      </c>
      <c r="F436" s="67">
        <v>0</v>
      </c>
    </row>
    <row r="437" spans="1:6" hidden="1" x14ac:dyDescent="0.3">
      <c r="A437" s="7" t="str">
        <f>_xlfn.XLOOKUP(ColombiaClientes6[[#This Row],[Client]],VpsClientes[Client],VpsClientes[VP],"",0)</f>
        <v>Javier Orjuela Sarmiento</v>
      </c>
      <c r="B437" s="65" t="s">
        <v>133</v>
      </c>
      <c r="C437" s="66" t="s">
        <v>194</v>
      </c>
      <c r="D437" s="87" t="s">
        <v>90</v>
      </c>
      <c r="E437" s="87" t="s">
        <v>206</v>
      </c>
      <c r="F437" s="67">
        <v>883</v>
      </c>
    </row>
    <row r="438" spans="1:6" x14ac:dyDescent="0.3">
      <c r="A438" s="7" t="str">
        <f>_xlfn.XLOOKUP(ColombiaClientes6[[#This Row],[Client]],VpsClientes[Client],VpsClientes[VP],"",0)</f>
        <v>Sebastian Rojas Fernandez</v>
      </c>
      <c r="B438" s="65" t="s">
        <v>257</v>
      </c>
      <c r="C438" s="66" t="s">
        <v>203</v>
      </c>
      <c r="D438" s="87" t="s">
        <v>219</v>
      </c>
      <c r="E438" s="87" t="s">
        <v>206</v>
      </c>
      <c r="F438" s="67">
        <v>0</v>
      </c>
    </row>
    <row r="439" spans="1:6" x14ac:dyDescent="0.3">
      <c r="A439" s="7" t="str">
        <f>_xlfn.XLOOKUP(ColombiaClientes6[[#This Row],[Client]],VpsClientes[Client],VpsClientes[VP],"",0)</f>
        <v>Sebastian Rojas Fernandez</v>
      </c>
      <c r="B439" s="65" t="s">
        <v>257</v>
      </c>
      <c r="C439" s="66" t="s">
        <v>205</v>
      </c>
      <c r="D439" s="87" t="s">
        <v>219</v>
      </c>
      <c r="E439" s="87" t="s">
        <v>206</v>
      </c>
      <c r="F439" s="67">
        <v>9</v>
      </c>
    </row>
    <row r="440" spans="1:6" x14ac:dyDescent="0.3">
      <c r="A440" s="7" t="str">
        <f>_xlfn.XLOOKUP(ColombiaClientes6[[#This Row],[Client]],VpsClientes[Client],VpsClientes[VP],"",0)</f>
        <v>Hector Muraira Garza</v>
      </c>
      <c r="B440" s="65" t="s">
        <v>239</v>
      </c>
      <c r="C440" s="66" t="s">
        <v>92</v>
      </c>
      <c r="D440" s="87" t="s">
        <v>90</v>
      </c>
      <c r="E440" s="87" t="s">
        <v>91</v>
      </c>
      <c r="F440" s="67">
        <v>2877</v>
      </c>
    </row>
    <row r="441" spans="1:6" hidden="1" x14ac:dyDescent="0.3">
      <c r="A441" s="7" t="str">
        <f>_xlfn.XLOOKUP(ColombiaClientes6[[#This Row],[Client]],VpsClientes[Client],VpsClientes[VP],"",0)</f>
        <v>Moises Saavedra Garcia</v>
      </c>
      <c r="B441" s="65" t="s">
        <v>201</v>
      </c>
      <c r="C441" s="66" t="s">
        <v>194</v>
      </c>
      <c r="D441" s="87" t="s">
        <v>90</v>
      </c>
      <c r="E441" s="87" t="s">
        <v>206</v>
      </c>
      <c r="F441" s="67">
        <v>647</v>
      </c>
    </row>
    <row r="442" spans="1:6" x14ac:dyDescent="0.3">
      <c r="A442" s="7" t="str">
        <f>_xlfn.XLOOKUP(ColombiaClientes6[[#This Row],[Client]],VpsClientes[Client],VpsClientes[VP],"",0)</f>
        <v>Hector Muraira Garza</v>
      </c>
      <c r="B442" s="65" t="s">
        <v>239</v>
      </c>
      <c r="C442" s="66" t="s">
        <v>191</v>
      </c>
      <c r="D442" s="87" t="s">
        <v>90</v>
      </c>
      <c r="E442" s="87" t="s">
        <v>91</v>
      </c>
      <c r="F442" s="67">
        <v>2199</v>
      </c>
    </row>
    <row r="443" spans="1:6" x14ac:dyDescent="0.3">
      <c r="A443" s="7" t="str">
        <f>_xlfn.XLOOKUP(ColombiaClientes6[[#This Row],[Client]],VpsClientes[Client],VpsClientes[VP],"",0)</f>
        <v>Hector Muraira Garza</v>
      </c>
      <c r="B443" s="65" t="s">
        <v>239</v>
      </c>
      <c r="C443" s="66" t="s">
        <v>192</v>
      </c>
      <c r="D443" s="87" t="s">
        <v>90</v>
      </c>
      <c r="E443" s="87" t="s">
        <v>91</v>
      </c>
      <c r="F443" s="67">
        <v>2615</v>
      </c>
    </row>
    <row r="444" spans="1:6" x14ac:dyDescent="0.3">
      <c r="A444" s="7" t="str">
        <f>_xlfn.XLOOKUP(ColombiaClientes6[[#This Row],[Client]],VpsClientes[Client],VpsClientes[VP],"",0)</f>
        <v>Hector Muraira Garza</v>
      </c>
      <c r="B444" s="65" t="s">
        <v>239</v>
      </c>
      <c r="C444" s="66" t="s">
        <v>194</v>
      </c>
      <c r="D444" s="87" t="s">
        <v>90</v>
      </c>
      <c r="E444" s="87" t="s">
        <v>91</v>
      </c>
      <c r="F444" s="67">
        <v>2131</v>
      </c>
    </row>
    <row r="445" spans="1:6" hidden="1" x14ac:dyDescent="0.3">
      <c r="A445" s="7" t="str">
        <f>_xlfn.XLOOKUP(ColombiaClientes6[[#This Row],[Client]],VpsClientes[Client],VpsClientes[VP],"",0)</f>
        <v>Moises Saavedra Garcia</v>
      </c>
      <c r="B445" s="65" t="s">
        <v>110</v>
      </c>
      <c r="C445" s="66" t="s">
        <v>194</v>
      </c>
      <c r="D445" s="87" t="s">
        <v>90</v>
      </c>
      <c r="E445" s="87" t="s">
        <v>206</v>
      </c>
      <c r="F445" s="67">
        <v>503</v>
      </c>
    </row>
    <row r="446" spans="1:6" x14ac:dyDescent="0.3">
      <c r="A446" s="7" t="str">
        <f>_xlfn.XLOOKUP(ColombiaClientes6[[#This Row],[Client]],VpsClientes[Client],VpsClientes[VP],"",0)</f>
        <v>Hector Muraira Garza</v>
      </c>
      <c r="B446" s="65" t="s">
        <v>239</v>
      </c>
      <c r="C446" s="66" t="s">
        <v>202</v>
      </c>
      <c r="D446" s="87" t="s">
        <v>90</v>
      </c>
      <c r="E446" s="87" t="s">
        <v>91</v>
      </c>
      <c r="F446" s="67">
        <v>1416</v>
      </c>
    </row>
    <row r="447" spans="1:6" x14ac:dyDescent="0.3">
      <c r="A447" s="7" t="str">
        <f>_xlfn.XLOOKUP(ColombiaClientes6[[#This Row],[Client]],VpsClientes[Client],VpsClientes[VP],"",0)</f>
        <v>Hector Muraira Garza</v>
      </c>
      <c r="B447" s="65" t="s">
        <v>239</v>
      </c>
      <c r="C447" s="66" t="s">
        <v>203</v>
      </c>
      <c r="D447" s="87" t="s">
        <v>90</v>
      </c>
      <c r="E447" s="87" t="s">
        <v>91</v>
      </c>
      <c r="F447" s="67">
        <v>1715</v>
      </c>
    </row>
    <row r="448" spans="1:6" x14ac:dyDescent="0.3">
      <c r="A448" s="7" t="str">
        <f>_xlfn.XLOOKUP(ColombiaClientes6[[#This Row],[Client]],VpsClientes[Client],VpsClientes[VP],"",0)</f>
        <v>Hector Muraira Garza</v>
      </c>
      <c r="B448" s="65" t="s">
        <v>239</v>
      </c>
      <c r="C448" s="66" t="s">
        <v>205</v>
      </c>
      <c r="D448" s="87" t="s">
        <v>90</v>
      </c>
      <c r="E448" s="87" t="s">
        <v>91</v>
      </c>
      <c r="F448" s="67">
        <v>2421</v>
      </c>
    </row>
    <row r="449" spans="1:6" hidden="1" x14ac:dyDescent="0.3">
      <c r="A449" s="7" t="str">
        <f>_xlfn.XLOOKUP(ColombiaClientes6[[#This Row],[Client]],VpsClientes[Client],VpsClientes[VP],"",0)</f>
        <v>Jhonatan Izquierdo Rico</v>
      </c>
      <c r="B449" s="65" t="s">
        <v>157</v>
      </c>
      <c r="C449" s="66" t="s">
        <v>194</v>
      </c>
      <c r="D449" s="87" t="s">
        <v>90</v>
      </c>
      <c r="E449" s="87" t="s">
        <v>206</v>
      </c>
      <c r="F449" s="67">
        <v>423</v>
      </c>
    </row>
    <row r="450" spans="1:6" hidden="1" x14ac:dyDescent="0.3">
      <c r="A450" s="7" t="str">
        <f>_xlfn.XLOOKUP(ColombiaClientes6[[#This Row],[Client]],VpsClientes[Client],VpsClientes[VP],"",0)</f>
        <v>Hector Muraira Garza</v>
      </c>
      <c r="B450" s="65" t="s">
        <v>140</v>
      </c>
      <c r="C450" s="66" t="s">
        <v>194</v>
      </c>
      <c r="D450" s="87" t="s">
        <v>90</v>
      </c>
      <c r="E450" s="87" t="s">
        <v>206</v>
      </c>
      <c r="F450" s="67">
        <v>420</v>
      </c>
    </row>
    <row r="451" spans="1:6" x14ac:dyDescent="0.3">
      <c r="A451" s="7" t="str">
        <f>_xlfn.XLOOKUP(ColombiaClientes6[[#This Row],[Client]],VpsClientes[Client],VpsClientes[VP],"",0)</f>
        <v>Hector Muraira Garza</v>
      </c>
      <c r="B451" s="65" t="s">
        <v>239</v>
      </c>
      <c r="C451" s="66" t="s">
        <v>237</v>
      </c>
      <c r="D451" s="87" t="s">
        <v>90</v>
      </c>
      <c r="E451" s="87" t="s">
        <v>91</v>
      </c>
      <c r="F451" s="67">
        <v>166</v>
      </c>
    </row>
    <row r="452" spans="1:6" x14ac:dyDescent="0.3">
      <c r="A452" s="7" t="str">
        <f>_xlfn.XLOOKUP(ColombiaClientes6[[#This Row],[Client]],VpsClientes[Client],VpsClientes[VP],"",0)</f>
        <v>Hector Muraira Garza</v>
      </c>
      <c r="B452" s="65" t="s">
        <v>239</v>
      </c>
      <c r="C452" s="66" t="s">
        <v>92</v>
      </c>
      <c r="D452" s="87" t="s">
        <v>90</v>
      </c>
      <c r="E452" s="87" t="s">
        <v>206</v>
      </c>
      <c r="F452" s="67">
        <v>13554</v>
      </c>
    </row>
    <row r="453" spans="1:6" x14ac:dyDescent="0.3">
      <c r="A453" s="7" t="str">
        <f>_xlfn.XLOOKUP(ColombiaClientes6[[#This Row],[Client]],VpsClientes[Client],VpsClientes[VP],"",0)</f>
        <v>Hector Muraira Garza</v>
      </c>
      <c r="B453" s="65" t="s">
        <v>239</v>
      </c>
      <c r="C453" s="66" t="s">
        <v>191</v>
      </c>
      <c r="D453" s="87" t="s">
        <v>90</v>
      </c>
      <c r="E453" s="87" t="s">
        <v>206</v>
      </c>
      <c r="F453" s="67">
        <v>9070</v>
      </c>
    </row>
    <row r="454" spans="1:6" x14ac:dyDescent="0.3">
      <c r="A454" s="7" t="str">
        <f>_xlfn.XLOOKUP(ColombiaClientes6[[#This Row],[Client]],VpsClientes[Client],VpsClientes[VP],"",0)</f>
        <v>Hector Muraira Garza</v>
      </c>
      <c r="B454" s="65" t="s">
        <v>239</v>
      </c>
      <c r="C454" s="66" t="s">
        <v>192</v>
      </c>
      <c r="D454" s="87" t="s">
        <v>90</v>
      </c>
      <c r="E454" s="87" t="s">
        <v>206</v>
      </c>
      <c r="F454" s="67">
        <v>4924</v>
      </c>
    </row>
    <row r="455" spans="1:6" x14ac:dyDescent="0.3">
      <c r="A455" s="7" t="str">
        <f>_xlfn.XLOOKUP(ColombiaClientes6[[#This Row],[Client]],VpsClientes[Client],VpsClientes[VP],"",0)</f>
        <v>Hector Muraira Garza</v>
      </c>
      <c r="B455" s="65" t="s">
        <v>239</v>
      </c>
      <c r="C455" s="66" t="s">
        <v>194</v>
      </c>
      <c r="D455" s="87" t="s">
        <v>90</v>
      </c>
      <c r="E455" s="87" t="s">
        <v>206</v>
      </c>
      <c r="F455" s="67">
        <v>5541</v>
      </c>
    </row>
    <row r="456" spans="1:6" hidden="1" x14ac:dyDescent="0.3">
      <c r="A456" s="7" t="str">
        <f>_xlfn.XLOOKUP(ColombiaClientes6[[#This Row],[Client]],VpsClientes[Client],VpsClientes[VP],"",0)</f>
        <v>Carlos Castillo Figueroa</v>
      </c>
      <c r="B456" s="65" t="s">
        <v>105</v>
      </c>
      <c r="C456" s="66" t="s">
        <v>194</v>
      </c>
      <c r="D456" s="87" t="s">
        <v>90</v>
      </c>
      <c r="E456" s="87" t="s">
        <v>206</v>
      </c>
      <c r="F456" s="67">
        <v>216</v>
      </c>
    </row>
    <row r="457" spans="1:6" hidden="1" x14ac:dyDescent="0.3">
      <c r="A457" s="7" t="str">
        <f>_xlfn.XLOOKUP(ColombiaClientes6[[#This Row],[Client]],VpsClientes[Client],VpsClientes[VP],"",0)</f>
        <v>Hector Muraira Garza</v>
      </c>
      <c r="B457" s="65" t="s">
        <v>167</v>
      </c>
      <c r="C457" s="66" t="s">
        <v>194</v>
      </c>
      <c r="D457" s="87" t="s">
        <v>90</v>
      </c>
      <c r="E457" s="87" t="s">
        <v>206</v>
      </c>
      <c r="F457" s="67">
        <v>187</v>
      </c>
    </row>
    <row r="458" spans="1:6" x14ac:dyDescent="0.3">
      <c r="A458" s="7" t="str">
        <f>_xlfn.XLOOKUP(ColombiaClientes6[[#This Row],[Client]],VpsClientes[Client],VpsClientes[VP],"",0)</f>
        <v>Hector Muraira Garza</v>
      </c>
      <c r="B458" s="65" t="s">
        <v>239</v>
      </c>
      <c r="C458" s="66" t="s">
        <v>202</v>
      </c>
      <c r="D458" s="87" t="s">
        <v>90</v>
      </c>
      <c r="E458" s="87" t="s">
        <v>206</v>
      </c>
      <c r="F458" s="67">
        <v>3097</v>
      </c>
    </row>
    <row r="459" spans="1:6" x14ac:dyDescent="0.3">
      <c r="A459" s="7" t="str">
        <f>_xlfn.XLOOKUP(ColombiaClientes6[[#This Row],[Client]],VpsClientes[Client],VpsClientes[VP],"",0)</f>
        <v>Hector Muraira Garza</v>
      </c>
      <c r="B459" s="65" t="s">
        <v>239</v>
      </c>
      <c r="C459" s="66" t="s">
        <v>203</v>
      </c>
      <c r="D459" s="87" t="s">
        <v>90</v>
      </c>
      <c r="E459" s="87" t="s">
        <v>206</v>
      </c>
      <c r="F459" s="67">
        <v>2984</v>
      </c>
    </row>
    <row r="460" spans="1:6" hidden="1" x14ac:dyDescent="0.3">
      <c r="A460" s="7" t="str">
        <f>_xlfn.XLOOKUP(ColombiaClientes6[[#This Row],[Client]],VpsClientes[Client],VpsClientes[VP],"",0)</f>
        <v>Carlos Beltran Hernandez</v>
      </c>
      <c r="B460" s="70" t="s">
        <v>93</v>
      </c>
      <c r="C460" s="10" t="s">
        <v>202</v>
      </c>
      <c r="D460" s="87" t="s">
        <v>90</v>
      </c>
      <c r="E460" s="87" t="s">
        <v>206</v>
      </c>
      <c r="F460" s="72">
        <v>13534</v>
      </c>
    </row>
    <row r="461" spans="1:6" hidden="1" x14ac:dyDescent="0.3">
      <c r="A461" s="7" t="str">
        <f>_xlfn.XLOOKUP(ColombiaClientes6[[#This Row],[Client]],VpsClientes[Client],VpsClientes[VP],"",0)</f>
        <v>Martha Guzman Arango</v>
      </c>
      <c r="B461" s="70" t="s">
        <v>199</v>
      </c>
      <c r="C461" s="71" t="s">
        <v>202</v>
      </c>
      <c r="D461" s="87" t="s">
        <v>90</v>
      </c>
      <c r="E461" s="87" t="s">
        <v>206</v>
      </c>
      <c r="F461" s="72">
        <v>4743</v>
      </c>
    </row>
    <row r="462" spans="1:6" hidden="1" x14ac:dyDescent="0.3">
      <c r="A462" s="7" t="str">
        <f>_xlfn.XLOOKUP(ColombiaClientes6[[#This Row],[Client]],VpsClientes[Client],VpsClientes[VP],"",0)</f>
        <v>Ludy Torres Benitez</v>
      </c>
      <c r="B462" s="70" t="s">
        <v>95</v>
      </c>
      <c r="C462" s="71" t="s">
        <v>202</v>
      </c>
      <c r="D462" s="87" t="s">
        <v>90</v>
      </c>
      <c r="E462" s="87" t="s">
        <v>206</v>
      </c>
      <c r="F462" s="72">
        <v>3529</v>
      </c>
    </row>
    <row r="463" spans="1:6" x14ac:dyDescent="0.3">
      <c r="A463" s="7" t="str">
        <f>_xlfn.XLOOKUP(ColombiaClientes6[[#This Row],[Client]],VpsClientes[Client],VpsClientes[VP],"",0)</f>
        <v>Hector Muraira Garza</v>
      </c>
      <c r="B463" s="70" t="s">
        <v>239</v>
      </c>
      <c r="C463" s="71" t="s">
        <v>205</v>
      </c>
      <c r="D463" s="87" t="s">
        <v>90</v>
      </c>
      <c r="E463" s="87" t="s">
        <v>206</v>
      </c>
      <c r="F463" s="72">
        <v>3704</v>
      </c>
    </row>
    <row r="464" spans="1:6" hidden="1" x14ac:dyDescent="0.3">
      <c r="A464" s="7" t="str">
        <f>_xlfn.XLOOKUP(ColombiaClientes6[[#This Row],[Client]],VpsClientes[Client],VpsClientes[VP],"",0)</f>
        <v>Hector Muraira Garza</v>
      </c>
      <c r="B464" s="70" t="s">
        <v>164</v>
      </c>
      <c r="C464" s="71" t="s">
        <v>202</v>
      </c>
      <c r="D464" s="87" t="s">
        <v>90</v>
      </c>
      <c r="E464" s="87" t="s">
        <v>206</v>
      </c>
      <c r="F464" s="72">
        <v>3089</v>
      </c>
    </row>
    <row r="465" spans="1:6" x14ac:dyDescent="0.3">
      <c r="A465" s="7" t="str">
        <f>_xlfn.XLOOKUP(ColombiaClientes6[[#This Row],[Client]],VpsClientes[Client],VpsClientes[VP],"",0)</f>
        <v>Hector Muraira Garza</v>
      </c>
      <c r="B465" s="70" t="s">
        <v>239</v>
      </c>
      <c r="C465" s="71" t="s">
        <v>237</v>
      </c>
      <c r="D465" s="87" t="s">
        <v>90</v>
      </c>
      <c r="E465" s="87" t="s">
        <v>206</v>
      </c>
      <c r="F465" s="72">
        <v>1100</v>
      </c>
    </row>
    <row r="466" spans="1:6" x14ac:dyDescent="0.3">
      <c r="A466" s="7" t="str">
        <f>_xlfn.XLOOKUP(ColombiaClientes6[[#This Row],[Client]],VpsClientes[Client],VpsClientes[VP],"",0)</f>
        <v>Hector Muraira Garza</v>
      </c>
      <c r="B466" s="70" t="s">
        <v>239</v>
      </c>
      <c r="C466" s="71" t="s">
        <v>92</v>
      </c>
      <c r="D466" s="87" t="s">
        <v>219</v>
      </c>
      <c r="E466" s="87" t="s">
        <v>91</v>
      </c>
      <c r="F466" s="72">
        <v>2147</v>
      </c>
    </row>
    <row r="467" spans="1:6" hidden="1" x14ac:dyDescent="0.3">
      <c r="A467" s="7" t="str">
        <f>_xlfn.XLOOKUP(ColombiaClientes6[[#This Row],[Client]],VpsClientes[Client],VpsClientes[VP],"",0)</f>
        <v>Sandra Romero Zuluaga</v>
      </c>
      <c r="B467" s="70" t="s">
        <v>113</v>
      </c>
      <c r="C467" s="71" t="s">
        <v>202</v>
      </c>
      <c r="D467" s="87" t="s">
        <v>90</v>
      </c>
      <c r="E467" s="87" t="s">
        <v>206</v>
      </c>
      <c r="F467" s="72">
        <v>2158</v>
      </c>
    </row>
    <row r="468" spans="1:6" x14ac:dyDescent="0.3">
      <c r="A468" s="7" t="str">
        <f>_xlfn.XLOOKUP(ColombiaClientes6[[#This Row],[Client]],VpsClientes[Client],VpsClientes[VP],"",0)</f>
        <v>Hector Muraira Garza</v>
      </c>
      <c r="B468" s="70" t="s">
        <v>239</v>
      </c>
      <c r="C468" s="71" t="s">
        <v>191</v>
      </c>
      <c r="D468" s="87" t="s">
        <v>219</v>
      </c>
      <c r="E468" s="87" t="s">
        <v>91</v>
      </c>
      <c r="F468" s="72">
        <v>1580</v>
      </c>
    </row>
    <row r="469" spans="1:6" x14ac:dyDescent="0.3">
      <c r="A469" s="7" t="str">
        <f>_xlfn.XLOOKUP(ColombiaClientes6[[#This Row],[Client]],VpsClientes[Client],VpsClientes[VP],"",0)</f>
        <v>Hector Muraira Garza</v>
      </c>
      <c r="B469" s="70" t="s">
        <v>239</v>
      </c>
      <c r="C469" s="71" t="s">
        <v>192</v>
      </c>
      <c r="D469" s="87" t="s">
        <v>219</v>
      </c>
      <c r="E469" s="87" t="s">
        <v>91</v>
      </c>
      <c r="F469" s="72">
        <v>1153</v>
      </c>
    </row>
    <row r="470" spans="1:6" x14ac:dyDescent="0.3">
      <c r="A470" s="7" t="str">
        <f>_xlfn.XLOOKUP(ColombiaClientes6[[#This Row],[Client]],VpsClientes[Client],VpsClientes[VP],"",0)</f>
        <v>Hector Muraira Garza</v>
      </c>
      <c r="B470" s="70" t="s">
        <v>239</v>
      </c>
      <c r="C470" s="71" t="s">
        <v>194</v>
      </c>
      <c r="D470" s="87" t="s">
        <v>219</v>
      </c>
      <c r="E470" s="87" t="s">
        <v>91</v>
      </c>
      <c r="F470" s="72">
        <v>1208</v>
      </c>
    </row>
    <row r="471" spans="1:6" x14ac:dyDescent="0.3">
      <c r="A471" s="7" t="str">
        <f>_xlfn.XLOOKUP(ColombiaClientes6[[#This Row],[Client]],VpsClientes[Client],VpsClientes[VP],"",0)</f>
        <v>Hector Muraira Garza</v>
      </c>
      <c r="B471" s="70" t="s">
        <v>239</v>
      </c>
      <c r="C471" s="71" t="s">
        <v>202</v>
      </c>
      <c r="D471" s="87" t="s">
        <v>219</v>
      </c>
      <c r="E471" s="87" t="s">
        <v>91</v>
      </c>
      <c r="F471" s="72">
        <v>1182</v>
      </c>
    </row>
    <row r="472" spans="1:6" hidden="1" x14ac:dyDescent="0.3">
      <c r="A472" s="7" t="str">
        <f>_xlfn.XLOOKUP(ColombiaClientes6[[#This Row],[Client]],VpsClientes[Client],VpsClientes[VP],"",0)</f>
        <v>Jhonatan Izquierdo Rico</v>
      </c>
      <c r="B472" s="70" t="s">
        <v>104</v>
      </c>
      <c r="C472" s="71" t="s">
        <v>202</v>
      </c>
      <c r="D472" s="87" t="s">
        <v>90</v>
      </c>
      <c r="E472" s="87" t="s">
        <v>206</v>
      </c>
      <c r="F472" s="72">
        <v>1632</v>
      </c>
    </row>
    <row r="473" spans="1:6" hidden="1" x14ac:dyDescent="0.3">
      <c r="A473" s="7" t="str">
        <f>_xlfn.XLOOKUP(ColombiaClientes6[[#This Row],[Client]],VpsClientes[Client],VpsClientes[VP],"",0)</f>
        <v>Hector Muraira Garza</v>
      </c>
      <c r="B473" s="70" t="s">
        <v>132</v>
      </c>
      <c r="C473" s="71" t="s">
        <v>202</v>
      </c>
      <c r="D473" s="87" t="s">
        <v>90</v>
      </c>
      <c r="E473" s="87" t="s">
        <v>206</v>
      </c>
      <c r="F473" s="72">
        <v>1622</v>
      </c>
    </row>
    <row r="474" spans="1:6" x14ac:dyDescent="0.3">
      <c r="A474" s="7" t="str">
        <f>_xlfn.XLOOKUP(ColombiaClientes6[[#This Row],[Client]],VpsClientes[Client],VpsClientes[VP],"",0)</f>
        <v>Hector Muraira Garza</v>
      </c>
      <c r="B474" s="70" t="s">
        <v>239</v>
      </c>
      <c r="C474" s="71" t="s">
        <v>203</v>
      </c>
      <c r="D474" s="87" t="s">
        <v>219</v>
      </c>
      <c r="E474" s="87" t="s">
        <v>91</v>
      </c>
      <c r="F474" s="72">
        <v>1468</v>
      </c>
    </row>
    <row r="475" spans="1:6" hidden="1" x14ac:dyDescent="0.3">
      <c r="A475" s="7" t="str">
        <f>_xlfn.XLOOKUP(ColombiaClientes6[[#This Row],[Client]],VpsClientes[Client],VpsClientes[VP],"",0)</f>
        <v>Juan Granados Castillo</v>
      </c>
      <c r="B475" s="70" t="s">
        <v>134</v>
      </c>
      <c r="C475" s="71" t="s">
        <v>202</v>
      </c>
      <c r="D475" s="87" t="s">
        <v>90</v>
      </c>
      <c r="E475" s="87" t="s">
        <v>206</v>
      </c>
      <c r="F475" s="72">
        <v>1093</v>
      </c>
    </row>
    <row r="476" spans="1:6" hidden="1" x14ac:dyDescent="0.3">
      <c r="A476" s="7" t="str">
        <f>_xlfn.XLOOKUP(ColombiaClientes6[[#This Row],[Client]],VpsClientes[Client],VpsClientes[VP],"",0)</f>
        <v>Jhonatan Izquierdo Rico</v>
      </c>
      <c r="B476" s="70" t="s">
        <v>157</v>
      </c>
      <c r="C476" s="71" t="s">
        <v>202</v>
      </c>
      <c r="D476" s="87" t="s">
        <v>90</v>
      </c>
      <c r="E476" s="87" t="s">
        <v>206</v>
      </c>
      <c r="F476" s="72">
        <v>1086</v>
      </c>
    </row>
    <row r="477" spans="1:6" x14ac:dyDescent="0.3">
      <c r="A477" s="7" t="str">
        <f>_xlfn.XLOOKUP(ColombiaClientes6[[#This Row],[Client]],VpsClientes[Client],VpsClientes[VP],"",0)</f>
        <v>Hector Muraira Garza</v>
      </c>
      <c r="B477" s="70" t="s">
        <v>239</v>
      </c>
      <c r="C477" s="71" t="s">
        <v>205</v>
      </c>
      <c r="D477" s="87" t="s">
        <v>219</v>
      </c>
      <c r="E477" s="87" t="s">
        <v>91</v>
      </c>
      <c r="F477" s="72">
        <v>2521</v>
      </c>
    </row>
    <row r="478" spans="1:6" hidden="1" x14ac:dyDescent="0.3">
      <c r="A478" s="7" t="str">
        <f>_xlfn.XLOOKUP(ColombiaClientes6[[#This Row],[Client]],VpsClientes[Client],VpsClientes[VP],"",0)</f>
        <v>Carlos Castillo Figueroa</v>
      </c>
      <c r="B478" s="70" t="s">
        <v>105</v>
      </c>
      <c r="C478" s="71" t="s">
        <v>202</v>
      </c>
      <c r="D478" s="87" t="s">
        <v>90</v>
      </c>
      <c r="E478" s="87" t="s">
        <v>206</v>
      </c>
      <c r="F478" s="72">
        <v>843</v>
      </c>
    </row>
    <row r="479" spans="1:6" x14ac:dyDescent="0.3">
      <c r="A479" s="7" t="str">
        <f>_xlfn.XLOOKUP(ColombiaClientes6[[#This Row],[Client]],VpsClientes[Client],VpsClientes[VP],"",0)</f>
        <v>Hector Muraira Garza</v>
      </c>
      <c r="B479" s="70" t="s">
        <v>239</v>
      </c>
      <c r="C479" s="71" t="s">
        <v>237</v>
      </c>
      <c r="D479" s="87" t="s">
        <v>219</v>
      </c>
      <c r="E479" s="87" t="s">
        <v>91</v>
      </c>
      <c r="F479" s="72">
        <v>395</v>
      </c>
    </row>
    <row r="480" spans="1:6" x14ac:dyDescent="0.3">
      <c r="A480" s="7" t="str">
        <f>_xlfn.XLOOKUP(ColombiaClientes6[[#This Row],[Client]],VpsClientes[Client],VpsClientes[VP],"",0)</f>
        <v>Hector Muraira Garza</v>
      </c>
      <c r="B480" s="70" t="s">
        <v>239</v>
      </c>
      <c r="C480" s="71" t="s">
        <v>92</v>
      </c>
      <c r="D480" s="87" t="s">
        <v>219</v>
      </c>
      <c r="E480" s="87" t="s">
        <v>206</v>
      </c>
      <c r="F480" s="72">
        <v>650</v>
      </c>
    </row>
    <row r="481" spans="1:6" x14ac:dyDescent="0.3">
      <c r="A481" s="7" t="str">
        <f>_xlfn.XLOOKUP(ColombiaClientes6[[#This Row],[Client]],VpsClientes[Client],VpsClientes[VP],"",0)</f>
        <v>Hector Muraira Garza</v>
      </c>
      <c r="B481" s="70" t="s">
        <v>239</v>
      </c>
      <c r="C481" s="71" t="s">
        <v>191</v>
      </c>
      <c r="D481" s="87" t="s">
        <v>219</v>
      </c>
      <c r="E481" s="87" t="s">
        <v>206</v>
      </c>
      <c r="F481" s="72">
        <v>391</v>
      </c>
    </row>
    <row r="482" spans="1:6" x14ac:dyDescent="0.3">
      <c r="A482" s="7" t="str">
        <f>_xlfn.XLOOKUP(ColombiaClientes6[[#This Row],[Client]],VpsClientes[Client],VpsClientes[VP],"",0)</f>
        <v>Hector Muraira Garza</v>
      </c>
      <c r="B482" s="70" t="s">
        <v>239</v>
      </c>
      <c r="C482" s="71" t="s">
        <v>192</v>
      </c>
      <c r="D482" s="87" t="s">
        <v>219</v>
      </c>
      <c r="E482" s="87" t="s">
        <v>206</v>
      </c>
      <c r="F482" s="72">
        <v>459</v>
      </c>
    </row>
    <row r="483" spans="1:6" x14ac:dyDescent="0.3">
      <c r="A483" s="7" t="str">
        <f>_xlfn.XLOOKUP(ColombiaClientes6[[#This Row],[Client]],VpsClientes[Client],VpsClientes[VP],"",0)</f>
        <v>Hector Muraira Garza</v>
      </c>
      <c r="B483" s="70" t="s">
        <v>239</v>
      </c>
      <c r="C483" s="71" t="s">
        <v>194</v>
      </c>
      <c r="D483" s="87" t="s">
        <v>219</v>
      </c>
      <c r="E483" s="87" t="s">
        <v>206</v>
      </c>
      <c r="F483" s="72">
        <v>175</v>
      </c>
    </row>
    <row r="484" spans="1:6" x14ac:dyDescent="0.3">
      <c r="A484" s="7" t="str">
        <f>_xlfn.XLOOKUP(ColombiaClientes6[[#This Row],[Client]],VpsClientes[Client],VpsClientes[VP],"",0)</f>
        <v>Hector Muraira Garza</v>
      </c>
      <c r="B484" s="70" t="s">
        <v>239</v>
      </c>
      <c r="C484" s="71" t="s">
        <v>202</v>
      </c>
      <c r="D484" s="87" t="s">
        <v>219</v>
      </c>
      <c r="E484" s="87" t="s">
        <v>206</v>
      </c>
      <c r="F484" s="72">
        <v>336</v>
      </c>
    </row>
    <row r="485" spans="1:6" hidden="1" x14ac:dyDescent="0.3">
      <c r="A485" s="7" t="str">
        <f>_xlfn.XLOOKUP(ColombiaClientes6[[#This Row],[Client]],VpsClientes[Client],VpsClientes[VP],"",0)</f>
        <v>Hector Muraira Garza</v>
      </c>
      <c r="B485" s="70" t="s">
        <v>140</v>
      </c>
      <c r="C485" s="71" t="s">
        <v>202</v>
      </c>
      <c r="D485" s="87" t="s">
        <v>90</v>
      </c>
      <c r="E485" s="87" t="s">
        <v>206</v>
      </c>
      <c r="F485" s="72">
        <v>367</v>
      </c>
    </row>
    <row r="486" spans="1:6" x14ac:dyDescent="0.3">
      <c r="A486" s="7" t="str">
        <f>_xlfn.XLOOKUP(ColombiaClientes6[[#This Row],[Client]],VpsClientes[Client],VpsClientes[VP],"",0)</f>
        <v>Hector Muraira Garza</v>
      </c>
      <c r="B486" s="70" t="s">
        <v>239</v>
      </c>
      <c r="C486" s="71" t="s">
        <v>203</v>
      </c>
      <c r="D486" s="87" t="s">
        <v>219</v>
      </c>
      <c r="E486" s="87" t="s">
        <v>206</v>
      </c>
      <c r="F486" s="72">
        <v>539</v>
      </c>
    </row>
    <row r="487" spans="1:6" x14ac:dyDescent="0.3">
      <c r="A487" s="7" t="str">
        <f>_xlfn.XLOOKUP(ColombiaClientes6[[#This Row],[Client]],VpsClientes[Client],VpsClientes[VP],"",0)</f>
        <v>Hector Muraira Garza</v>
      </c>
      <c r="B487" s="70" t="s">
        <v>239</v>
      </c>
      <c r="C487" s="71" t="s">
        <v>205</v>
      </c>
      <c r="D487" s="87" t="s">
        <v>219</v>
      </c>
      <c r="E487" s="87" t="s">
        <v>206</v>
      </c>
      <c r="F487" s="72">
        <v>422</v>
      </c>
    </row>
    <row r="488" spans="1:6" x14ac:dyDescent="0.3">
      <c r="A488" s="7" t="str">
        <f>_xlfn.XLOOKUP(ColombiaClientes6[[#This Row],[Client]],VpsClientes[Client],VpsClientes[VP],"",0)</f>
        <v>Hector Muraira Garza</v>
      </c>
      <c r="B488" s="70" t="s">
        <v>239</v>
      </c>
      <c r="C488" s="71" t="s">
        <v>237</v>
      </c>
      <c r="D488" s="87" t="s">
        <v>219</v>
      </c>
      <c r="E488" s="87" t="s">
        <v>206</v>
      </c>
      <c r="F488" s="72">
        <v>20</v>
      </c>
    </row>
    <row r="489" spans="1:6" x14ac:dyDescent="0.3">
      <c r="A489" s="7" t="str">
        <f>_xlfn.XLOOKUP(ColombiaClientes6[[#This Row],[Client]],VpsClientes[Client],VpsClientes[VP],"",0)</f>
        <v>Juan Camilo Granados</v>
      </c>
      <c r="B489" s="70" t="s">
        <v>258</v>
      </c>
      <c r="C489" s="71" t="s">
        <v>92</v>
      </c>
      <c r="D489" s="87" t="s">
        <v>90</v>
      </c>
      <c r="E489" s="87" t="s">
        <v>91</v>
      </c>
      <c r="F489" s="72">
        <v>127</v>
      </c>
    </row>
    <row r="490" spans="1:6" hidden="1" x14ac:dyDescent="0.3">
      <c r="A490" s="7" t="str">
        <f>_xlfn.XLOOKUP(ColombiaClientes6[[#This Row],[Client]],VpsClientes[Client],VpsClientes[VP],"",0)</f>
        <v>Javier Orjuela Sarmiento</v>
      </c>
      <c r="B490" s="70" t="s">
        <v>133</v>
      </c>
      <c r="C490" s="71" t="s">
        <v>202</v>
      </c>
      <c r="D490" s="87" t="s">
        <v>90</v>
      </c>
      <c r="E490" s="87" t="s">
        <v>206</v>
      </c>
      <c r="F490" s="72">
        <v>258</v>
      </c>
    </row>
    <row r="491" spans="1:6" hidden="1" x14ac:dyDescent="0.3">
      <c r="A491" s="7" t="str">
        <f>_xlfn.XLOOKUP(ColombiaClientes6[[#This Row],[Client]],VpsClientes[Client],VpsClientes[VP],"",0)</f>
        <v>Moises Saavedra Garcia</v>
      </c>
      <c r="B491" s="70" t="s">
        <v>201</v>
      </c>
      <c r="C491" s="71" t="s">
        <v>202</v>
      </c>
      <c r="D491" s="87" t="s">
        <v>90</v>
      </c>
      <c r="E491" s="87" t="s">
        <v>206</v>
      </c>
      <c r="F491" s="72">
        <v>239</v>
      </c>
    </row>
    <row r="492" spans="1:6" x14ac:dyDescent="0.3">
      <c r="A492" s="7" t="str">
        <f>_xlfn.XLOOKUP(ColombiaClientes6[[#This Row],[Client]],VpsClientes[Client],VpsClientes[VP],"",0)</f>
        <v>Juan Camilo Granados</v>
      </c>
      <c r="B492" s="70" t="s">
        <v>258</v>
      </c>
      <c r="C492" s="71" t="s">
        <v>191</v>
      </c>
      <c r="D492" s="87" t="s">
        <v>90</v>
      </c>
      <c r="E492" s="87" t="s">
        <v>91</v>
      </c>
      <c r="F492" s="72">
        <v>176</v>
      </c>
    </row>
    <row r="493" spans="1:6" x14ac:dyDescent="0.3">
      <c r="A493" s="7" t="str">
        <f>_xlfn.XLOOKUP(ColombiaClientes6[[#This Row],[Client]],VpsClientes[Client],VpsClientes[VP],"",0)</f>
        <v>Juan Camilo Granados</v>
      </c>
      <c r="B493" s="70" t="s">
        <v>258</v>
      </c>
      <c r="C493" s="71" t="s">
        <v>192</v>
      </c>
      <c r="D493" s="87" t="s">
        <v>90</v>
      </c>
      <c r="E493" s="87" t="s">
        <v>91</v>
      </c>
      <c r="F493" s="72">
        <v>108</v>
      </c>
    </row>
    <row r="494" spans="1:6" x14ac:dyDescent="0.3">
      <c r="A494" s="7" t="str">
        <f>_xlfn.XLOOKUP(ColombiaClientes6[[#This Row],[Client]],VpsClientes[Client],VpsClientes[VP],"",0)</f>
        <v>Juan Camilo Granados</v>
      </c>
      <c r="B494" s="70" t="s">
        <v>258</v>
      </c>
      <c r="C494" s="71" t="s">
        <v>194</v>
      </c>
      <c r="D494" s="87" t="s">
        <v>90</v>
      </c>
      <c r="E494" s="87" t="s">
        <v>91</v>
      </c>
      <c r="F494" s="72">
        <v>223</v>
      </c>
    </row>
    <row r="495" spans="1:6" x14ac:dyDescent="0.3">
      <c r="A495" s="7" t="str">
        <f>_xlfn.XLOOKUP(ColombiaClientes6[[#This Row],[Client]],VpsClientes[Client],VpsClientes[VP],"",0)</f>
        <v>Juan Camilo Granados</v>
      </c>
      <c r="B495" s="70" t="s">
        <v>258</v>
      </c>
      <c r="C495" s="71" t="s">
        <v>202</v>
      </c>
      <c r="D495" s="87" t="s">
        <v>90</v>
      </c>
      <c r="E495" s="87" t="s">
        <v>91</v>
      </c>
      <c r="F495" s="72">
        <v>281</v>
      </c>
    </row>
    <row r="496" spans="1:6" hidden="1" x14ac:dyDescent="0.3">
      <c r="A496" s="7" t="str">
        <f>_xlfn.XLOOKUP(ColombiaClientes6[[#This Row],[Client]],VpsClientes[Client],VpsClientes[VP],"",0)</f>
        <v>Hector Muraira Garza</v>
      </c>
      <c r="B496" s="70" t="s">
        <v>167</v>
      </c>
      <c r="C496" s="71" t="s">
        <v>202</v>
      </c>
      <c r="D496" s="87" t="s">
        <v>90</v>
      </c>
      <c r="E496" s="87" t="s">
        <v>206</v>
      </c>
      <c r="F496" s="72">
        <v>185</v>
      </c>
    </row>
    <row r="497" spans="1:6" hidden="1" x14ac:dyDescent="0.3">
      <c r="A497" s="7" t="str">
        <f>_xlfn.XLOOKUP(ColombiaClientes6[[#This Row],[Client]],VpsClientes[Client],VpsClientes[VP],"",0)</f>
        <v>Moises Saavedra Garcia</v>
      </c>
      <c r="B497" s="70" t="s">
        <v>110</v>
      </c>
      <c r="C497" s="71" t="s">
        <v>202</v>
      </c>
      <c r="D497" s="87" t="s">
        <v>90</v>
      </c>
      <c r="E497" s="87" t="s">
        <v>206</v>
      </c>
      <c r="F497" s="72">
        <v>165</v>
      </c>
    </row>
    <row r="498" spans="1:6" x14ac:dyDescent="0.3">
      <c r="A498" s="7" t="str">
        <f>_xlfn.XLOOKUP(ColombiaClientes6[[#This Row],[Client]],VpsClientes[Client],VpsClientes[VP],"",0)</f>
        <v>Juan Camilo Granados</v>
      </c>
      <c r="B498" s="70" t="s">
        <v>258</v>
      </c>
      <c r="C498" s="71" t="s">
        <v>203</v>
      </c>
      <c r="D498" s="87" t="s">
        <v>90</v>
      </c>
      <c r="E498" s="87" t="s">
        <v>91</v>
      </c>
      <c r="F498" s="72">
        <v>348</v>
      </c>
    </row>
    <row r="499" spans="1:6" x14ac:dyDescent="0.3">
      <c r="A499" s="7" t="str">
        <f>_xlfn.XLOOKUP(ColombiaClientes6[[#This Row],[Client]],VpsClientes[Client],VpsClientes[VP],"",0)</f>
        <v>Juan Camilo Granados</v>
      </c>
      <c r="B499" s="70" t="s">
        <v>258</v>
      </c>
      <c r="C499" s="71" t="s">
        <v>205</v>
      </c>
      <c r="D499" s="87" t="s">
        <v>90</v>
      </c>
      <c r="E499" s="87" t="s">
        <v>91</v>
      </c>
      <c r="F499" s="72">
        <v>134</v>
      </c>
    </row>
    <row r="500" spans="1:6" x14ac:dyDescent="0.3">
      <c r="A500" s="7" t="str">
        <f>_xlfn.XLOOKUP(ColombiaClientes6[[#This Row],[Client]],VpsClientes[Client],VpsClientes[VP],"",0)</f>
        <v>Juan Camilo Granados</v>
      </c>
      <c r="B500" s="70" t="s">
        <v>258</v>
      </c>
      <c r="C500" s="71" t="s">
        <v>237</v>
      </c>
      <c r="D500" s="87" t="s">
        <v>90</v>
      </c>
      <c r="E500" s="87" t="s">
        <v>91</v>
      </c>
      <c r="F500" s="72">
        <v>36</v>
      </c>
    </row>
    <row r="501" spans="1:6" hidden="1" x14ac:dyDescent="0.3">
      <c r="A501" s="7" t="str">
        <f>_xlfn.XLOOKUP(ColombiaClientes6[[#This Row],[Client]],VpsClientes[Client],VpsClientes[VP],"",0)</f>
        <v>Carlos Beltran Hernandez</v>
      </c>
      <c r="B501" s="75" t="s">
        <v>93</v>
      </c>
      <c r="C501" s="10" t="s">
        <v>203</v>
      </c>
      <c r="D501" s="87" t="s">
        <v>90</v>
      </c>
      <c r="E501" s="87" t="s">
        <v>206</v>
      </c>
      <c r="F501" s="76">
        <v>18457</v>
      </c>
    </row>
    <row r="502" spans="1:6" x14ac:dyDescent="0.3">
      <c r="A502" s="7" t="str">
        <f>_xlfn.XLOOKUP(ColombiaClientes6[[#This Row],[Client]],VpsClientes[Client],VpsClientes[VP],"",0)</f>
        <v>Juan Camilo Granados</v>
      </c>
      <c r="B502" s="75" t="s">
        <v>258</v>
      </c>
      <c r="C502" s="75" t="s">
        <v>92</v>
      </c>
      <c r="D502" s="87" t="s">
        <v>90</v>
      </c>
      <c r="E502" s="87" t="s">
        <v>206</v>
      </c>
      <c r="F502" s="76">
        <v>207</v>
      </c>
    </row>
    <row r="503" spans="1:6" hidden="1" x14ac:dyDescent="0.3">
      <c r="A503" s="7" t="str">
        <f>_xlfn.XLOOKUP(ColombiaClientes6[[#This Row],[Client]],VpsClientes[Client],VpsClientes[VP],"",0)</f>
        <v>Ludy Torres Benitez</v>
      </c>
      <c r="B503" s="75" t="s">
        <v>95</v>
      </c>
      <c r="C503" s="75" t="s">
        <v>203</v>
      </c>
      <c r="D503" s="87" t="s">
        <v>90</v>
      </c>
      <c r="E503" s="87" t="s">
        <v>206</v>
      </c>
      <c r="F503" s="76">
        <v>3660</v>
      </c>
    </row>
    <row r="504" spans="1:6" hidden="1" x14ac:dyDescent="0.3">
      <c r="A504" s="7" t="str">
        <f>_xlfn.XLOOKUP(ColombiaClientes6[[#This Row],[Client]],VpsClientes[Client],VpsClientes[VP],"",0)</f>
        <v>Martha Guzman Arango</v>
      </c>
      <c r="B504" s="75" t="s">
        <v>199</v>
      </c>
      <c r="C504" s="75" t="s">
        <v>203</v>
      </c>
      <c r="D504" s="87" t="s">
        <v>90</v>
      </c>
      <c r="E504" s="87" t="s">
        <v>206</v>
      </c>
      <c r="F504" s="76">
        <v>3430</v>
      </c>
    </row>
    <row r="505" spans="1:6" hidden="1" x14ac:dyDescent="0.3">
      <c r="A505" s="7" t="str">
        <f>_xlfn.XLOOKUP(ColombiaClientes6[[#This Row],[Client]],VpsClientes[Client],VpsClientes[VP],"",0)</f>
        <v>Hector Muraira Garza</v>
      </c>
      <c r="B505" s="75" t="s">
        <v>164</v>
      </c>
      <c r="C505" s="75" t="s">
        <v>203</v>
      </c>
      <c r="D505" s="87" t="s">
        <v>90</v>
      </c>
      <c r="E505" s="87" t="s">
        <v>206</v>
      </c>
      <c r="F505" s="76">
        <v>3211</v>
      </c>
    </row>
    <row r="506" spans="1:6" x14ac:dyDescent="0.3">
      <c r="A506" s="7" t="str">
        <f>_xlfn.XLOOKUP(ColombiaClientes6[[#This Row],[Client]],VpsClientes[Client],VpsClientes[VP],"",0)</f>
        <v>Juan Camilo Granados</v>
      </c>
      <c r="B506" s="75" t="s">
        <v>258</v>
      </c>
      <c r="C506" s="75" t="s">
        <v>191</v>
      </c>
      <c r="D506" s="87" t="s">
        <v>90</v>
      </c>
      <c r="E506" s="87" t="s">
        <v>206</v>
      </c>
      <c r="F506" s="76">
        <v>132</v>
      </c>
    </row>
    <row r="507" spans="1:6" x14ac:dyDescent="0.3">
      <c r="A507" s="7" t="str">
        <f>_xlfn.XLOOKUP(ColombiaClientes6[[#This Row],[Client]],VpsClientes[Client],VpsClientes[VP],"",0)</f>
        <v>Juan Camilo Granados</v>
      </c>
      <c r="B507" s="75" t="s">
        <v>258</v>
      </c>
      <c r="C507" s="75" t="s">
        <v>192</v>
      </c>
      <c r="D507" s="87" t="s">
        <v>90</v>
      </c>
      <c r="E507" s="87" t="s">
        <v>206</v>
      </c>
      <c r="F507" s="76">
        <v>72</v>
      </c>
    </row>
    <row r="508" spans="1:6" x14ac:dyDescent="0.3">
      <c r="A508" s="7" t="str">
        <f>_xlfn.XLOOKUP(ColombiaClientes6[[#This Row],[Client]],VpsClientes[Client],VpsClientes[VP],"",0)</f>
        <v>Juan Camilo Granados</v>
      </c>
      <c r="B508" s="75" t="s">
        <v>258</v>
      </c>
      <c r="C508" s="75" t="s">
        <v>194</v>
      </c>
      <c r="D508" s="87" t="s">
        <v>90</v>
      </c>
      <c r="E508" s="87" t="s">
        <v>206</v>
      </c>
      <c r="F508" s="76">
        <v>142</v>
      </c>
    </row>
    <row r="509" spans="1:6" hidden="1" x14ac:dyDescent="0.3">
      <c r="A509" s="7" t="str">
        <f>_xlfn.XLOOKUP(ColombiaClientes6[[#This Row],[Client]],VpsClientes[Client],VpsClientes[VP],"",0)</f>
        <v>Sandra Romero Zuluaga</v>
      </c>
      <c r="B509" s="75" t="s">
        <v>113</v>
      </c>
      <c r="C509" s="75" t="s">
        <v>203</v>
      </c>
      <c r="D509" s="87" t="s">
        <v>90</v>
      </c>
      <c r="E509" s="87" t="s">
        <v>206</v>
      </c>
      <c r="F509" s="76">
        <v>2073</v>
      </c>
    </row>
    <row r="510" spans="1:6" x14ac:dyDescent="0.3">
      <c r="A510" s="7" t="str">
        <f>_xlfn.XLOOKUP(ColombiaClientes6[[#This Row],[Client]],VpsClientes[Client],VpsClientes[VP],"",0)</f>
        <v>Juan Camilo Granados</v>
      </c>
      <c r="B510" s="75" t="s">
        <v>258</v>
      </c>
      <c r="C510" s="75" t="s">
        <v>202</v>
      </c>
      <c r="D510" s="87" t="s">
        <v>90</v>
      </c>
      <c r="E510" s="87" t="s">
        <v>206</v>
      </c>
      <c r="F510" s="76">
        <v>220</v>
      </c>
    </row>
    <row r="511" spans="1:6" x14ac:dyDescent="0.3">
      <c r="A511" s="7" t="str">
        <f>_xlfn.XLOOKUP(ColombiaClientes6[[#This Row],[Client]],VpsClientes[Client],VpsClientes[VP],"",0)</f>
        <v>Juan Camilo Granados</v>
      </c>
      <c r="B511" s="75" t="s">
        <v>258</v>
      </c>
      <c r="C511" s="75" t="s">
        <v>203</v>
      </c>
      <c r="D511" s="87" t="s">
        <v>90</v>
      </c>
      <c r="E511" s="87" t="s">
        <v>206</v>
      </c>
      <c r="F511" s="76">
        <v>337</v>
      </c>
    </row>
    <row r="512" spans="1:6" x14ac:dyDescent="0.3">
      <c r="A512" s="7" t="str">
        <f>_xlfn.XLOOKUP(ColombiaClientes6[[#This Row],[Client]],VpsClientes[Client],VpsClientes[VP],"",0)</f>
        <v>Juan Camilo Granados</v>
      </c>
      <c r="B512" s="75" t="s">
        <v>258</v>
      </c>
      <c r="C512" s="75" t="s">
        <v>205</v>
      </c>
      <c r="D512" s="87" t="s">
        <v>90</v>
      </c>
      <c r="E512" s="87" t="s">
        <v>206</v>
      </c>
      <c r="F512" s="76">
        <v>371</v>
      </c>
    </row>
    <row r="513" spans="1:6" hidden="1" x14ac:dyDescent="0.3">
      <c r="A513" s="7" t="str">
        <f>_xlfn.XLOOKUP(ColombiaClientes6[[#This Row],[Client]],VpsClientes[Client],VpsClientes[VP],"",0)</f>
        <v>Jhonatan Izquierdo Rico</v>
      </c>
      <c r="B513" s="75" t="s">
        <v>104</v>
      </c>
      <c r="C513" s="75" t="s">
        <v>203</v>
      </c>
      <c r="D513" s="87" t="s">
        <v>90</v>
      </c>
      <c r="E513" s="87" t="s">
        <v>206</v>
      </c>
      <c r="F513" s="76">
        <v>1530</v>
      </c>
    </row>
    <row r="514" spans="1:6" x14ac:dyDescent="0.3">
      <c r="A514" s="7" t="str">
        <f>_xlfn.XLOOKUP(ColombiaClientes6[[#This Row],[Client]],VpsClientes[Client],VpsClientes[VP],"",0)</f>
        <v>Juan Camilo Granados</v>
      </c>
      <c r="B514" s="75" t="s">
        <v>258</v>
      </c>
      <c r="C514" s="75" t="s">
        <v>237</v>
      </c>
      <c r="D514" s="87" t="s">
        <v>90</v>
      </c>
      <c r="E514" s="87" t="s">
        <v>206</v>
      </c>
      <c r="F514" s="76">
        <v>109</v>
      </c>
    </row>
    <row r="515" spans="1:6" hidden="1" x14ac:dyDescent="0.3">
      <c r="A515" s="7" t="str">
        <f>_xlfn.XLOOKUP(ColombiaClientes6[[#This Row],[Client]],VpsClientes[Client],VpsClientes[VP],"",0)</f>
        <v>Hector Muraira Garza</v>
      </c>
      <c r="B515" s="75" t="s">
        <v>132</v>
      </c>
      <c r="C515" s="75" t="s">
        <v>203</v>
      </c>
      <c r="D515" s="87" t="s">
        <v>90</v>
      </c>
      <c r="E515" s="87" t="s">
        <v>206</v>
      </c>
      <c r="F515" s="76">
        <v>1271</v>
      </c>
    </row>
    <row r="516" spans="1:6" x14ac:dyDescent="0.3">
      <c r="A516" s="7" t="str">
        <f>_xlfn.XLOOKUP(ColombiaClientes6[[#This Row],[Client]],VpsClientes[Client],VpsClientes[VP],"",0)</f>
        <v>Juan Camilo Granados</v>
      </c>
      <c r="B516" s="75" t="s">
        <v>258</v>
      </c>
      <c r="C516" s="75" t="s">
        <v>92</v>
      </c>
      <c r="D516" s="87" t="s">
        <v>219</v>
      </c>
      <c r="E516" s="87" t="s">
        <v>91</v>
      </c>
      <c r="F516" s="76">
        <v>72</v>
      </c>
    </row>
    <row r="517" spans="1:6" hidden="1" x14ac:dyDescent="0.3">
      <c r="A517" s="7" t="str">
        <f>_xlfn.XLOOKUP(ColombiaClientes6[[#This Row],[Client]],VpsClientes[Client],VpsClientes[VP],"",0)</f>
        <v>Moises Saavedra Garcia</v>
      </c>
      <c r="B517" s="75" t="s">
        <v>201</v>
      </c>
      <c r="C517" s="75" t="s">
        <v>203</v>
      </c>
      <c r="D517" s="87" t="s">
        <v>90</v>
      </c>
      <c r="E517" s="87" t="s">
        <v>206</v>
      </c>
      <c r="F517" s="76">
        <v>1011</v>
      </c>
    </row>
    <row r="518" spans="1:6" hidden="1" x14ac:dyDescent="0.3">
      <c r="A518" s="7" t="str">
        <f>_xlfn.XLOOKUP(ColombiaClientes6[[#This Row],[Client]],VpsClientes[Client],VpsClientes[VP],"",0)</f>
        <v>Juan Granados Castillo</v>
      </c>
      <c r="B518" s="75" t="s">
        <v>134</v>
      </c>
      <c r="C518" s="75" t="s">
        <v>203</v>
      </c>
      <c r="D518" s="87" t="s">
        <v>90</v>
      </c>
      <c r="E518" s="87" t="s">
        <v>206</v>
      </c>
      <c r="F518" s="76">
        <v>795</v>
      </c>
    </row>
    <row r="519" spans="1:6" hidden="1" x14ac:dyDescent="0.3">
      <c r="A519" s="7" t="str">
        <f>_xlfn.XLOOKUP(ColombiaClientes6[[#This Row],[Client]],VpsClientes[Client],VpsClientes[VP],"",0)</f>
        <v>Jhonatan Izquierdo Rico</v>
      </c>
      <c r="B519" s="75" t="s">
        <v>157</v>
      </c>
      <c r="C519" s="75" t="s">
        <v>203</v>
      </c>
      <c r="D519" s="87" t="s">
        <v>90</v>
      </c>
      <c r="E519" s="87" t="s">
        <v>206</v>
      </c>
      <c r="F519" s="76">
        <v>734</v>
      </c>
    </row>
    <row r="520" spans="1:6" hidden="1" x14ac:dyDescent="0.3">
      <c r="A520" s="7" t="str">
        <f>_xlfn.XLOOKUP(ColombiaClientes6[[#This Row],[Client]],VpsClientes[Client],VpsClientes[VP],"",0)</f>
        <v>Carlos Castillo Figueroa</v>
      </c>
      <c r="B520" s="75" t="s">
        <v>105</v>
      </c>
      <c r="C520" s="75" t="s">
        <v>203</v>
      </c>
      <c r="D520" s="87" t="s">
        <v>90</v>
      </c>
      <c r="E520" s="87" t="s">
        <v>206</v>
      </c>
      <c r="F520" s="76">
        <v>722</v>
      </c>
    </row>
    <row r="521" spans="1:6" x14ac:dyDescent="0.3">
      <c r="A521" s="7" t="str">
        <f>_xlfn.XLOOKUP(ColombiaClientes6[[#This Row],[Client]],VpsClientes[Client],VpsClientes[VP],"",0)</f>
        <v>Juan Camilo Granados</v>
      </c>
      <c r="B521" s="75" t="s">
        <v>258</v>
      </c>
      <c r="C521" s="75" t="s">
        <v>191</v>
      </c>
      <c r="D521" s="87" t="s">
        <v>219</v>
      </c>
      <c r="E521" s="87" t="s">
        <v>91</v>
      </c>
      <c r="F521" s="76">
        <v>56</v>
      </c>
    </row>
    <row r="522" spans="1:6" x14ac:dyDescent="0.3">
      <c r="A522" s="7" t="str">
        <f>_xlfn.XLOOKUP(ColombiaClientes6[[#This Row],[Client]],VpsClientes[Client],VpsClientes[VP],"",0)</f>
        <v>Juan Camilo Granados</v>
      </c>
      <c r="B522" s="75" t="s">
        <v>258</v>
      </c>
      <c r="C522" s="75" t="s">
        <v>192</v>
      </c>
      <c r="D522" s="87" t="s">
        <v>219</v>
      </c>
      <c r="E522" s="87" t="s">
        <v>91</v>
      </c>
      <c r="F522" s="76">
        <v>0</v>
      </c>
    </row>
    <row r="523" spans="1:6" x14ac:dyDescent="0.3">
      <c r="A523" s="7" t="str">
        <f>_xlfn.XLOOKUP(ColombiaClientes6[[#This Row],[Client]],VpsClientes[Client],VpsClientes[VP],"",0)</f>
        <v>Juan Camilo Granados</v>
      </c>
      <c r="B523" s="75" t="s">
        <v>258</v>
      </c>
      <c r="C523" s="75" t="s">
        <v>194</v>
      </c>
      <c r="D523" s="87" t="s">
        <v>219</v>
      </c>
      <c r="E523" s="87" t="s">
        <v>91</v>
      </c>
      <c r="F523" s="76">
        <v>62</v>
      </c>
    </row>
    <row r="524" spans="1:6" x14ac:dyDescent="0.3">
      <c r="A524" s="7" t="str">
        <f>_xlfn.XLOOKUP(ColombiaClientes6[[#This Row],[Client]],VpsClientes[Client],VpsClientes[VP],"",0)</f>
        <v>Juan Camilo Granados</v>
      </c>
      <c r="B524" s="75" t="s">
        <v>258</v>
      </c>
      <c r="C524" s="75" t="s">
        <v>202</v>
      </c>
      <c r="D524" s="87" t="s">
        <v>219</v>
      </c>
      <c r="E524" s="87" t="s">
        <v>91</v>
      </c>
      <c r="F524" s="76">
        <v>79</v>
      </c>
    </row>
    <row r="525" spans="1:6" x14ac:dyDescent="0.3">
      <c r="A525" s="7" t="str">
        <f>_xlfn.XLOOKUP(ColombiaClientes6[[#This Row],[Client]],VpsClientes[Client],VpsClientes[VP],"",0)</f>
        <v>Juan Camilo Granados</v>
      </c>
      <c r="B525" s="75" t="s">
        <v>258</v>
      </c>
      <c r="C525" s="75" t="s">
        <v>203</v>
      </c>
      <c r="D525" s="87" t="s">
        <v>219</v>
      </c>
      <c r="E525" s="87" t="s">
        <v>91</v>
      </c>
      <c r="F525" s="76">
        <v>91</v>
      </c>
    </row>
    <row r="526" spans="1:6" x14ac:dyDescent="0.3">
      <c r="A526" s="7" t="str">
        <f>_xlfn.XLOOKUP(ColombiaClientes6[[#This Row],[Client]],VpsClientes[Client],VpsClientes[VP],"",0)</f>
        <v>Juan Camilo Granados</v>
      </c>
      <c r="B526" s="75" t="s">
        <v>258</v>
      </c>
      <c r="C526" s="75" t="s">
        <v>205</v>
      </c>
      <c r="D526" s="87" t="s">
        <v>219</v>
      </c>
      <c r="E526" s="87" t="s">
        <v>91</v>
      </c>
      <c r="F526" s="76">
        <v>70</v>
      </c>
    </row>
    <row r="527" spans="1:6" hidden="1" x14ac:dyDescent="0.3">
      <c r="A527" s="7" t="str">
        <f>_xlfn.XLOOKUP(ColombiaClientes6[[#This Row],[Client]],VpsClientes[Client],VpsClientes[VP],"",0)</f>
        <v>Hector Muraira Garza</v>
      </c>
      <c r="B527" s="75" t="s">
        <v>140</v>
      </c>
      <c r="C527" s="75" t="s">
        <v>203</v>
      </c>
      <c r="D527" s="87" t="s">
        <v>90</v>
      </c>
      <c r="E527" s="87" t="s">
        <v>206</v>
      </c>
      <c r="F527" s="76">
        <v>426</v>
      </c>
    </row>
    <row r="528" spans="1:6" x14ac:dyDescent="0.3">
      <c r="A528" s="7" t="str">
        <f>_xlfn.XLOOKUP(ColombiaClientes6[[#This Row],[Client]],VpsClientes[Client],VpsClientes[VP],"",0)</f>
        <v>Juan Camilo Granados</v>
      </c>
      <c r="B528" s="75" t="s">
        <v>258</v>
      </c>
      <c r="C528" s="75" t="s">
        <v>237</v>
      </c>
      <c r="D528" s="87" t="s">
        <v>219</v>
      </c>
      <c r="E528" s="87" t="s">
        <v>91</v>
      </c>
      <c r="F528" s="76">
        <v>25</v>
      </c>
    </row>
    <row r="529" spans="1:6" x14ac:dyDescent="0.3">
      <c r="A529" s="7" t="str">
        <f>_xlfn.XLOOKUP(ColombiaClientes6[[#This Row],[Client]],VpsClientes[Client],VpsClientes[VP],"",0)</f>
        <v>Juan Camilo Granados</v>
      </c>
      <c r="B529" s="75" t="s">
        <v>258</v>
      </c>
      <c r="C529" s="75" t="s">
        <v>92</v>
      </c>
      <c r="D529" s="87" t="s">
        <v>219</v>
      </c>
      <c r="E529" s="87" t="s">
        <v>206</v>
      </c>
      <c r="F529" s="76">
        <v>17</v>
      </c>
    </row>
    <row r="530" spans="1:6" x14ac:dyDescent="0.3">
      <c r="A530" s="7" t="str">
        <f>_xlfn.XLOOKUP(ColombiaClientes6[[#This Row],[Client]],VpsClientes[Client],VpsClientes[VP],"",0)</f>
        <v>Juan Camilo Granados</v>
      </c>
      <c r="B530" s="75" t="s">
        <v>258</v>
      </c>
      <c r="C530" s="75" t="s">
        <v>191</v>
      </c>
      <c r="D530" s="87" t="s">
        <v>219</v>
      </c>
      <c r="E530" s="87" t="s">
        <v>206</v>
      </c>
      <c r="F530" s="76">
        <v>2</v>
      </c>
    </row>
    <row r="531" spans="1:6" x14ac:dyDescent="0.3">
      <c r="A531" s="7" t="str">
        <f>_xlfn.XLOOKUP(ColombiaClientes6[[#This Row],[Client]],VpsClientes[Client],VpsClientes[VP],"",0)</f>
        <v>Juan Camilo Granados</v>
      </c>
      <c r="B531" s="75" t="s">
        <v>258</v>
      </c>
      <c r="C531" s="75" t="s">
        <v>192</v>
      </c>
      <c r="D531" s="87" t="s">
        <v>219</v>
      </c>
      <c r="E531" s="87" t="s">
        <v>206</v>
      </c>
      <c r="F531" s="76">
        <v>4</v>
      </c>
    </row>
    <row r="532" spans="1:6" x14ac:dyDescent="0.3">
      <c r="A532" s="7" t="str">
        <f>_xlfn.XLOOKUP(ColombiaClientes6[[#This Row],[Client]],VpsClientes[Client],VpsClientes[VP],"",0)</f>
        <v>Juan Camilo Granados</v>
      </c>
      <c r="B532" s="75" t="s">
        <v>258</v>
      </c>
      <c r="C532" s="75" t="s">
        <v>194</v>
      </c>
      <c r="D532" s="87" t="s">
        <v>219</v>
      </c>
      <c r="E532" s="87" t="s">
        <v>206</v>
      </c>
      <c r="F532" s="76">
        <v>56</v>
      </c>
    </row>
    <row r="533" spans="1:6" hidden="1" x14ac:dyDescent="0.3">
      <c r="A533" s="7" t="str">
        <f>_xlfn.XLOOKUP(ColombiaClientes6[[#This Row],[Client]],VpsClientes[Client],VpsClientes[VP],"",0)</f>
        <v>Moises Saavedra Garcia</v>
      </c>
      <c r="B533" s="75" t="s">
        <v>110</v>
      </c>
      <c r="C533" s="75" t="s">
        <v>203</v>
      </c>
      <c r="D533" s="87" t="s">
        <v>90</v>
      </c>
      <c r="E533" s="87" t="s">
        <v>206</v>
      </c>
      <c r="F533" s="76">
        <v>276</v>
      </c>
    </row>
    <row r="534" spans="1:6" x14ac:dyDescent="0.3">
      <c r="A534" s="7" t="str">
        <f>_xlfn.XLOOKUP(ColombiaClientes6[[#This Row],[Client]],VpsClientes[Client],VpsClientes[VP],"",0)</f>
        <v>Juan Camilo Granados</v>
      </c>
      <c r="B534" s="75" t="s">
        <v>258</v>
      </c>
      <c r="C534" s="75" t="s">
        <v>202</v>
      </c>
      <c r="D534" s="87" t="s">
        <v>219</v>
      </c>
      <c r="E534" s="87" t="s">
        <v>206</v>
      </c>
      <c r="F534" s="76">
        <v>51</v>
      </c>
    </row>
    <row r="535" spans="1:6" hidden="1" x14ac:dyDescent="0.3">
      <c r="A535" s="7" t="str">
        <f>_xlfn.XLOOKUP(ColombiaClientes6[[#This Row],[Client]],VpsClientes[Client],VpsClientes[VP],"",0)</f>
        <v>Hector Muraira Garza</v>
      </c>
      <c r="B535" s="75" t="s">
        <v>167</v>
      </c>
      <c r="C535" s="75" t="s">
        <v>203</v>
      </c>
      <c r="D535" s="87" t="s">
        <v>90</v>
      </c>
      <c r="E535" s="87" t="s">
        <v>206</v>
      </c>
      <c r="F535" s="76">
        <v>202</v>
      </c>
    </row>
    <row r="536" spans="1:6" hidden="1" x14ac:dyDescent="0.3">
      <c r="A536" s="7" t="str">
        <f>_xlfn.XLOOKUP(ColombiaClientes6[[#This Row],[Client]],VpsClientes[Client],VpsClientes[VP],"",0)</f>
        <v>Javier Orjuela Sarmiento</v>
      </c>
      <c r="B536" s="75" t="s">
        <v>133</v>
      </c>
      <c r="C536" s="75" t="s">
        <v>203</v>
      </c>
      <c r="D536" s="87" t="s">
        <v>90</v>
      </c>
      <c r="E536" s="87" t="s">
        <v>206</v>
      </c>
      <c r="F536" s="76">
        <v>137</v>
      </c>
    </row>
    <row r="537" spans="1:6" x14ac:dyDescent="0.3">
      <c r="A537" s="7" t="str">
        <f>_xlfn.XLOOKUP(ColombiaClientes6[[#This Row],[Client]],VpsClientes[Client],VpsClientes[VP],"",0)</f>
        <v>Juan Camilo Granados</v>
      </c>
      <c r="B537" s="75" t="s">
        <v>258</v>
      </c>
      <c r="C537" s="75" t="s">
        <v>203</v>
      </c>
      <c r="D537" s="87" t="s">
        <v>219</v>
      </c>
      <c r="E537" s="87" t="s">
        <v>206</v>
      </c>
      <c r="F537" s="76">
        <v>66</v>
      </c>
    </row>
    <row r="538" spans="1:6" x14ac:dyDescent="0.3">
      <c r="A538" s="7" t="str">
        <f>_xlfn.XLOOKUP(ColombiaClientes6[[#This Row],[Client]],VpsClientes[Client],VpsClientes[VP],"",0)</f>
        <v>Juan Camilo Granados</v>
      </c>
      <c r="B538" s="75" t="s">
        <v>258</v>
      </c>
      <c r="C538" s="75" t="s">
        <v>205</v>
      </c>
      <c r="D538" s="87" t="s">
        <v>219</v>
      </c>
      <c r="E538" s="87" t="s">
        <v>206</v>
      </c>
      <c r="F538" s="76">
        <v>65</v>
      </c>
    </row>
    <row r="539" spans="1:6" x14ac:dyDescent="0.3">
      <c r="A539" s="7" t="str">
        <f>_xlfn.XLOOKUP(ColombiaClientes6[[#This Row],[Client]],VpsClientes[Client],VpsClientes[VP],"",0)</f>
        <v>Juan Camilo Granados</v>
      </c>
      <c r="B539" s="75" t="s">
        <v>258</v>
      </c>
      <c r="C539" s="75" t="s">
        <v>237</v>
      </c>
      <c r="D539" s="87" t="s">
        <v>219</v>
      </c>
      <c r="E539" s="87" t="s">
        <v>206</v>
      </c>
      <c r="F539" s="76">
        <v>3</v>
      </c>
    </row>
    <row r="540" spans="1:6" x14ac:dyDescent="0.3">
      <c r="A540" s="7" t="str">
        <f>_xlfn.XLOOKUP(ColombiaClientes6[[#This Row],[Client]],VpsClientes[Client],VpsClientes[VP],"",0)</f>
        <v>Juan Camilo Granados</v>
      </c>
      <c r="B540" s="75" t="s">
        <v>245</v>
      </c>
      <c r="C540" s="75" t="s">
        <v>92</v>
      </c>
      <c r="D540" s="87" t="s">
        <v>90</v>
      </c>
      <c r="E540" s="87" t="s">
        <v>91</v>
      </c>
      <c r="F540" s="76">
        <v>795</v>
      </c>
    </row>
    <row r="541" spans="1:6" x14ac:dyDescent="0.3">
      <c r="A541" s="7" t="str">
        <f>_xlfn.XLOOKUP(ColombiaClientes6[[#This Row],[Client]],VpsClientes[Client],VpsClientes[VP],"",0)</f>
        <v>Juan Camilo Granados</v>
      </c>
      <c r="B541" s="75" t="s">
        <v>245</v>
      </c>
      <c r="C541" s="75" t="s">
        <v>191</v>
      </c>
      <c r="D541" s="87" t="s">
        <v>90</v>
      </c>
      <c r="E541" s="87" t="s">
        <v>91</v>
      </c>
      <c r="F541" s="76">
        <v>693</v>
      </c>
    </row>
    <row r="542" spans="1:6" hidden="1" x14ac:dyDescent="0.3">
      <c r="A542" s="7" t="str">
        <f>_xlfn.XLOOKUP(ColombiaClientes6[[#This Row],[Client]],VpsClientes[Client],VpsClientes[VP],"",0)</f>
        <v>Carlos Beltran Hernandez</v>
      </c>
      <c r="B542" s="81" t="s">
        <v>93</v>
      </c>
      <c r="C542" s="10" t="s">
        <v>205</v>
      </c>
      <c r="D542" s="87" t="s">
        <v>90</v>
      </c>
      <c r="E542" s="87" t="s">
        <v>206</v>
      </c>
      <c r="F542" s="83">
        <v>19966</v>
      </c>
    </row>
    <row r="543" spans="1:6" x14ac:dyDescent="0.3">
      <c r="A543" s="7" t="str">
        <f>_xlfn.XLOOKUP(ColombiaClientes6[[#This Row],[Client]],VpsClientes[Client],VpsClientes[VP],"",0)</f>
        <v>Juan Camilo Granados</v>
      </c>
      <c r="B543" s="81" t="s">
        <v>245</v>
      </c>
      <c r="C543" s="82" t="s">
        <v>192</v>
      </c>
      <c r="D543" s="87" t="s">
        <v>90</v>
      </c>
      <c r="E543" s="87" t="s">
        <v>91</v>
      </c>
      <c r="F543" s="83">
        <v>604</v>
      </c>
    </row>
    <row r="544" spans="1:6" x14ac:dyDescent="0.3">
      <c r="A544" s="7" t="str">
        <f>_xlfn.XLOOKUP(ColombiaClientes6[[#This Row],[Client]],VpsClientes[Client],VpsClientes[VP],"",0)</f>
        <v>Juan Camilo Granados</v>
      </c>
      <c r="B544" s="81" t="s">
        <v>245</v>
      </c>
      <c r="C544" s="82" t="s">
        <v>194</v>
      </c>
      <c r="D544" s="87" t="s">
        <v>90</v>
      </c>
      <c r="E544" s="87" t="s">
        <v>91</v>
      </c>
      <c r="F544" s="83">
        <v>572</v>
      </c>
    </row>
    <row r="545" spans="1:6" hidden="1" x14ac:dyDescent="0.3">
      <c r="A545" s="7" t="str">
        <f>_xlfn.XLOOKUP(ColombiaClientes6[[#This Row],[Client]],VpsClientes[Client],VpsClientes[VP],"",0)</f>
        <v>Hector Muraira Garza</v>
      </c>
      <c r="B545" s="81" t="s">
        <v>164</v>
      </c>
      <c r="C545" s="82" t="s">
        <v>205</v>
      </c>
      <c r="D545" s="87" t="s">
        <v>90</v>
      </c>
      <c r="E545" s="87" t="s">
        <v>206</v>
      </c>
      <c r="F545" s="83">
        <v>4378</v>
      </c>
    </row>
    <row r="546" spans="1:6" hidden="1" x14ac:dyDescent="0.3">
      <c r="A546" s="7" t="str">
        <f>_xlfn.XLOOKUP(ColombiaClientes6[[#This Row],[Client]],VpsClientes[Client],VpsClientes[VP],"",0)</f>
        <v>Ludy Torres Benitez</v>
      </c>
      <c r="B546" s="81" t="s">
        <v>95</v>
      </c>
      <c r="C546" s="82" t="s">
        <v>205</v>
      </c>
      <c r="D546" s="87" t="s">
        <v>90</v>
      </c>
      <c r="E546" s="87" t="s">
        <v>206</v>
      </c>
      <c r="F546" s="83">
        <v>4180</v>
      </c>
    </row>
    <row r="547" spans="1:6" hidden="1" x14ac:dyDescent="0.3">
      <c r="A547" s="7" t="str">
        <f>_xlfn.XLOOKUP(ColombiaClientes6[[#This Row],[Client]],VpsClientes[Client],VpsClientes[VP],"",0)</f>
        <v>Moises Saavedra Garcia</v>
      </c>
      <c r="B547" s="81" t="s">
        <v>201</v>
      </c>
      <c r="C547" s="82" t="s">
        <v>205</v>
      </c>
      <c r="D547" s="87" t="s">
        <v>90</v>
      </c>
      <c r="E547" s="87" t="s">
        <v>206</v>
      </c>
      <c r="F547" s="83">
        <v>3756</v>
      </c>
    </row>
    <row r="548" spans="1:6" x14ac:dyDescent="0.3">
      <c r="A548" s="7" t="str">
        <f>_xlfn.XLOOKUP(ColombiaClientes6[[#This Row],[Client]],VpsClientes[Client],VpsClientes[VP],"",0)</f>
        <v>Juan Camilo Granados</v>
      </c>
      <c r="B548" s="81" t="s">
        <v>245</v>
      </c>
      <c r="C548" s="82" t="s">
        <v>202</v>
      </c>
      <c r="D548" s="87" t="s">
        <v>90</v>
      </c>
      <c r="E548" s="87" t="s">
        <v>91</v>
      </c>
      <c r="F548" s="83">
        <v>439</v>
      </c>
    </row>
    <row r="549" spans="1:6" x14ac:dyDescent="0.3">
      <c r="A549" s="7" t="str">
        <f>_xlfn.XLOOKUP(ColombiaClientes6[[#This Row],[Client]],VpsClientes[Client],VpsClientes[VP],"",0)</f>
        <v>Juan Camilo Granados</v>
      </c>
      <c r="B549" s="81" t="s">
        <v>245</v>
      </c>
      <c r="C549" s="82" t="s">
        <v>203</v>
      </c>
      <c r="D549" s="87" t="s">
        <v>90</v>
      </c>
      <c r="E549" s="87" t="s">
        <v>91</v>
      </c>
      <c r="F549" s="83">
        <v>435</v>
      </c>
    </row>
    <row r="550" spans="1:6" hidden="1" x14ac:dyDescent="0.3">
      <c r="A550" s="7" t="str">
        <f>_xlfn.XLOOKUP(ColombiaClientes6[[#This Row],[Client]],VpsClientes[Client],VpsClientes[VP],"",0)</f>
        <v>Sandra Romero Zuluaga</v>
      </c>
      <c r="B550" s="81" t="s">
        <v>113</v>
      </c>
      <c r="C550" s="82" t="s">
        <v>205</v>
      </c>
      <c r="D550" s="87" t="s">
        <v>90</v>
      </c>
      <c r="E550" s="87" t="s">
        <v>206</v>
      </c>
      <c r="F550" s="83">
        <v>3602</v>
      </c>
    </row>
    <row r="551" spans="1:6" hidden="1" x14ac:dyDescent="0.3">
      <c r="A551" s="7" t="str">
        <f>_xlfn.XLOOKUP(ColombiaClientes6[[#This Row],[Client]],VpsClientes[Client],VpsClientes[VP],"",0)</f>
        <v>Martha Guzman Arango</v>
      </c>
      <c r="B551" s="81" t="s">
        <v>199</v>
      </c>
      <c r="C551" s="82" t="s">
        <v>205</v>
      </c>
      <c r="D551" s="87" t="s">
        <v>90</v>
      </c>
      <c r="E551" s="87" t="s">
        <v>206</v>
      </c>
      <c r="F551" s="83">
        <v>3305</v>
      </c>
    </row>
    <row r="552" spans="1:6" x14ac:dyDescent="0.3">
      <c r="A552" s="7" t="str">
        <f>_xlfn.XLOOKUP(ColombiaClientes6[[#This Row],[Client]],VpsClientes[Client],VpsClientes[VP],"",0)</f>
        <v>Juan Camilo Granados</v>
      </c>
      <c r="B552" s="81" t="s">
        <v>245</v>
      </c>
      <c r="C552" s="82" t="s">
        <v>205</v>
      </c>
      <c r="D552" s="87" t="s">
        <v>90</v>
      </c>
      <c r="E552" s="87" t="s">
        <v>91</v>
      </c>
      <c r="F552" s="83">
        <v>456</v>
      </c>
    </row>
    <row r="553" spans="1:6" x14ac:dyDescent="0.3">
      <c r="A553" s="7" t="str">
        <f>_xlfn.XLOOKUP(ColombiaClientes6[[#This Row],[Client]],VpsClientes[Client],VpsClientes[VP],"",0)</f>
        <v>Juan Camilo Granados</v>
      </c>
      <c r="B553" s="81" t="s">
        <v>245</v>
      </c>
      <c r="C553" s="82" t="s">
        <v>237</v>
      </c>
      <c r="D553" s="87" t="s">
        <v>90</v>
      </c>
      <c r="E553" s="87" t="s">
        <v>91</v>
      </c>
      <c r="F553" s="83">
        <v>16</v>
      </c>
    </row>
    <row r="554" spans="1:6" x14ac:dyDescent="0.3">
      <c r="A554" s="7" t="str">
        <f>_xlfn.XLOOKUP(ColombiaClientes6[[#This Row],[Client]],VpsClientes[Client],VpsClientes[VP],"",0)</f>
        <v>Juan Camilo Granados</v>
      </c>
      <c r="B554" s="81" t="s">
        <v>245</v>
      </c>
      <c r="C554" s="82" t="s">
        <v>92</v>
      </c>
      <c r="D554" s="87" t="s">
        <v>90</v>
      </c>
      <c r="E554" s="87" t="s">
        <v>206</v>
      </c>
      <c r="F554" s="83">
        <v>521</v>
      </c>
    </row>
    <row r="555" spans="1:6" hidden="1" x14ac:dyDescent="0.3">
      <c r="A555" s="7" t="str">
        <f>_xlfn.XLOOKUP(ColombiaClientes6[[#This Row],[Client]],VpsClientes[Client],VpsClientes[VP],"",0)</f>
        <v>Jhonatan Izquierdo Rico</v>
      </c>
      <c r="B555" s="81" t="s">
        <v>157</v>
      </c>
      <c r="C555" s="82" t="s">
        <v>205</v>
      </c>
      <c r="D555" s="87" t="s">
        <v>90</v>
      </c>
      <c r="E555" s="87" t="s">
        <v>206</v>
      </c>
      <c r="F555" s="83">
        <v>1772</v>
      </c>
    </row>
    <row r="556" spans="1:6" hidden="1" x14ac:dyDescent="0.3">
      <c r="A556" s="7" t="str">
        <f>_xlfn.XLOOKUP(ColombiaClientes6[[#This Row],[Client]],VpsClientes[Client],VpsClientes[VP],"",0)</f>
        <v>Jhonatan Izquierdo Rico</v>
      </c>
      <c r="B556" s="81" t="s">
        <v>104</v>
      </c>
      <c r="C556" s="82" t="s">
        <v>205</v>
      </c>
      <c r="D556" s="87" t="s">
        <v>90</v>
      </c>
      <c r="E556" s="87" t="s">
        <v>206</v>
      </c>
      <c r="F556" s="83">
        <v>1551</v>
      </c>
    </row>
    <row r="557" spans="1:6" x14ac:dyDescent="0.3">
      <c r="A557" s="7" t="str">
        <f>_xlfn.XLOOKUP(ColombiaClientes6[[#This Row],[Client]],VpsClientes[Client],VpsClientes[VP],"",0)</f>
        <v>Juan Camilo Granados</v>
      </c>
      <c r="B557" s="81" t="s">
        <v>245</v>
      </c>
      <c r="C557" s="82" t="s">
        <v>191</v>
      </c>
      <c r="D557" s="87" t="s">
        <v>90</v>
      </c>
      <c r="E557" s="87" t="s">
        <v>206</v>
      </c>
      <c r="F557" s="83">
        <v>491</v>
      </c>
    </row>
    <row r="558" spans="1:6" x14ac:dyDescent="0.3">
      <c r="A558" s="7" t="str">
        <f>_xlfn.XLOOKUP(ColombiaClientes6[[#This Row],[Client]],VpsClientes[Client],VpsClientes[VP],"",0)</f>
        <v>Juan Camilo Granados</v>
      </c>
      <c r="B558" s="81" t="s">
        <v>245</v>
      </c>
      <c r="C558" s="82" t="s">
        <v>192</v>
      </c>
      <c r="D558" s="87" t="s">
        <v>90</v>
      </c>
      <c r="E558" s="87" t="s">
        <v>206</v>
      </c>
      <c r="F558" s="83">
        <v>449</v>
      </c>
    </row>
    <row r="559" spans="1:6" hidden="1" x14ac:dyDescent="0.3">
      <c r="A559" s="7" t="str">
        <f>_xlfn.XLOOKUP(ColombiaClientes6[[#This Row],[Client]],VpsClientes[Client],VpsClientes[VP],"",0)</f>
        <v>Juan Granados Castillo</v>
      </c>
      <c r="B559" s="81" t="s">
        <v>134</v>
      </c>
      <c r="C559" s="82" t="s">
        <v>205</v>
      </c>
      <c r="D559" s="87" t="s">
        <v>90</v>
      </c>
      <c r="E559" s="87" t="s">
        <v>206</v>
      </c>
      <c r="F559" s="83">
        <v>1127</v>
      </c>
    </row>
    <row r="560" spans="1:6" x14ac:dyDescent="0.3">
      <c r="A560" s="7" t="str">
        <f>_xlfn.XLOOKUP(ColombiaClientes6[[#This Row],[Client]],VpsClientes[Client],VpsClientes[VP],"",0)</f>
        <v>Juan Camilo Granados</v>
      </c>
      <c r="B560" s="81" t="s">
        <v>245</v>
      </c>
      <c r="C560" s="82" t="s">
        <v>194</v>
      </c>
      <c r="D560" s="87" t="s">
        <v>90</v>
      </c>
      <c r="E560" s="87" t="s">
        <v>206</v>
      </c>
      <c r="F560" s="83">
        <v>451</v>
      </c>
    </row>
    <row r="561" spans="1:6" hidden="1" x14ac:dyDescent="0.3">
      <c r="A561" s="7" t="str">
        <f>_xlfn.XLOOKUP(ColombiaClientes6[[#This Row],[Client]],VpsClientes[Client],VpsClientes[VP],"",0)</f>
        <v>Moises Saavedra Garcia</v>
      </c>
      <c r="B561" s="81" t="s">
        <v>110</v>
      </c>
      <c r="C561" s="82" t="s">
        <v>205</v>
      </c>
      <c r="D561" s="87" t="s">
        <v>90</v>
      </c>
      <c r="E561" s="87" t="s">
        <v>206</v>
      </c>
      <c r="F561" s="83">
        <v>1050</v>
      </c>
    </row>
    <row r="562" spans="1:6" x14ac:dyDescent="0.3">
      <c r="A562" s="7" t="str">
        <f>_xlfn.XLOOKUP(ColombiaClientes6[[#This Row],[Client]],VpsClientes[Client],VpsClientes[VP],"",0)</f>
        <v>Juan Camilo Granados</v>
      </c>
      <c r="B562" s="81" t="s">
        <v>245</v>
      </c>
      <c r="C562" s="82" t="s">
        <v>202</v>
      </c>
      <c r="D562" s="87" t="s">
        <v>90</v>
      </c>
      <c r="E562" s="87" t="s">
        <v>206</v>
      </c>
      <c r="F562" s="83">
        <v>350</v>
      </c>
    </row>
    <row r="563" spans="1:6" x14ac:dyDescent="0.3">
      <c r="A563" s="7" t="str">
        <f>_xlfn.XLOOKUP(ColombiaClientes6[[#This Row],[Client]],VpsClientes[Client],VpsClientes[VP],"",0)</f>
        <v>Juan Camilo Granados</v>
      </c>
      <c r="B563" s="81" t="s">
        <v>245</v>
      </c>
      <c r="C563" s="82" t="s">
        <v>203</v>
      </c>
      <c r="D563" s="87" t="s">
        <v>90</v>
      </c>
      <c r="E563" s="87" t="s">
        <v>206</v>
      </c>
      <c r="F563" s="83">
        <v>374</v>
      </c>
    </row>
    <row r="564" spans="1:6" x14ac:dyDescent="0.3">
      <c r="A564" s="7" t="str">
        <f>_xlfn.XLOOKUP(ColombiaClientes6[[#This Row],[Client]],VpsClientes[Client],VpsClientes[VP],"",0)</f>
        <v>Juan Camilo Granados</v>
      </c>
      <c r="B564" s="81" t="s">
        <v>245</v>
      </c>
      <c r="C564" s="82" t="s">
        <v>205</v>
      </c>
      <c r="D564" s="87" t="s">
        <v>90</v>
      </c>
      <c r="E564" s="87" t="s">
        <v>206</v>
      </c>
      <c r="F564" s="83">
        <v>810</v>
      </c>
    </row>
    <row r="565" spans="1:6" hidden="1" x14ac:dyDescent="0.3">
      <c r="A565" s="7" t="str">
        <f>_xlfn.XLOOKUP(ColombiaClientes6[[#This Row],[Client]],VpsClientes[Client],VpsClientes[VP],"",0)</f>
        <v>Hector Muraira Garza</v>
      </c>
      <c r="B565" s="81" t="s">
        <v>132</v>
      </c>
      <c r="C565" s="82" t="s">
        <v>205</v>
      </c>
      <c r="D565" s="87" t="s">
        <v>90</v>
      </c>
      <c r="E565" s="87" t="s">
        <v>206</v>
      </c>
      <c r="F565" s="83">
        <v>855</v>
      </c>
    </row>
    <row r="566" spans="1:6" x14ac:dyDescent="0.3">
      <c r="A566" s="7" t="str">
        <f>_xlfn.XLOOKUP(ColombiaClientes6[[#This Row],[Client]],VpsClientes[Client],VpsClientes[VP],"",0)</f>
        <v>Juan Camilo Granados</v>
      </c>
      <c r="B566" s="81" t="s">
        <v>245</v>
      </c>
      <c r="C566" s="82" t="s">
        <v>237</v>
      </c>
      <c r="D566" s="87" t="s">
        <v>90</v>
      </c>
      <c r="E566" s="87" t="s">
        <v>206</v>
      </c>
      <c r="F566" s="83">
        <v>146</v>
      </c>
    </row>
    <row r="567" spans="1:6" x14ac:dyDescent="0.3">
      <c r="A567" s="7" t="str">
        <f>_xlfn.XLOOKUP(ColombiaClientes6[[#This Row],[Client]],VpsClientes[Client],VpsClientes[VP],"",0)</f>
        <v>Juan Camilo Granados</v>
      </c>
      <c r="B567" s="81" t="s">
        <v>245</v>
      </c>
      <c r="C567" s="82" t="s">
        <v>92</v>
      </c>
      <c r="D567" s="87" t="s">
        <v>219</v>
      </c>
      <c r="E567" s="87" t="s">
        <v>91</v>
      </c>
      <c r="F567" s="83">
        <v>707</v>
      </c>
    </row>
    <row r="568" spans="1:6" x14ac:dyDescent="0.3">
      <c r="A568" s="7" t="str">
        <f>_xlfn.XLOOKUP(ColombiaClientes6[[#This Row],[Client]],VpsClientes[Client],VpsClientes[VP],"",0)</f>
        <v>Juan Camilo Granados</v>
      </c>
      <c r="B568" s="81" t="s">
        <v>245</v>
      </c>
      <c r="C568" s="82" t="s">
        <v>191</v>
      </c>
      <c r="D568" s="87" t="s">
        <v>219</v>
      </c>
      <c r="E568" s="87" t="s">
        <v>91</v>
      </c>
      <c r="F568" s="83">
        <v>640</v>
      </c>
    </row>
    <row r="569" spans="1:6" x14ac:dyDescent="0.3">
      <c r="A569" s="7" t="str">
        <f>_xlfn.XLOOKUP(ColombiaClientes6[[#This Row],[Client]],VpsClientes[Client],VpsClientes[VP],"",0)</f>
        <v>Juan Camilo Granados</v>
      </c>
      <c r="B569" s="81" t="s">
        <v>245</v>
      </c>
      <c r="C569" s="82" t="s">
        <v>192</v>
      </c>
      <c r="D569" s="87" t="s">
        <v>219</v>
      </c>
      <c r="E569" s="87" t="s">
        <v>91</v>
      </c>
      <c r="F569" s="83">
        <v>540</v>
      </c>
    </row>
    <row r="570" spans="1:6" hidden="1" x14ac:dyDescent="0.3">
      <c r="A570" s="7" t="str">
        <f>_xlfn.XLOOKUP(ColombiaClientes6[[#This Row],[Client]],VpsClientes[Client],VpsClientes[VP],"",0)</f>
        <v>Carlos Castillo Figueroa</v>
      </c>
      <c r="B570" s="81" t="s">
        <v>105</v>
      </c>
      <c r="C570" s="82" t="s">
        <v>205</v>
      </c>
      <c r="D570" s="87" t="s">
        <v>90</v>
      </c>
      <c r="E570" s="87" t="s">
        <v>206</v>
      </c>
      <c r="F570" s="83">
        <v>418</v>
      </c>
    </row>
    <row r="571" spans="1:6" hidden="1" x14ac:dyDescent="0.3">
      <c r="A571" s="7" t="str">
        <f>_xlfn.XLOOKUP(ColombiaClientes6[[#This Row],[Client]],VpsClientes[Client],VpsClientes[VP],"",0)</f>
        <v>Hector Muraira Garza</v>
      </c>
      <c r="B571" s="81" t="s">
        <v>167</v>
      </c>
      <c r="C571" s="82" t="s">
        <v>205</v>
      </c>
      <c r="D571" s="87" t="s">
        <v>90</v>
      </c>
      <c r="E571" s="87" t="s">
        <v>206</v>
      </c>
      <c r="F571" s="83">
        <v>400</v>
      </c>
    </row>
    <row r="572" spans="1:6" x14ac:dyDescent="0.3">
      <c r="A572" s="7" t="str">
        <f>_xlfn.XLOOKUP(ColombiaClientes6[[#This Row],[Client]],VpsClientes[Client],VpsClientes[VP],"",0)</f>
        <v>Juan Camilo Granados</v>
      </c>
      <c r="B572" s="81" t="s">
        <v>245</v>
      </c>
      <c r="C572" s="82" t="s">
        <v>194</v>
      </c>
      <c r="D572" s="87" t="s">
        <v>219</v>
      </c>
      <c r="E572" s="87" t="s">
        <v>91</v>
      </c>
      <c r="F572" s="83">
        <v>733</v>
      </c>
    </row>
    <row r="573" spans="1:6" x14ac:dyDescent="0.3">
      <c r="A573" s="7" t="str">
        <f>_xlfn.XLOOKUP(ColombiaClientes6[[#This Row],[Client]],VpsClientes[Client],VpsClientes[VP],"",0)</f>
        <v>Juan Camilo Granados</v>
      </c>
      <c r="B573" s="81" t="s">
        <v>245</v>
      </c>
      <c r="C573" s="82" t="s">
        <v>202</v>
      </c>
      <c r="D573" s="87" t="s">
        <v>219</v>
      </c>
      <c r="E573" s="87" t="s">
        <v>91</v>
      </c>
      <c r="F573" s="83">
        <v>671</v>
      </c>
    </row>
    <row r="574" spans="1:6" hidden="1" x14ac:dyDescent="0.3">
      <c r="A574" s="7" t="str">
        <f>_xlfn.XLOOKUP(ColombiaClientes6[[#This Row],[Client]],VpsClientes[Client],VpsClientes[VP],"",0)</f>
        <v>Hector Muraira Garza</v>
      </c>
      <c r="B574" s="81" t="s">
        <v>140</v>
      </c>
      <c r="C574" s="82" t="s">
        <v>205</v>
      </c>
      <c r="D574" s="87" t="s">
        <v>90</v>
      </c>
      <c r="E574" s="87" t="s">
        <v>206</v>
      </c>
      <c r="F574" s="83">
        <v>339</v>
      </c>
    </row>
    <row r="575" spans="1:6" x14ac:dyDescent="0.3">
      <c r="A575" s="7" t="str">
        <f>_xlfn.XLOOKUP(ColombiaClientes6[[#This Row],[Client]],VpsClientes[Client],VpsClientes[VP],"",0)</f>
        <v>Juan Camilo Granados</v>
      </c>
      <c r="B575" s="81" t="s">
        <v>245</v>
      </c>
      <c r="C575" s="82" t="s">
        <v>203</v>
      </c>
      <c r="D575" s="87" t="s">
        <v>219</v>
      </c>
      <c r="E575" s="87" t="s">
        <v>91</v>
      </c>
      <c r="F575" s="83">
        <v>654</v>
      </c>
    </row>
    <row r="576" spans="1:6" x14ac:dyDescent="0.3">
      <c r="A576" s="7" t="str">
        <f>_xlfn.XLOOKUP(ColombiaClientes6[[#This Row],[Client]],VpsClientes[Client],VpsClientes[VP],"",0)</f>
        <v>Juan Camilo Granados</v>
      </c>
      <c r="B576" s="81" t="s">
        <v>245</v>
      </c>
      <c r="C576" s="82" t="s">
        <v>205</v>
      </c>
      <c r="D576" s="87" t="s">
        <v>219</v>
      </c>
      <c r="E576" s="87" t="s">
        <v>91</v>
      </c>
      <c r="F576" s="83">
        <v>867</v>
      </c>
    </row>
    <row r="577" spans="1:6" x14ac:dyDescent="0.3">
      <c r="A577" s="7" t="str">
        <f>_xlfn.XLOOKUP(ColombiaClientes6[[#This Row],[Client]],VpsClientes[Client],VpsClientes[VP],"",0)</f>
        <v>Juan Camilo Granados</v>
      </c>
      <c r="B577" s="81" t="s">
        <v>245</v>
      </c>
      <c r="C577" s="82" t="s">
        <v>237</v>
      </c>
      <c r="D577" s="87" t="s">
        <v>219</v>
      </c>
      <c r="E577" s="87" t="s">
        <v>91</v>
      </c>
      <c r="F577" s="83">
        <v>177</v>
      </c>
    </row>
    <row r="578" spans="1:6" hidden="1" x14ac:dyDescent="0.3">
      <c r="A578" s="7" t="str">
        <f>_xlfn.XLOOKUP(ColombiaClientes6[[#This Row],[Client]],VpsClientes[Client],VpsClientes[VP],"",0)</f>
        <v>Javier Orjuela Sarmiento</v>
      </c>
      <c r="B578" s="81" t="s">
        <v>133</v>
      </c>
      <c r="C578" s="82" t="s">
        <v>205</v>
      </c>
      <c r="D578" s="87" t="s">
        <v>90</v>
      </c>
      <c r="E578" s="87" t="s">
        <v>206</v>
      </c>
      <c r="F578" s="83">
        <v>146</v>
      </c>
    </row>
    <row r="579" spans="1:6" x14ac:dyDescent="0.3">
      <c r="A579" s="7" t="str">
        <f>_xlfn.XLOOKUP(ColombiaClientes6[[#This Row],[Client]],VpsClientes[Client],VpsClientes[VP],"",0)</f>
        <v>Juan Camilo Granados</v>
      </c>
      <c r="B579" s="81" t="s">
        <v>245</v>
      </c>
      <c r="C579" s="82" t="s">
        <v>92</v>
      </c>
      <c r="D579" s="87" t="s">
        <v>219</v>
      </c>
      <c r="E579" s="87" t="s">
        <v>206</v>
      </c>
      <c r="F579" s="83">
        <v>118</v>
      </c>
    </row>
    <row r="580" spans="1:6" x14ac:dyDescent="0.3">
      <c r="A580" s="7" t="str">
        <f>_xlfn.XLOOKUP(ColombiaClientes6[[#This Row],[Client]],VpsClientes[Client],VpsClientes[VP],"",0)</f>
        <v>Juan Camilo Granados</v>
      </c>
      <c r="B580" s="81" t="s">
        <v>245</v>
      </c>
      <c r="C580" s="82" t="s">
        <v>191</v>
      </c>
      <c r="D580" s="87" t="s">
        <v>219</v>
      </c>
      <c r="E580" s="87" t="s">
        <v>206</v>
      </c>
      <c r="F580" s="83">
        <v>140</v>
      </c>
    </row>
    <row r="581" spans="1:6" hidden="1" x14ac:dyDescent="0.3">
      <c r="A581" s="7" t="str">
        <f>_xlfn.XLOOKUP(ColombiaClientes6[[#This Row],[Client]],VpsClientes[Client],VpsClientes[VP],"",0)</f>
        <v>Hector Muraira Garza</v>
      </c>
      <c r="B581" s="81" t="s">
        <v>130</v>
      </c>
      <c r="C581" s="82" t="s">
        <v>205</v>
      </c>
      <c r="D581" s="87" t="s">
        <v>90</v>
      </c>
      <c r="E581" s="87" t="s">
        <v>206</v>
      </c>
      <c r="F581" s="83">
        <v>10</v>
      </c>
    </row>
    <row r="582" spans="1:6" hidden="1" x14ac:dyDescent="0.3">
      <c r="A582" s="7" t="str">
        <f>_xlfn.XLOOKUP(ColombiaClientes6[[#This Row],[Client]],VpsClientes[Client],VpsClientes[VP],"",0)</f>
        <v>Carlos Beltran Hernandez</v>
      </c>
      <c r="B582" s="84" t="s">
        <v>93</v>
      </c>
      <c r="C582" s="10" t="s">
        <v>237</v>
      </c>
      <c r="D582" s="87" t="s">
        <v>90</v>
      </c>
      <c r="E582" s="87" t="s">
        <v>206</v>
      </c>
      <c r="F582" s="86">
        <v>5209</v>
      </c>
    </row>
    <row r="583" spans="1:6" x14ac:dyDescent="0.3">
      <c r="A583" s="7" t="str">
        <f>_xlfn.XLOOKUP(ColombiaClientes6[[#This Row],[Client]],VpsClientes[Client],VpsClientes[VP],"",0)</f>
        <v>Juan Camilo Granados</v>
      </c>
      <c r="B583" s="84" t="s">
        <v>245</v>
      </c>
      <c r="C583" s="84" t="s">
        <v>192</v>
      </c>
      <c r="D583" s="87" t="s">
        <v>219</v>
      </c>
      <c r="E583" s="87" t="s">
        <v>206</v>
      </c>
      <c r="F583" s="86">
        <v>50</v>
      </c>
    </row>
    <row r="584" spans="1:6" hidden="1" x14ac:dyDescent="0.3">
      <c r="A584" s="7" t="str">
        <f>_xlfn.XLOOKUP(ColombiaClientes6[[#This Row],[Client]],VpsClientes[Client],VpsClientes[VP],"",0)</f>
        <v>Ludy Torres Benitez</v>
      </c>
      <c r="B584" s="84" t="s">
        <v>95</v>
      </c>
      <c r="C584" s="84" t="s">
        <v>237</v>
      </c>
      <c r="D584" s="87" t="s">
        <v>90</v>
      </c>
      <c r="E584" s="87" t="s">
        <v>206</v>
      </c>
      <c r="F584" s="86">
        <v>1674</v>
      </c>
    </row>
    <row r="585" spans="1:6" x14ac:dyDescent="0.3">
      <c r="A585" s="7" t="str">
        <f>_xlfn.XLOOKUP(ColombiaClientes6[[#This Row],[Client]],VpsClientes[Client],VpsClientes[VP],"",0)</f>
        <v>Juan Camilo Granados</v>
      </c>
      <c r="B585" s="84" t="s">
        <v>245</v>
      </c>
      <c r="C585" s="84" t="s">
        <v>194</v>
      </c>
      <c r="D585" s="87" t="s">
        <v>219</v>
      </c>
      <c r="E585" s="87" t="s">
        <v>206</v>
      </c>
      <c r="F585" s="86">
        <v>43</v>
      </c>
    </row>
    <row r="586" spans="1:6" x14ac:dyDescent="0.3">
      <c r="A586" s="7" t="str">
        <f>_xlfn.XLOOKUP(ColombiaClientes6[[#This Row],[Client]],VpsClientes[Client],VpsClientes[VP],"",0)</f>
        <v>Juan Camilo Granados</v>
      </c>
      <c r="B586" s="84" t="s">
        <v>245</v>
      </c>
      <c r="C586" s="84" t="s">
        <v>202</v>
      </c>
      <c r="D586" s="87" t="s">
        <v>219</v>
      </c>
      <c r="E586" s="87" t="s">
        <v>206</v>
      </c>
      <c r="F586" s="86">
        <v>12</v>
      </c>
    </row>
    <row r="587" spans="1:6" hidden="1" x14ac:dyDescent="0.3">
      <c r="A587" s="7" t="str">
        <f>_xlfn.XLOOKUP(ColombiaClientes6[[#This Row],[Client]],VpsClientes[Client],VpsClientes[VP],"",0)</f>
        <v>Sandra Romero Zuluaga</v>
      </c>
      <c r="B587" s="84" t="s">
        <v>113</v>
      </c>
      <c r="C587" s="84" t="s">
        <v>237</v>
      </c>
      <c r="D587" s="87" t="s">
        <v>90</v>
      </c>
      <c r="E587" s="87" t="s">
        <v>206</v>
      </c>
      <c r="F587" s="86">
        <v>1176</v>
      </c>
    </row>
    <row r="588" spans="1:6" x14ac:dyDescent="0.3">
      <c r="A588" s="7" t="str">
        <f>_xlfn.XLOOKUP(ColombiaClientes6[[#This Row],[Client]],VpsClientes[Client],VpsClientes[VP],"",0)</f>
        <v>Juan Camilo Granados</v>
      </c>
      <c r="B588" s="84" t="s">
        <v>245</v>
      </c>
      <c r="C588" s="84" t="s">
        <v>203</v>
      </c>
      <c r="D588" s="87" t="s">
        <v>219</v>
      </c>
      <c r="E588" s="87" t="s">
        <v>206</v>
      </c>
      <c r="F588" s="86">
        <v>69</v>
      </c>
    </row>
    <row r="589" spans="1:6" hidden="1" x14ac:dyDescent="0.3">
      <c r="A589" s="7" t="str">
        <f>_xlfn.XLOOKUP(ColombiaClientes6[[#This Row],[Client]],VpsClientes[Client],VpsClientes[VP],"",0)</f>
        <v>Hector Muraira Garza</v>
      </c>
      <c r="B589" s="84" t="s">
        <v>164</v>
      </c>
      <c r="C589" s="84" t="s">
        <v>237</v>
      </c>
      <c r="D589" s="87" t="s">
        <v>90</v>
      </c>
      <c r="E589" s="87" t="s">
        <v>206</v>
      </c>
      <c r="F589" s="86">
        <v>906</v>
      </c>
    </row>
    <row r="590" spans="1:6" x14ac:dyDescent="0.3">
      <c r="A590" s="7" t="str">
        <f>_xlfn.XLOOKUP(ColombiaClientes6[[#This Row],[Client]],VpsClientes[Client],VpsClientes[VP],"",0)</f>
        <v>Juan Camilo Granados</v>
      </c>
      <c r="B590" s="84" t="s">
        <v>245</v>
      </c>
      <c r="C590" s="84" t="s">
        <v>205</v>
      </c>
      <c r="D590" s="87" t="s">
        <v>219</v>
      </c>
      <c r="E590" s="87" t="s">
        <v>206</v>
      </c>
      <c r="F590" s="86">
        <v>44</v>
      </c>
    </row>
    <row r="591" spans="1:6" hidden="1" x14ac:dyDescent="0.3">
      <c r="A591" s="7" t="str">
        <f>_xlfn.XLOOKUP(ColombiaClientes6[[#This Row],[Client]],VpsClientes[Client],VpsClientes[VP],"",0)</f>
        <v>Moises Saavedra Garcia</v>
      </c>
      <c r="B591" s="84" t="s">
        <v>201</v>
      </c>
      <c r="C591" s="84" t="s">
        <v>237</v>
      </c>
      <c r="D591" s="87" t="s">
        <v>90</v>
      </c>
      <c r="E591" s="87" t="s">
        <v>206</v>
      </c>
      <c r="F591" s="86">
        <v>801</v>
      </c>
    </row>
    <row r="592" spans="1:6" x14ac:dyDescent="0.3">
      <c r="A592" s="7" t="str">
        <f>_xlfn.XLOOKUP(ColombiaClientes6[[#This Row],[Client]],VpsClientes[Client],VpsClientes[VP],"",0)</f>
        <v>Juan Camilo Granados</v>
      </c>
      <c r="B592" s="84" t="s">
        <v>245</v>
      </c>
      <c r="C592" s="84" t="s">
        <v>237</v>
      </c>
      <c r="D592" s="87" t="s">
        <v>219</v>
      </c>
      <c r="E592" s="87" t="s">
        <v>206</v>
      </c>
      <c r="F592" s="86">
        <v>1</v>
      </c>
    </row>
    <row r="593" spans="1:6" hidden="1" x14ac:dyDescent="0.3">
      <c r="A593" s="7" t="str">
        <f>_xlfn.XLOOKUP(ColombiaClientes6[[#This Row],[Client]],VpsClientes[Client],VpsClientes[VP],"",0)</f>
        <v>Martha Guzman Arango</v>
      </c>
      <c r="B593" s="84" t="s">
        <v>199</v>
      </c>
      <c r="C593" s="84" t="s">
        <v>237</v>
      </c>
      <c r="D593" s="87" t="s">
        <v>90</v>
      </c>
      <c r="E593" s="87" t="s">
        <v>206</v>
      </c>
      <c r="F593" s="86">
        <v>743</v>
      </c>
    </row>
    <row r="594" spans="1:6" x14ac:dyDescent="0.3">
      <c r="A594" s="7" t="str">
        <f>_xlfn.XLOOKUP(ColombiaClientes6[[#This Row],[Client]],VpsClientes[Client],VpsClientes[VP],"",0)</f>
        <v>Pablo Alvarado Martinez</v>
      </c>
      <c r="B594" s="84" t="s">
        <v>255</v>
      </c>
      <c r="C594" s="84" t="s">
        <v>92</v>
      </c>
      <c r="D594" s="87" t="s">
        <v>90</v>
      </c>
      <c r="E594" s="87" t="s">
        <v>91</v>
      </c>
      <c r="F594" s="86">
        <v>185</v>
      </c>
    </row>
    <row r="595" spans="1:6" x14ac:dyDescent="0.3">
      <c r="A595" s="7" t="str">
        <f>_xlfn.XLOOKUP(ColombiaClientes6[[#This Row],[Client]],VpsClientes[Client],VpsClientes[VP],"",0)</f>
        <v>Pablo Alvarado Martinez</v>
      </c>
      <c r="B595" s="84" t="s">
        <v>255</v>
      </c>
      <c r="C595" s="84" t="s">
        <v>191</v>
      </c>
      <c r="D595" s="87" t="s">
        <v>90</v>
      </c>
      <c r="E595" s="87" t="s">
        <v>91</v>
      </c>
      <c r="F595" s="86">
        <v>260</v>
      </c>
    </row>
    <row r="596" spans="1:6" x14ac:dyDescent="0.3">
      <c r="A596" s="7" t="str">
        <f>_xlfn.XLOOKUP(ColombiaClientes6[[#This Row],[Client]],VpsClientes[Client],VpsClientes[VP],"",0)</f>
        <v>Pablo Alvarado Martinez</v>
      </c>
      <c r="B596" s="84" t="s">
        <v>255</v>
      </c>
      <c r="C596" s="84" t="s">
        <v>192</v>
      </c>
      <c r="D596" s="87" t="s">
        <v>90</v>
      </c>
      <c r="E596" s="87" t="s">
        <v>91</v>
      </c>
      <c r="F596" s="86">
        <v>237</v>
      </c>
    </row>
    <row r="597" spans="1:6" hidden="1" x14ac:dyDescent="0.3">
      <c r="A597" s="7" t="str">
        <f>_xlfn.XLOOKUP(ColombiaClientes6[[#This Row],[Client]],VpsClientes[Client],VpsClientes[VP],"",0)</f>
        <v>Jhonatan Izquierdo Rico</v>
      </c>
      <c r="B597" s="84" t="s">
        <v>157</v>
      </c>
      <c r="C597" s="84" t="s">
        <v>237</v>
      </c>
      <c r="D597" s="87" t="s">
        <v>90</v>
      </c>
      <c r="E597" s="87" t="s">
        <v>206</v>
      </c>
      <c r="F597" s="86">
        <v>482</v>
      </c>
    </row>
    <row r="598" spans="1:6" x14ac:dyDescent="0.3">
      <c r="A598" s="7" t="str">
        <f>_xlfn.XLOOKUP(ColombiaClientes6[[#This Row],[Client]],VpsClientes[Client],VpsClientes[VP],"",0)</f>
        <v>Pablo Alvarado Martinez</v>
      </c>
      <c r="B598" s="84" t="s">
        <v>255</v>
      </c>
      <c r="C598" s="84" t="s">
        <v>194</v>
      </c>
      <c r="D598" s="87" t="s">
        <v>90</v>
      </c>
      <c r="E598" s="87" t="s">
        <v>91</v>
      </c>
      <c r="F598" s="86">
        <v>138</v>
      </c>
    </row>
    <row r="599" spans="1:6" x14ac:dyDescent="0.3">
      <c r="A599" s="7" t="str">
        <f>_xlfn.XLOOKUP(ColombiaClientes6[[#This Row],[Client]],VpsClientes[Client],VpsClientes[VP],"",0)</f>
        <v>Pablo Alvarado Martinez</v>
      </c>
      <c r="B599" s="84" t="s">
        <v>255</v>
      </c>
      <c r="C599" s="84" t="s">
        <v>202</v>
      </c>
      <c r="D599" s="87" t="s">
        <v>90</v>
      </c>
      <c r="E599" s="87" t="s">
        <v>91</v>
      </c>
      <c r="F599" s="86">
        <v>214</v>
      </c>
    </row>
    <row r="600" spans="1:6" hidden="1" x14ac:dyDescent="0.3">
      <c r="A600" s="7" t="str">
        <f>_xlfn.XLOOKUP(ColombiaClientes6[[#This Row],[Client]],VpsClientes[Client],VpsClientes[VP],"",0)</f>
        <v>Juan Granados Castillo</v>
      </c>
      <c r="B600" s="84" t="s">
        <v>134</v>
      </c>
      <c r="C600" s="84" t="s">
        <v>237</v>
      </c>
      <c r="D600" s="87" t="s">
        <v>90</v>
      </c>
      <c r="E600" s="87" t="s">
        <v>206</v>
      </c>
      <c r="F600" s="86">
        <v>342</v>
      </c>
    </row>
    <row r="601" spans="1:6" hidden="1" x14ac:dyDescent="0.3">
      <c r="A601" s="7" t="str">
        <f>_xlfn.XLOOKUP(ColombiaClientes6[[#This Row],[Client]],VpsClientes[Client],VpsClientes[VP],"",0)</f>
        <v>Jhonatan Izquierdo Rico</v>
      </c>
      <c r="B601" s="84" t="s">
        <v>104</v>
      </c>
      <c r="C601" s="84" t="s">
        <v>237</v>
      </c>
      <c r="D601" s="87" t="s">
        <v>90</v>
      </c>
      <c r="E601" s="87" t="s">
        <v>206</v>
      </c>
      <c r="F601" s="86">
        <v>326</v>
      </c>
    </row>
    <row r="602" spans="1:6" hidden="1" x14ac:dyDescent="0.3">
      <c r="A602" s="7" t="str">
        <f>_xlfn.XLOOKUP(ColombiaClientes6[[#This Row],[Client]],VpsClientes[Client],VpsClientes[VP],"",0)</f>
        <v>Hector Muraira Garza</v>
      </c>
      <c r="B602" s="84" t="s">
        <v>132</v>
      </c>
      <c r="C602" s="84" t="s">
        <v>237</v>
      </c>
      <c r="D602" s="87" t="s">
        <v>90</v>
      </c>
      <c r="E602" s="87" t="s">
        <v>206</v>
      </c>
      <c r="F602" s="86">
        <v>290</v>
      </c>
    </row>
    <row r="603" spans="1:6" hidden="1" x14ac:dyDescent="0.3">
      <c r="A603" s="7" t="str">
        <f>_xlfn.XLOOKUP(ColombiaClientes6[[#This Row],[Client]],VpsClientes[Client],VpsClientes[VP],"",0)</f>
        <v>Moises Saavedra Garcia</v>
      </c>
      <c r="B603" s="84" t="s">
        <v>110</v>
      </c>
      <c r="C603" s="84" t="s">
        <v>237</v>
      </c>
      <c r="D603" s="87" t="s">
        <v>90</v>
      </c>
      <c r="E603" s="87" t="s">
        <v>206</v>
      </c>
      <c r="F603" s="86">
        <v>274</v>
      </c>
    </row>
    <row r="604" spans="1:6" x14ac:dyDescent="0.3">
      <c r="A604" s="7" t="str">
        <f>_xlfn.XLOOKUP(ColombiaClientes6[[#This Row],[Client]],VpsClientes[Client],VpsClientes[VP],"",0)</f>
        <v>Pablo Alvarado Martinez</v>
      </c>
      <c r="B604" s="84" t="s">
        <v>255</v>
      </c>
      <c r="C604" s="84" t="s">
        <v>203</v>
      </c>
      <c r="D604" s="87" t="s">
        <v>90</v>
      </c>
      <c r="E604" s="87" t="s">
        <v>91</v>
      </c>
      <c r="F604" s="86">
        <v>193</v>
      </c>
    </row>
    <row r="605" spans="1:6" hidden="1" x14ac:dyDescent="0.3">
      <c r="A605" s="7" t="str">
        <f>_xlfn.XLOOKUP(ColombiaClientes6[[#This Row],[Client]],VpsClientes[Client],VpsClientes[VP],"",0)</f>
        <v>Hector Muraira Garza</v>
      </c>
      <c r="B605" s="84" t="s">
        <v>140</v>
      </c>
      <c r="C605" s="84" t="s">
        <v>237</v>
      </c>
      <c r="D605" s="87" t="s">
        <v>90</v>
      </c>
      <c r="E605" s="87" t="s">
        <v>206</v>
      </c>
      <c r="F605" s="86">
        <v>207</v>
      </c>
    </row>
    <row r="606" spans="1:6" x14ac:dyDescent="0.3">
      <c r="A606" s="7" t="str">
        <f>_xlfn.XLOOKUP(ColombiaClientes6[[#This Row],[Client]],VpsClientes[Client],VpsClientes[VP],"",0)</f>
        <v>Pablo Alvarado Martinez</v>
      </c>
      <c r="B606" s="84" t="s">
        <v>255</v>
      </c>
      <c r="C606" s="84" t="s">
        <v>205</v>
      </c>
      <c r="D606" s="87" t="s">
        <v>90</v>
      </c>
      <c r="E606" s="87" t="s">
        <v>91</v>
      </c>
      <c r="F606" s="86">
        <v>166</v>
      </c>
    </row>
    <row r="607" spans="1:6" x14ac:dyDescent="0.3">
      <c r="A607" s="7" t="str">
        <f>_xlfn.XLOOKUP(ColombiaClientes6[[#This Row],[Client]],VpsClientes[Client],VpsClientes[VP],"",0)</f>
        <v>Pablo Alvarado Martinez</v>
      </c>
      <c r="B607" s="84" t="s">
        <v>255</v>
      </c>
      <c r="C607" s="84" t="s">
        <v>237</v>
      </c>
      <c r="D607" s="87" t="s">
        <v>90</v>
      </c>
      <c r="E607" s="87" t="s">
        <v>91</v>
      </c>
      <c r="F607" s="86">
        <v>25</v>
      </c>
    </row>
    <row r="608" spans="1:6" hidden="1" x14ac:dyDescent="0.3">
      <c r="A608" s="7" t="str">
        <f>_xlfn.XLOOKUP(ColombiaClientes6[[#This Row],[Client]],VpsClientes[Client],VpsClientes[VP],"",0)</f>
        <v>Carlos Castillo Figueroa</v>
      </c>
      <c r="B608" s="84" t="s">
        <v>105</v>
      </c>
      <c r="C608" s="84" t="s">
        <v>237</v>
      </c>
      <c r="D608" s="87" t="s">
        <v>90</v>
      </c>
      <c r="E608" s="87" t="s">
        <v>206</v>
      </c>
      <c r="F608" s="86">
        <v>155</v>
      </c>
    </row>
    <row r="609" spans="1:6" x14ac:dyDescent="0.3">
      <c r="A609" s="7" t="str">
        <f>_xlfn.XLOOKUP(ColombiaClientes6[[#This Row],[Client]],VpsClientes[Client],VpsClientes[VP],"",0)</f>
        <v>Pablo Alvarado Martinez</v>
      </c>
      <c r="B609" s="84" t="s">
        <v>255</v>
      </c>
      <c r="C609" s="84" t="s">
        <v>92</v>
      </c>
      <c r="D609" s="87" t="s">
        <v>90</v>
      </c>
      <c r="E609" s="87" t="s">
        <v>206</v>
      </c>
      <c r="F609" s="86">
        <v>656</v>
      </c>
    </row>
    <row r="610" spans="1:6" x14ac:dyDescent="0.3">
      <c r="A610" s="7" t="str">
        <f>_xlfn.XLOOKUP(ColombiaClientes6[[#This Row],[Client]],VpsClientes[Client],VpsClientes[VP],"",0)</f>
        <v>Pablo Alvarado Martinez</v>
      </c>
      <c r="B610" s="84" t="s">
        <v>255</v>
      </c>
      <c r="C610" s="84" t="s">
        <v>191</v>
      </c>
      <c r="D610" s="87" t="s">
        <v>90</v>
      </c>
      <c r="E610" s="87" t="s">
        <v>206</v>
      </c>
      <c r="F610" s="86">
        <v>682</v>
      </c>
    </row>
    <row r="611" spans="1:6" hidden="1" x14ac:dyDescent="0.3">
      <c r="A611" s="7" t="str">
        <f>_xlfn.XLOOKUP(ColombiaClientes6[[#This Row],[Client]],VpsClientes[Client],VpsClientes[VP],"",0)</f>
        <v>Hector Muraira Garza</v>
      </c>
      <c r="B611" s="84" t="s">
        <v>167</v>
      </c>
      <c r="C611" s="84" t="s">
        <v>237</v>
      </c>
      <c r="D611" s="87" t="s">
        <v>90</v>
      </c>
      <c r="E611" s="87" t="s">
        <v>206</v>
      </c>
      <c r="F611" s="86">
        <v>140</v>
      </c>
    </row>
    <row r="612" spans="1:6" hidden="1" x14ac:dyDescent="0.3">
      <c r="A612" s="7" t="str">
        <f>_xlfn.XLOOKUP(ColombiaClientes6[[#This Row],[Client]],VpsClientes[Client],VpsClientes[VP],"",0)</f>
        <v>Jhonatan Izquierdo Rico</v>
      </c>
      <c r="B612" s="84" t="s">
        <v>107</v>
      </c>
      <c r="C612" s="84" t="s">
        <v>237</v>
      </c>
      <c r="D612" s="87" t="s">
        <v>90</v>
      </c>
      <c r="E612" s="87" t="s">
        <v>206</v>
      </c>
      <c r="F612" s="86">
        <v>137</v>
      </c>
    </row>
    <row r="613" spans="1:6" x14ac:dyDescent="0.3">
      <c r="A613" s="7" t="str">
        <f>_xlfn.XLOOKUP(ColombiaClientes6[[#This Row],[Client]],VpsClientes[Client],VpsClientes[VP],"",0)</f>
        <v>Pablo Alvarado Martinez</v>
      </c>
      <c r="B613" s="84" t="s">
        <v>255</v>
      </c>
      <c r="C613" s="84" t="s">
        <v>192</v>
      </c>
      <c r="D613" s="87" t="s">
        <v>90</v>
      </c>
      <c r="E613" s="87" t="s">
        <v>206</v>
      </c>
      <c r="F613" s="86">
        <v>533</v>
      </c>
    </row>
    <row r="614" spans="1:6" x14ac:dyDescent="0.3">
      <c r="A614" s="7" t="str">
        <f>_xlfn.XLOOKUP(ColombiaClientes6[[#This Row],[Client]],VpsClientes[Client],VpsClientes[VP],"",0)</f>
        <v>Pablo Alvarado Martinez</v>
      </c>
      <c r="B614" s="84" t="s">
        <v>255</v>
      </c>
      <c r="C614" s="84" t="s">
        <v>194</v>
      </c>
      <c r="D614" s="87" t="s">
        <v>90</v>
      </c>
      <c r="E614" s="87" t="s">
        <v>206</v>
      </c>
      <c r="F614" s="86">
        <v>831</v>
      </c>
    </row>
    <row r="615" spans="1:6" hidden="1" x14ac:dyDescent="0.3">
      <c r="A615" s="7" t="str">
        <f>_xlfn.XLOOKUP(ColombiaClientes6[[#This Row],[Client]],VpsClientes[Client],VpsClientes[VP],"",0)</f>
        <v>Javier Orjuela Sarmiento</v>
      </c>
      <c r="B615" s="84" t="s">
        <v>133</v>
      </c>
      <c r="C615" s="84" t="s">
        <v>237</v>
      </c>
      <c r="D615" s="87" t="s">
        <v>90</v>
      </c>
      <c r="E615" s="87" t="s">
        <v>206</v>
      </c>
      <c r="F615" s="86">
        <v>90</v>
      </c>
    </row>
    <row r="616" spans="1:6" x14ac:dyDescent="0.3">
      <c r="A616" s="7" t="str">
        <f>_xlfn.XLOOKUP(ColombiaClientes6[[#This Row],[Client]],VpsClientes[Client],VpsClientes[VP],"",0)</f>
        <v>Pablo Alvarado Martinez</v>
      </c>
      <c r="B616" s="84" t="s">
        <v>255</v>
      </c>
      <c r="C616" s="84" t="s">
        <v>202</v>
      </c>
      <c r="D616" s="87" t="s">
        <v>90</v>
      </c>
      <c r="E616" s="87" t="s">
        <v>206</v>
      </c>
      <c r="F616" s="86">
        <v>631</v>
      </c>
    </row>
    <row r="617" spans="1:6" x14ac:dyDescent="0.3">
      <c r="A617" s="7" t="str">
        <f>_xlfn.XLOOKUP(ColombiaClientes6[[#This Row],[Client]],VpsClientes[Client],VpsClientes[VP],"",0)</f>
        <v>Pablo Alvarado Martinez</v>
      </c>
      <c r="B617" s="84" t="s">
        <v>255</v>
      </c>
      <c r="C617" s="84" t="s">
        <v>203</v>
      </c>
      <c r="D617" s="87" t="s">
        <v>90</v>
      </c>
      <c r="E617" s="87" t="s">
        <v>206</v>
      </c>
      <c r="F617" s="86">
        <v>1081</v>
      </c>
    </row>
    <row r="618" spans="1:6" x14ac:dyDescent="0.3">
      <c r="A618" s="7" t="str">
        <f>_xlfn.XLOOKUP(ColombiaClientes6[[#This Row],[Client]],VpsClientes[Client],VpsClientes[VP],"",0)</f>
        <v>Pablo Alvarado Martinez</v>
      </c>
      <c r="B618" s="84" t="s">
        <v>255</v>
      </c>
      <c r="C618" s="84" t="s">
        <v>205</v>
      </c>
      <c r="D618" s="87" t="s">
        <v>90</v>
      </c>
      <c r="E618" s="87" t="s">
        <v>206</v>
      </c>
      <c r="F618" s="86">
        <v>814</v>
      </c>
    </row>
    <row r="619" spans="1:6" hidden="1" x14ac:dyDescent="0.3">
      <c r="A619" s="7" t="str">
        <f>_xlfn.XLOOKUP(ColombiaClientes6[[#This Row],[Client]],VpsClientes[Client],VpsClientes[VP],"",0)</f>
        <v>Hector Muraira Garza</v>
      </c>
      <c r="B619" s="84" t="s">
        <v>130</v>
      </c>
      <c r="C619" s="84" t="s">
        <v>237</v>
      </c>
      <c r="D619" s="87" t="s">
        <v>90</v>
      </c>
      <c r="E619" s="87" t="s">
        <v>206</v>
      </c>
      <c r="F619" s="86">
        <v>28</v>
      </c>
    </row>
    <row r="620" spans="1:6" x14ac:dyDescent="0.3">
      <c r="A620" s="7" t="str">
        <f>_xlfn.XLOOKUP(ColombiaClientes6[[#This Row],[Client]],VpsClientes[Client],VpsClientes[VP],"",0)</f>
        <v>Pablo Alvarado Martinez</v>
      </c>
      <c r="B620" s="84" t="s">
        <v>255</v>
      </c>
      <c r="C620" s="84" t="s">
        <v>237</v>
      </c>
      <c r="D620" s="87" t="s">
        <v>90</v>
      </c>
      <c r="E620" s="87" t="s">
        <v>206</v>
      </c>
      <c r="F620" s="86">
        <v>190</v>
      </c>
    </row>
    <row r="621" spans="1:6" x14ac:dyDescent="0.3">
      <c r="A621" s="7" t="str">
        <f>_xlfn.XLOOKUP(ColombiaClientes6[[#This Row],[Client]],VpsClientes[Client],VpsClientes[VP],"",0)</f>
        <v>Pablo Alvarado Martinez</v>
      </c>
      <c r="B621" s="84" t="s">
        <v>255</v>
      </c>
      <c r="C621" s="84" t="s">
        <v>92</v>
      </c>
      <c r="D621" s="87" t="s">
        <v>219</v>
      </c>
      <c r="E621" s="87" t="s">
        <v>91</v>
      </c>
      <c r="F621" s="86">
        <v>266</v>
      </c>
    </row>
    <row r="622" spans="1:6" x14ac:dyDescent="0.3">
      <c r="A622" s="7" t="str">
        <f>_xlfn.XLOOKUP(ColombiaClientes6[[#This Row],[Client]],VpsClientes[Client],VpsClientes[VP],"",0)</f>
        <v>Pablo Alvarado Martinez</v>
      </c>
      <c r="B622" s="84" t="s">
        <v>255</v>
      </c>
      <c r="C622" s="84" t="s">
        <v>191</v>
      </c>
      <c r="D622" s="87" t="s">
        <v>219</v>
      </c>
      <c r="E622" s="87" t="s">
        <v>91</v>
      </c>
      <c r="F622" s="86">
        <v>386</v>
      </c>
    </row>
    <row r="623" spans="1:6" hidden="1" x14ac:dyDescent="0.3">
      <c r="A623" s="7" t="str">
        <f>_xlfn.XLOOKUP(ColombiaClientes6[[#This Row],[Client]],VpsClientes[Client],VpsClientes[VP],"",0)</f>
        <v>Carlos Beltran Hernandez</v>
      </c>
      <c r="B623" s="91" t="s">
        <v>93</v>
      </c>
      <c r="C623" s="10" t="s">
        <v>92</v>
      </c>
      <c r="D623" s="10" t="s">
        <v>219</v>
      </c>
      <c r="E623" s="10" t="s">
        <v>91</v>
      </c>
      <c r="F623" s="92">
        <v>9876</v>
      </c>
    </row>
    <row r="624" spans="1:6" hidden="1" x14ac:dyDescent="0.3">
      <c r="A624" s="7" t="str">
        <f>_xlfn.XLOOKUP(ColombiaClientes6[[#This Row],[Client]],VpsClientes[Client],VpsClientes[VP],"",0)</f>
        <v>Ludy Torres Benitez</v>
      </c>
      <c r="B624" s="91" t="s">
        <v>95</v>
      </c>
      <c r="C624" s="91" t="s">
        <v>92</v>
      </c>
      <c r="D624" s="91" t="s">
        <v>219</v>
      </c>
      <c r="E624" s="91" t="s">
        <v>91</v>
      </c>
      <c r="F624" s="92">
        <v>6130</v>
      </c>
    </row>
    <row r="625" spans="1:6" hidden="1" x14ac:dyDescent="0.3">
      <c r="A625" s="7" t="str">
        <f>_xlfn.XLOOKUP(ColombiaClientes6[[#This Row],[Client]],VpsClientes[Client],VpsClientes[VP],"",0)</f>
        <v>Javier Orjuela Sarmiento</v>
      </c>
      <c r="B625" s="91" t="s">
        <v>133</v>
      </c>
      <c r="C625" s="91" t="s">
        <v>92</v>
      </c>
      <c r="D625" s="91" t="s">
        <v>219</v>
      </c>
      <c r="E625" s="91" t="s">
        <v>91</v>
      </c>
      <c r="F625" s="92">
        <v>5998</v>
      </c>
    </row>
    <row r="626" spans="1:6" hidden="1" x14ac:dyDescent="0.3">
      <c r="A626" s="7" t="str">
        <f>_xlfn.XLOOKUP(ColombiaClientes6[[#This Row],[Client]],VpsClientes[Client],VpsClientes[VP],"",0)</f>
        <v>Moises Saavedra Garcia</v>
      </c>
      <c r="B626" s="91" t="s">
        <v>110</v>
      </c>
      <c r="C626" s="91" t="s">
        <v>92</v>
      </c>
      <c r="D626" s="91" t="s">
        <v>219</v>
      </c>
      <c r="E626" s="91" t="s">
        <v>91</v>
      </c>
      <c r="F626" s="92">
        <v>5007</v>
      </c>
    </row>
    <row r="627" spans="1:6" x14ac:dyDescent="0.3">
      <c r="A627" s="7" t="str">
        <f>_xlfn.XLOOKUP(ColombiaClientes6[[#This Row],[Client]],VpsClientes[Client],VpsClientes[VP],"",0)</f>
        <v>Pablo Alvarado Martinez</v>
      </c>
      <c r="B627" s="91" t="s">
        <v>255</v>
      </c>
      <c r="C627" s="91" t="s">
        <v>192</v>
      </c>
      <c r="D627" s="91" t="s">
        <v>219</v>
      </c>
      <c r="E627" s="91" t="s">
        <v>91</v>
      </c>
      <c r="F627" s="92">
        <v>339</v>
      </c>
    </row>
    <row r="628" spans="1:6" hidden="1" x14ac:dyDescent="0.3">
      <c r="A628" s="7" t="str">
        <f>_xlfn.XLOOKUP(ColombiaClientes6[[#This Row],[Client]],VpsClientes[Client],VpsClientes[VP],"",0)</f>
        <v>Hector Muraira Garza</v>
      </c>
      <c r="B628" s="91" t="s">
        <v>164</v>
      </c>
      <c r="C628" s="91" t="s">
        <v>92</v>
      </c>
      <c r="D628" s="91" t="s">
        <v>219</v>
      </c>
      <c r="E628" s="91" t="s">
        <v>91</v>
      </c>
      <c r="F628" s="92">
        <v>3156</v>
      </c>
    </row>
    <row r="629" spans="1:6" x14ac:dyDescent="0.3">
      <c r="A629" s="7" t="str">
        <f>_xlfn.XLOOKUP(ColombiaClientes6[[#This Row],[Client]],VpsClientes[Client],VpsClientes[VP],"",0)</f>
        <v>Pablo Alvarado Martinez</v>
      </c>
      <c r="B629" s="91" t="s">
        <v>255</v>
      </c>
      <c r="C629" s="91" t="s">
        <v>194</v>
      </c>
      <c r="D629" s="91" t="s">
        <v>219</v>
      </c>
      <c r="E629" s="91" t="s">
        <v>91</v>
      </c>
      <c r="F629" s="92">
        <v>205</v>
      </c>
    </row>
    <row r="630" spans="1:6" x14ac:dyDescent="0.3">
      <c r="A630" s="7" t="str">
        <f>_xlfn.XLOOKUP(ColombiaClientes6[[#This Row],[Client]],VpsClientes[Client],VpsClientes[VP],"",0)</f>
        <v>Pablo Alvarado Martinez</v>
      </c>
      <c r="B630" s="91" t="s">
        <v>255</v>
      </c>
      <c r="C630" s="91" t="s">
        <v>202</v>
      </c>
      <c r="D630" s="91" t="s">
        <v>219</v>
      </c>
      <c r="E630" s="91" t="s">
        <v>91</v>
      </c>
      <c r="F630" s="92">
        <v>360</v>
      </c>
    </row>
    <row r="631" spans="1:6" x14ac:dyDescent="0.3">
      <c r="A631" s="7" t="str">
        <f>_xlfn.XLOOKUP(ColombiaClientes6[[#This Row],[Client]],VpsClientes[Client],VpsClientes[VP],"",0)</f>
        <v>Pablo Alvarado Martinez</v>
      </c>
      <c r="B631" s="91" t="s">
        <v>255</v>
      </c>
      <c r="C631" s="91" t="s">
        <v>203</v>
      </c>
      <c r="D631" s="91" t="s">
        <v>219</v>
      </c>
      <c r="E631" s="91" t="s">
        <v>91</v>
      </c>
      <c r="F631" s="92">
        <v>426</v>
      </c>
    </row>
    <row r="632" spans="1:6" x14ac:dyDescent="0.3">
      <c r="A632" s="7" t="str">
        <f>_xlfn.XLOOKUP(ColombiaClientes6[[#This Row],[Client]],VpsClientes[Client],VpsClientes[VP],"",0)</f>
        <v>Pablo Alvarado Martinez</v>
      </c>
      <c r="B632" s="91" t="s">
        <v>255</v>
      </c>
      <c r="C632" s="91" t="s">
        <v>205</v>
      </c>
      <c r="D632" s="91" t="s">
        <v>219</v>
      </c>
      <c r="E632" s="91" t="s">
        <v>91</v>
      </c>
      <c r="F632" s="92">
        <v>602</v>
      </c>
    </row>
    <row r="633" spans="1:6" hidden="1" x14ac:dyDescent="0.3">
      <c r="A633" s="7" t="str">
        <f>_xlfn.XLOOKUP(ColombiaClientes6[[#This Row],[Client]],VpsClientes[Client],VpsClientes[VP],"",0)</f>
        <v>Juan Granados Castillo</v>
      </c>
      <c r="B633" s="91" t="s">
        <v>134</v>
      </c>
      <c r="C633" s="91" t="s">
        <v>92</v>
      </c>
      <c r="D633" s="91" t="s">
        <v>219</v>
      </c>
      <c r="E633" s="91" t="s">
        <v>91</v>
      </c>
      <c r="F633" s="92">
        <v>1115</v>
      </c>
    </row>
    <row r="634" spans="1:6" hidden="1" x14ac:dyDescent="0.3">
      <c r="A634" s="7" t="str">
        <f>_xlfn.XLOOKUP(ColombiaClientes6[[#This Row],[Client]],VpsClientes[Client],VpsClientes[VP],"",0)</f>
        <v>Sandra Romero Zuluaga</v>
      </c>
      <c r="B634" s="91" t="s">
        <v>113</v>
      </c>
      <c r="C634" s="91" t="s">
        <v>92</v>
      </c>
      <c r="D634" s="91" t="s">
        <v>219</v>
      </c>
      <c r="E634" s="91" t="s">
        <v>91</v>
      </c>
      <c r="F634" s="92">
        <v>1044</v>
      </c>
    </row>
    <row r="635" spans="1:6" hidden="1" x14ac:dyDescent="0.3">
      <c r="A635" s="7" t="str">
        <f>_xlfn.XLOOKUP(ColombiaClientes6[[#This Row],[Client]],VpsClientes[Client],VpsClientes[VP],"",0)</f>
        <v>Jhonatan Izquierdo Rico</v>
      </c>
      <c r="B635" s="91" t="s">
        <v>104</v>
      </c>
      <c r="C635" s="91" t="s">
        <v>92</v>
      </c>
      <c r="D635" s="91" t="s">
        <v>219</v>
      </c>
      <c r="E635" s="91" t="s">
        <v>91</v>
      </c>
      <c r="F635" s="92">
        <v>959</v>
      </c>
    </row>
    <row r="636" spans="1:6" x14ac:dyDescent="0.3">
      <c r="A636" s="7" t="str">
        <f>_xlfn.XLOOKUP(ColombiaClientes6[[#This Row],[Client]],VpsClientes[Client],VpsClientes[VP],"",0)</f>
        <v>Pablo Alvarado Martinez</v>
      </c>
      <c r="B636" s="91" t="s">
        <v>255</v>
      </c>
      <c r="C636" s="91" t="s">
        <v>237</v>
      </c>
      <c r="D636" s="91" t="s">
        <v>219</v>
      </c>
      <c r="E636" s="91" t="s">
        <v>91</v>
      </c>
      <c r="F636" s="92">
        <v>102</v>
      </c>
    </row>
    <row r="637" spans="1:6" x14ac:dyDescent="0.3">
      <c r="A637" s="7" t="str">
        <f>_xlfn.XLOOKUP(ColombiaClientes6[[#This Row],[Client]],VpsClientes[Client],VpsClientes[VP],"",0)</f>
        <v>Pablo Alvarado Martinez</v>
      </c>
      <c r="B637" s="91" t="s">
        <v>255</v>
      </c>
      <c r="C637" s="91" t="s">
        <v>92</v>
      </c>
      <c r="D637" s="91" t="s">
        <v>219</v>
      </c>
      <c r="E637" s="91" t="s">
        <v>206</v>
      </c>
      <c r="F637" s="92">
        <v>58</v>
      </c>
    </row>
    <row r="638" spans="1:6" hidden="1" x14ac:dyDescent="0.3">
      <c r="A638" s="7" t="str">
        <f>_xlfn.XLOOKUP(ColombiaClientes6[[#This Row],[Client]],VpsClientes[Client],VpsClientes[VP],"",0)</f>
        <v>Hector Muraira Garza</v>
      </c>
      <c r="B638" s="91" t="s">
        <v>140</v>
      </c>
      <c r="C638" s="91" t="s">
        <v>92</v>
      </c>
      <c r="D638" s="91" t="s">
        <v>219</v>
      </c>
      <c r="E638" s="91" t="s">
        <v>91</v>
      </c>
      <c r="F638" s="92">
        <v>751</v>
      </c>
    </row>
    <row r="639" spans="1:6" x14ac:dyDescent="0.3">
      <c r="A639" s="7" t="str">
        <f>_xlfn.XLOOKUP(ColombiaClientes6[[#This Row],[Client]],VpsClientes[Client],VpsClientes[VP],"",0)</f>
        <v>Pablo Alvarado Martinez</v>
      </c>
      <c r="B639" s="91" t="s">
        <v>255</v>
      </c>
      <c r="C639" s="91" t="s">
        <v>191</v>
      </c>
      <c r="D639" s="91" t="s">
        <v>219</v>
      </c>
      <c r="E639" s="91" t="s">
        <v>206</v>
      </c>
      <c r="F639" s="92">
        <v>34</v>
      </c>
    </row>
    <row r="640" spans="1:6" hidden="1" x14ac:dyDescent="0.3">
      <c r="A640" s="7" t="str">
        <f>_xlfn.XLOOKUP(ColombiaClientes6[[#This Row],[Client]],VpsClientes[Client],VpsClientes[VP],"",0)</f>
        <v>Hector Muraira Garza</v>
      </c>
      <c r="B640" s="91" t="s">
        <v>132</v>
      </c>
      <c r="C640" s="91" t="s">
        <v>92</v>
      </c>
      <c r="D640" s="91" t="s">
        <v>219</v>
      </c>
      <c r="E640" s="91" t="s">
        <v>91</v>
      </c>
      <c r="F640" s="92">
        <v>666</v>
      </c>
    </row>
    <row r="641" spans="1:6" x14ac:dyDescent="0.3">
      <c r="A641" s="7" t="str">
        <f>_xlfn.XLOOKUP(ColombiaClientes6[[#This Row],[Client]],VpsClientes[Client],VpsClientes[VP],"",0)</f>
        <v>Pablo Alvarado Martinez</v>
      </c>
      <c r="B641" s="91" t="s">
        <v>255</v>
      </c>
      <c r="C641" s="91" t="s">
        <v>192</v>
      </c>
      <c r="D641" s="91" t="s">
        <v>219</v>
      </c>
      <c r="E641" s="91" t="s">
        <v>206</v>
      </c>
      <c r="F641" s="92">
        <v>203</v>
      </c>
    </row>
    <row r="642" spans="1:6" x14ac:dyDescent="0.3">
      <c r="A642" s="7" t="str">
        <f>_xlfn.XLOOKUP(ColombiaClientes6[[#This Row],[Client]],VpsClientes[Client],VpsClientes[VP],"",0)</f>
        <v>Pablo Alvarado Martinez</v>
      </c>
      <c r="B642" s="91" t="s">
        <v>255</v>
      </c>
      <c r="C642" s="91" t="s">
        <v>194</v>
      </c>
      <c r="D642" s="91" t="s">
        <v>219</v>
      </c>
      <c r="E642" s="91" t="s">
        <v>206</v>
      </c>
      <c r="F642" s="92">
        <v>198</v>
      </c>
    </row>
    <row r="643" spans="1:6" hidden="1" x14ac:dyDescent="0.3">
      <c r="A643" s="7" t="str">
        <f>_xlfn.XLOOKUP(ColombiaClientes6[[#This Row],[Client]],VpsClientes[Client],VpsClientes[VP],"",0)</f>
        <v>Jhonatan Izquierdo Rico</v>
      </c>
      <c r="B643" s="91" t="s">
        <v>157</v>
      </c>
      <c r="C643" s="91" t="s">
        <v>92</v>
      </c>
      <c r="D643" s="91" t="s">
        <v>219</v>
      </c>
      <c r="E643" s="91" t="s">
        <v>91</v>
      </c>
      <c r="F643" s="92">
        <v>308</v>
      </c>
    </row>
    <row r="644" spans="1:6" x14ac:dyDescent="0.3">
      <c r="A644" s="7" t="str">
        <f>_xlfn.XLOOKUP(ColombiaClientes6[[#This Row],[Client]],VpsClientes[Client],VpsClientes[VP],"",0)</f>
        <v>Pablo Alvarado Martinez</v>
      </c>
      <c r="B644" s="91" t="s">
        <v>255</v>
      </c>
      <c r="C644" s="91" t="s">
        <v>202</v>
      </c>
      <c r="D644" s="91" t="s">
        <v>219</v>
      </c>
      <c r="E644" s="91" t="s">
        <v>206</v>
      </c>
      <c r="F644" s="92">
        <v>66</v>
      </c>
    </row>
    <row r="645" spans="1:6" x14ac:dyDescent="0.3">
      <c r="A645" s="7" t="str">
        <f>_xlfn.XLOOKUP(ColombiaClientes6[[#This Row],[Client]],VpsClientes[Client],VpsClientes[VP],"",0)</f>
        <v>Pablo Alvarado Martinez</v>
      </c>
      <c r="B645" s="91" t="s">
        <v>255</v>
      </c>
      <c r="C645" s="91" t="s">
        <v>203</v>
      </c>
      <c r="D645" s="91" t="s">
        <v>219</v>
      </c>
      <c r="E645" s="91" t="s">
        <v>206</v>
      </c>
      <c r="F645" s="92">
        <v>306</v>
      </c>
    </row>
    <row r="646" spans="1:6" x14ac:dyDescent="0.3">
      <c r="A646" s="7" t="str">
        <f>_xlfn.XLOOKUP(ColombiaClientes6[[#This Row],[Client]],VpsClientes[Client],VpsClientes[VP],"",0)</f>
        <v>Pablo Alvarado Martinez</v>
      </c>
      <c r="B646" s="91" t="s">
        <v>255</v>
      </c>
      <c r="C646" s="91" t="s">
        <v>205</v>
      </c>
      <c r="D646" s="91" t="s">
        <v>219</v>
      </c>
      <c r="E646" s="91" t="s">
        <v>206</v>
      </c>
      <c r="F646" s="92">
        <v>250</v>
      </c>
    </row>
    <row r="647" spans="1:6" x14ac:dyDescent="0.3">
      <c r="A647" s="7" t="str">
        <f>_xlfn.XLOOKUP(ColombiaClientes6[[#This Row],[Client]],VpsClientes[Client],VpsClientes[VP],"",0)</f>
        <v>Pablo Alvarado Martinez</v>
      </c>
      <c r="B647" s="91" t="s">
        <v>255</v>
      </c>
      <c r="C647" s="91" t="s">
        <v>237</v>
      </c>
      <c r="D647" s="91" t="s">
        <v>219</v>
      </c>
      <c r="E647" s="91" t="s">
        <v>206</v>
      </c>
      <c r="F647" s="92">
        <v>2</v>
      </c>
    </row>
    <row r="648" spans="1:6" x14ac:dyDescent="0.3">
      <c r="A648" s="7" t="str">
        <f>_xlfn.XLOOKUP(ColombiaClientes6[[#This Row],[Client]],VpsClientes[Client],VpsClientes[VP],"",0)</f>
        <v>Moises Saavedra Garcia</v>
      </c>
      <c r="B648" s="91" t="s">
        <v>252</v>
      </c>
      <c r="C648" s="91" t="s">
        <v>92</v>
      </c>
      <c r="D648" s="91" t="s">
        <v>90</v>
      </c>
      <c r="E648" s="91" t="s">
        <v>91</v>
      </c>
      <c r="F648" s="92">
        <v>295</v>
      </c>
    </row>
    <row r="649" spans="1:6" x14ac:dyDescent="0.3">
      <c r="A649" s="7" t="str">
        <f>_xlfn.XLOOKUP(ColombiaClientes6[[#This Row],[Client]],VpsClientes[Client],VpsClientes[VP],"",0)</f>
        <v>Moises Saavedra Garcia</v>
      </c>
      <c r="B649" s="91" t="s">
        <v>252</v>
      </c>
      <c r="C649" s="91" t="s">
        <v>191</v>
      </c>
      <c r="D649" s="91" t="s">
        <v>90</v>
      </c>
      <c r="E649" s="91" t="s">
        <v>91</v>
      </c>
      <c r="F649" s="92">
        <v>183</v>
      </c>
    </row>
    <row r="650" spans="1:6" hidden="1" x14ac:dyDescent="0.3">
      <c r="A650" s="7" t="str">
        <f>_xlfn.XLOOKUP(ColombiaClientes6[[#This Row],[Client]],VpsClientes[Client],VpsClientes[VP],"",0)</f>
        <v>Hector Muraira Garza</v>
      </c>
      <c r="B650" s="91" t="s">
        <v>167</v>
      </c>
      <c r="C650" s="91" t="s">
        <v>92</v>
      </c>
      <c r="D650" s="91" t="s">
        <v>219</v>
      </c>
      <c r="E650" s="91" t="s">
        <v>91</v>
      </c>
      <c r="F650" s="92">
        <v>88</v>
      </c>
    </row>
    <row r="651" spans="1:6" x14ac:dyDescent="0.3">
      <c r="A651" s="7" t="str">
        <f>_xlfn.XLOOKUP(ColombiaClientes6[[#This Row],[Client]],VpsClientes[Client],VpsClientes[VP],"",0)</f>
        <v>Moises Saavedra Garcia</v>
      </c>
      <c r="B651" s="91" t="s">
        <v>252</v>
      </c>
      <c r="C651" s="91" t="s">
        <v>192</v>
      </c>
      <c r="D651" s="91" t="s">
        <v>90</v>
      </c>
      <c r="E651" s="91" t="s">
        <v>91</v>
      </c>
      <c r="F651" s="92">
        <v>283</v>
      </c>
    </row>
    <row r="652" spans="1:6" x14ac:dyDescent="0.3">
      <c r="A652" s="7" t="str">
        <f>_xlfn.XLOOKUP(ColombiaClientes6[[#This Row],[Client]],VpsClientes[Client],VpsClientes[VP],"",0)</f>
        <v>Moises Saavedra Garcia</v>
      </c>
      <c r="B652" s="91" t="s">
        <v>252</v>
      </c>
      <c r="C652" s="91" t="s">
        <v>194</v>
      </c>
      <c r="D652" s="91" t="s">
        <v>90</v>
      </c>
      <c r="E652" s="91" t="s">
        <v>91</v>
      </c>
      <c r="F652" s="92">
        <v>271</v>
      </c>
    </row>
    <row r="653" spans="1:6" x14ac:dyDescent="0.3">
      <c r="A653" s="7" t="str">
        <f>_xlfn.XLOOKUP(ColombiaClientes6[[#This Row],[Client]],VpsClientes[Client],VpsClientes[VP],"",0)</f>
        <v>Moises Saavedra Garcia</v>
      </c>
      <c r="B653" s="91" t="s">
        <v>252</v>
      </c>
      <c r="C653" s="91" t="s">
        <v>202</v>
      </c>
      <c r="D653" s="91" t="s">
        <v>90</v>
      </c>
      <c r="E653" s="91" t="s">
        <v>91</v>
      </c>
      <c r="F653" s="92">
        <v>328</v>
      </c>
    </row>
    <row r="654" spans="1:6" x14ac:dyDescent="0.3">
      <c r="A654" s="7" t="str">
        <f>_xlfn.XLOOKUP(ColombiaClientes6[[#This Row],[Client]],VpsClientes[Client],VpsClientes[VP],"",0)</f>
        <v>Moises Saavedra Garcia</v>
      </c>
      <c r="B654" s="91" t="s">
        <v>252</v>
      </c>
      <c r="C654" s="91" t="s">
        <v>203</v>
      </c>
      <c r="D654" s="91" t="s">
        <v>90</v>
      </c>
      <c r="E654" s="91" t="s">
        <v>91</v>
      </c>
      <c r="F654" s="92">
        <v>301</v>
      </c>
    </row>
    <row r="655" spans="1:6" x14ac:dyDescent="0.3">
      <c r="A655" s="7" t="str">
        <f>_xlfn.XLOOKUP(ColombiaClientes6[[#This Row],[Client]],VpsClientes[Client],VpsClientes[VP],"",0)</f>
        <v>Moises Saavedra Garcia</v>
      </c>
      <c r="B655" s="91" t="s">
        <v>252</v>
      </c>
      <c r="C655" s="91" t="s">
        <v>205</v>
      </c>
      <c r="D655" s="91" t="s">
        <v>90</v>
      </c>
      <c r="E655" s="91" t="s">
        <v>91</v>
      </c>
      <c r="F655" s="92">
        <v>264</v>
      </c>
    </row>
    <row r="656" spans="1:6" x14ac:dyDescent="0.3">
      <c r="A656" s="7" t="str">
        <f>_xlfn.XLOOKUP(ColombiaClientes6[[#This Row],[Client]],VpsClientes[Client],VpsClientes[VP],"",0)</f>
        <v>Moises Saavedra Garcia</v>
      </c>
      <c r="B656" s="91" t="s">
        <v>252</v>
      </c>
      <c r="C656" s="91" t="s">
        <v>237</v>
      </c>
      <c r="D656" s="91" t="s">
        <v>90</v>
      </c>
      <c r="E656" s="91" t="s">
        <v>91</v>
      </c>
      <c r="F656" s="92">
        <v>6</v>
      </c>
    </row>
    <row r="657" spans="1:6" hidden="1" x14ac:dyDescent="0.3">
      <c r="A657" s="7" t="str">
        <f>_xlfn.XLOOKUP(ColombiaClientes6[[#This Row],[Client]],VpsClientes[Client],VpsClientes[VP],"",0)</f>
        <v>Carlos Beltran Hernandez</v>
      </c>
      <c r="B657" s="95" t="s">
        <v>93</v>
      </c>
      <c r="C657" s="10" t="s">
        <v>191</v>
      </c>
      <c r="D657" s="123" t="s">
        <v>219</v>
      </c>
      <c r="E657" s="123" t="s">
        <v>91</v>
      </c>
      <c r="F657" s="96">
        <v>5736</v>
      </c>
    </row>
    <row r="658" spans="1:6" hidden="1" x14ac:dyDescent="0.3">
      <c r="A658" s="7" t="str">
        <f>_xlfn.XLOOKUP(ColombiaClientes6[[#This Row],[Client]],VpsClientes[Client],VpsClientes[VP],"",0)</f>
        <v>Ludy Torres Benitez</v>
      </c>
      <c r="B658" s="95" t="s">
        <v>95</v>
      </c>
      <c r="C658" s="95" t="s">
        <v>191</v>
      </c>
      <c r="D658" s="123" t="s">
        <v>219</v>
      </c>
      <c r="E658" s="123" t="s">
        <v>91</v>
      </c>
      <c r="F658" s="96">
        <v>5037</v>
      </c>
    </row>
    <row r="659" spans="1:6" x14ac:dyDescent="0.3">
      <c r="A659" s="7" t="str">
        <f>_xlfn.XLOOKUP(ColombiaClientes6[[#This Row],[Client]],VpsClientes[Client],VpsClientes[VP],"",0)</f>
        <v>Moises Saavedra Garcia</v>
      </c>
      <c r="B659" s="95" t="s">
        <v>252</v>
      </c>
      <c r="C659" s="95" t="s">
        <v>92</v>
      </c>
      <c r="D659" s="123" t="s">
        <v>90</v>
      </c>
      <c r="E659" s="123" t="s">
        <v>206</v>
      </c>
      <c r="F659" s="96">
        <v>1090</v>
      </c>
    </row>
    <row r="660" spans="1:6" hidden="1" x14ac:dyDescent="0.3">
      <c r="A660" s="7" t="str">
        <f>_xlfn.XLOOKUP(ColombiaClientes6[[#This Row],[Client]],VpsClientes[Client],VpsClientes[VP],"",0)</f>
        <v>Moises Saavedra Garcia</v>
      </c>
      <c r="B660" s="95" t="s">
        <v>110</v>
      </c>
      <c r="C660" s="95" t="s">
        <v>191</v>
      </c>
      <c r="D660" s="123" t="s">
        <v>219</v>
      </c>
      <c r="E660" s="123" t="s">
        <v>91</v>
      </c>
      <c r="F660" s="96">
        <v>3429</v>
      </c>
    </row>
    <row r="661" spans="1:6" hidden="1" x14ac:dyDescent="0.3">
      <c r="A661" s="7" t="str">
        <f>_xlfn.XLOOKUP(ColombiaClientes6[[#This Row],[Client]],VpsClientes[Client],VpsClientes[VP],"",0)</f>
        <v>Hector Muraira Garza</v>
      </c>
      <c r="B661" s="95" t="s">
        <v>164</v>
      </c>
      <c r="C661" s="95" t="s">
        <v>191</v>
      </c>
      <c r="D661" s="123" t="s">
        <v>219</v>
      </c>
      <c r="E661" s="123" t="s">
        <v>91</v>
      </c>
      <c r="F661" s="96">
        <v>2781</v>
      </c>
    </row>
    <row r="662" spans="1:6" hidden="1" x14ac:dyDescent="0.3">
      <c r="A662" s="7" t="str">
        <f>_xlfn.XLOOKUP(ColombiaClientes6[[#This Row],[Client]],VpsClientes[Client],VpsClientes[VP],"",0)</f>
        <v>Javier Orjuela Sarmiento</v>
      </c>
      <c r="B662" s="95" t="s">
        <v>133</v>
      </c>
      <c r="C662" s="95" t="s">
        <v>191</v>
      </c>
      <c r="D662" s="123" t="s">
        <v>219</v>
      </c>
      <c r="E662" s="123" t="s">
        <v>91</v>
      </c>
      <c r="F662" s="96">
        <v>2778</v>
      </c>
    </row>
    <row r="663" spans="1:6" x14ac:dyDescent="0.3">
      <c r="A663" s="7" t="str">
        <f>_xlfn.XLOOKUP(ColombiaClientes6[[#This Row],[Client]],VpsClientes[Client],VpsClientes[VP],"",0)</f>
        <v>Moises Saavedra Garcia</v>
      </c>
      <c r="B663" s="95" t="s">
        <v>252</v>
      </c>
      <c r="C663" s="95" t="s">
        <v>191</v>
      </c>
      <c r="D663" s="123" t="s">
        <v>90</v>
      </c>
      <c r="E663" s="123" t="s">
        <v>206</v>
      </c>
      <c r="F663" s="96">
        <v>724</v>
      </c>
    </row>
    <row r="664" spans="1:6" hidden="1" x14ac:dyDescent="0.3">
      <c r="A664" s="7" t="str">
        <f>_xlfn.XLOOKUP(ColombiaClientes6[[#This Row],[Client]],VpsClientes[Client],VpsClientes[VP],"",0)</f>
        <v>Sandra Romero Zuluaga</v>
      </c>
      <c r="B664" s="95" t="s">
        <v>113</v>
      </c>
      <c r="C664" s="95" t="s">
        <v>191</v>
      </c>
      <c r="D664" s="123" t="s">
        <v>219</v>
      </c>
      <c r="E664" s="123" t="s">
        <v>91</v>
      </c>
      <c r="F664" s="96">
        <v>1645</v>
      </c>
    </row>
    <row r="665" spans="1:6" x14ac:dyDescent="0.3">
      <c r="A665" s="7" t="str">
        <f>_xlfn.XLOOKUP(ColombiaClientes6[[#This Row],[Client]],VpsClientes[Client],VpsClientes[VP],"",0)</f>
        <v>Moises Saavedra Garcia</v>
      </c>
      <c r="B665" s="95" t="s">
        <v>252</v>
      </c>
      <c r="C665" s="95" t="s">
        <v>192</v>
      </c>
      <c r="D665" s="123" t="s">
        <v>90</v>
      </c>
      <c r="E665" s="123" t="s">
        <v>206</v>
      </c>
      <c r="F665" s="96">
        <v>521</v>
      </c>
    </row>
    <row r="666" spans="1:6" x14ac:dyDescent="0.3">
      <c r="A666" s="7" t="str">
        <f>_xlfn.XLOOKUP(ColombiaClientes6[[#This Row],[Client]],VpsClientes[Client],VpsClientes[VP],"",0)</f>
        <v>Moises Saavedra Garcia</v>
      </c>
      <c r="B666" s="95" t="s">
        <v>252</v>
      </c>
      <c r="C666" s="95" t="s">
        <v>194</v>
      </c>
      <c r="D666" s="123" t="s">
        <v>90</v>
      </c>
      <c r="E666" s="123" t="s">
        <v>206</v>
      </c>
      <c r="F666" s="96">
        <v>577</v>
      </c>
    </row>
    <row r="667" spans="1:6" x14ac:dyDescent="0.3">
      <c r="A667" s="7" t="str">
        <f>_xlfn.XLOOKUP(ColombiaClientes6[[#This Row],[Client]],VpsClientes[Client],VpsClientes[VP],"",0)</f>
        <v>Moises Saavedra Garcia</v>
      </c>
      <c r="B667" s="95" t="s">
        <v>252</v>
      </c>
      <c r="C667" s="95" t="s">
        <v>202</v>
      </c>
      <c r="D667" s="123" t="s">
        <v>90</v>
      </c>
      <c r="E667" s="123" t="s">
        <v>206</v>
      </c>
      <c r="F667" s="96">
        <v>429</v>
      </c>
    </row>
    <row r="668" spans="1:6" hidden="1" x14ac:dyDescent="0.3">
      <c r="A668" s="7" t="str">
        <f>_xlfn.XLOOKUP(ColombiaClientes6[[#This Row],[Client]],VpsClientes[Client],VpsClientes[VP],"",0)</f>
        <v>Juan Granados Castillo</v>
      </c>
      <c r="B668" s="95" t="s">
        <v>134</v>
      </c>
      <c r="C668" s="95" t="s">
        <v>191</v>
      </c>
      <c r="D668" s="123" t="s">
        <v>219</v>
      </c>
      <c r="E668" s="123" t="s">
        <v>91</v>
      </c>
      <c r="F668" s="96">
        <v>931</v>
      </c>
    </row>
    <row r="669" spans="1:6" hidden="1" x14ac:dyDescent="0.3">
      <c r="A669" s="7" t="str">
        <f>_xlfn.XLOOKUP(ColombiaClientes6[[#This Row],[Client]],VpsClientes[Client],VpsClientes[VP],"",0)</f>
        <v>Hector Muraira Garza</v>
      </c>
      <c r="B669" s="95" t="s">
        <v>140</v>
      </c>
      <c r="C669" s="95" t="s">
        <v>191</v>
      </c>
      <c r="D669" s="123" t="s">
        <v>219</v>
      </c>
      <c r="E669" s="123" t="s">
        <v>91</v>
      </c>
      <c r="F669" s="96">
        <v>755</v>
      </c>
    </row>
    <row r="670" spans="1:6" x14ac:dyDescent="0.3">
      <c r="A670" s="7" t="str">
        <f>_xlfn.XLOOKUP(ColombiaClientes6[[#This Row],[Client]],VpsClientes[Client],VpsClientes[VP],"",0)</f>
        <v>Moises Saavedra Garcia</v>
      </c>
      <c r="B670" s="95" t="s">
        <v>252</v>
      </c>
      <c r="C670" s="95" t="s">
        <v>203</v>
      </c>
      <c r="D670" s="123" t="s">
        <v>90</v>
      </c>
      <c r="E670" s="123" t="s">
        <v>206</v>
      </c>
      <c r="F670" s="96">
        <v>709</v>
      </c>
    </row>
    <row r="671" spans="1:6" x14ac:dyDescent="0.3">
      <c r="A671" s="7" t="str">
        <f>_xlfn.XLOOKUP(ColombiaClientes6[[#This Row],[Client]],VpsClientes[Client],VpsClientes[VP],"",0)</f>
        <v>Moises Saavedra Garcia</v>
      </c>
      <c r="B671" s="95" t="s">
        <v>252</v>
      </c>
      <c r="C671" s="95" t="s">
        <v>205</v>
      </c>
      <c r="D671" s="123" t="s">
        <v>90</v>
      </c>
      <c r="E671" s="123" t="s">
        <v>206</v>
      </c>
      <c r="F671" s="96">
        <v>923</v>
      </c>
    </row>
    <row r="672" spans="1:6" hidden="1" x14ac:dyDescent="0.3">
      <c r="A672" s="7" t="str">
        <f>_xlfn.XLOOKUP(ColombiaClientes6[[#This Row],[Client]],VpsClientes[Client],VpsClientes[VP],"",0)</f>
        <v>Jhonatan Izquierdo Rico</v>
      </c>
      <c r="B672" s="95" t="s">
        <v>104</v>
      </c>
      <c r="C672" s="95" t="s">
        <v>191</v>
      </c>
      <c r="D672" s="123" t="s">
        <v>219</v>
      </c>
      <c r="E672" s="123" t="s">
        <v>91</v>
      </c>
      <c r="F672" s="96">
        <v>567</v>
      </c>
    </row>
    <row r="673" spans="1:6" x14ac:dyDescent="0.3">
      <c r="A673" s="7" t="str">
        <f>_xlfn.XLOOKUP(ColombiaClientes6[[#This Row],[Client]],VpsClientes[Client],VpsClientes[VP],"",0)</f>
        <v>Moises Saavedra Garcia</v>
      </c>
      <c r="B673" s="95" t="s">
        <v>252</v>
      </c>
      <c r="C673" s="95" t="s">
        <v>237</v>
      </c>
      <c r="D673" s="123" t="s">
        <v>90</v>
      </c>
      <c r="E673" s="123" t="s">
        <v>206</v>
      </c>
      <c r="F673" s="96">
        <v>244</v>
      </c>
    </row>
    <row r="674" spans="1:6" hidden="1" x14ac:dyDescent="0.3">
      <c r="A674" s="7" t="str">
        <f>_xlfn.XLOOKUP(ColombiaClientes6[[#This Row],[Client]],VpsClientes[Client],VpsClientes[VP],"",0)</f>
        <v>Hector Muraira Garza</v>
      </c>
      <c r="B674" s="95" t="s">
        <v>132</v>
      </c>
      <c r="C674" s="95" t="s">
        <v>191</v>
      </c>
      <c r="D674" s="123" t="s">
        <v>219</v>
      </c>
      <c r="E674" s="123" t="s">
        <v>91</v>
      </c>
      <c r="F674" s="96">
        <v>553</v>
      </c>
    </row>
    <row r="675" spans="1:6" x14ac:dyDescent="0.3">
      <c r="A675" s="7" t="str">
        <f>_xlfn.XLOOKUP(ColombiaClientes6[[#This Row],[Client]],VpsClientes[Client],VpsClientes[VP],"",0)</f>
        <v>Moises Saavedra Garcia</v>
      </c>
      <c r="B675" s="95" t="s">
        <v>252</v>
      </c>
      <c r="C675" s="95" t="s">
        <v>92</v>
      </c>
      <c r="D675" s="123" t="s">
        <v>219</v>
      </c>
      <c r="E675" s="123" t="s">
        <v>91</v>
      </c>
      <c r="F675" s="96">
        <v>444</v>
      </c>
    </row>
    <row r="676" spans="1:6" x14ac:dyDescent="0.3">
      <c r="A676" s="7" t="str">
        <f>_xlfn.XLOOKUP(ColombiaClientes6[[#This Row],[Client]],VpsClientes[Client],VpsClientes[VP],"",0)</f>
        <v>Moises Saavedra Garcia</v>
      </c>
      <c r="B676" s="95" t="s">
        <v>252</v>
      </c>
      <c r="C676" s="95" t="s">
        <v>191</v>
      </c>
      <c r="D676" s="123" t="s">
        <v>219</v>
      </c>
      <c r="E676" s="123" t="s">
        <v>91</v>
      </c>
      <c r="F676" s="96">
        <v>374</v>
      </c>
    </row>
    <row r="677" spans="1:6" x14ac:dyDescent="0.3">
      <c r="A677" s="7" t="str">
        <f>_xlfn.XLOOKUP(ColombiaClientes6[[#This Row],[Client]],VpsClientes[Client],VpsClientes[VP],"",0)</f>
        <v>Moises Saavedra Garcia</v>
      </c>
      <c r="B677" s="95" t="s">
        <v>252</v>
      </c>
      <c r="C677" s="95" t="s">
        <v>192</v>
      </c>
      <c r="D677" s="123" t="s">
        <v>219</v>
      </c>
      <c r="E677" s="123" t="s">
        <v>91</v>
      </c>
      <c r="F677" s="96">
        <v>372</v>
      </c>
    </row>
    <row r="678" spans="1:6" x14ac:dyDescent="0.3">
      <c r="A678" s="7" t="str">
        <f>_xlfn.XLOOKUP(ColombiaClientes6[[#This Row],[Client]],VpsClientes[Client],VpsClientes[VP],"",0)</f>
        <v>Moises Saavedra Garcia</v>
      </c>
      <c r="B678" s="95" t="s">
        <v>252</v>
      </c>
      <c r="C678" s="95" t="s">
        <v>194</v>
      </c>
      <c r="D678" s="123" t="s">
        <v>219</v>
      </c>
      <c r="E678" s="123" t="s">
        <v>91</v>
      </c>
      <c r="F678" s="96">
        <v>331</v>
      </c>
    </row>
    <row r="679" spans="1:6" hidden="1" x14ac:dyDescent="0.3">
      <c r="A679" s="7" t="str">
        <f>_xlfn.XLOOKUP(ColombiaClientes6[[#This Row],[Client]],VpsClientes[Client],VpsClientes[VP],"",0)</f>
        <v>Martha Guzman Arango</v>
      </c>
      <c r="B679" s="95" t="s">
        <v>199</v>
      </c>
      <c r="C679" s="95" t="s">
        <v>191</v>
      </c>
      <c r="D679" s="123" t="s">
        <v>219</v>
      </c>
      <c r="E679" s="123" t="s">
        <v>91</v>
      </c>
      <c r="F679" s="96">
        <v>285</v>
      </c>
    </row>
    <row r="680" spans="1:6" x14ac:dyDescent="0.3">
      <c r="A680" s="7" t="str">
        <f>_xlfn.XLOOKUP(ColombiaClientes6[[#This Row],[Client]],VpsClientes[Client],VpsClientes[VP],"",0)</f>
        <v>Moises Saavedra Garcia</v>
      </c>
      <c r="B680" s="95" t="s">
        <v>252</v>
      </c>
      <c r="C680" s="95" t="s">
        <v>202</v>
      </c>
      <c r="D680" s="123" t="s">
        <v>219</v>
      </c>
      <c r="E680" s="123" t="s">
        <v>91</v>
      </c>
      <c r="F680" s="96">
        <v>441</v>
      </c>
    </row>
    <row r="681" spans="1:6" x14ac:dyDescent="0.3">
      <c r="A681" s="7" t="str">
        <f>_xlfn.XLOOKUP(ColombiaClientes6[[#This Row],[Client]],VpsClientes[Client],VpsClientes[VP],"",0)</f>
        <v>Moises Saavedra Garcia</v>
      </c>
      <c r="B681" s="95" t="s">
        <v>252</v>
      </c>
      <c r="C681" s="95" t="s">
        <v>203</v>
      </c>
      <c r="D681" s="123" t="s">
        <v>219</v>
      </c>
      <c r="E681" s="123" t="s">
        <v>91</v>
      </c>
      <c r="F681" s="96">
        <v>432</v>
      </c>
    </row>
    <row r="682" spans="1:6" x14ac:dyDescent="0.3">
      <c r="A682" s="7" t="str">
        <f>_xlfn.XLOOKUP(ColombiaClientes6[[#This Row],[Client]],VpsClientes[Client],VpsClientes[VP],"",0)</f>
        <v>Moises Saavedra Garcia</v>
      </c>
      <c r="B682" s="95" t="s">
        <v>252</v>
      </c>
      <c r="C682" s="95" t="s">
        <v>205</v>
      </c>
      <c r="D682" s="123" t="s">
        <v>219</v>
      </c>
      <c r="E682" s="123" t="s">
        <v>91</v>
      </c>
      <c r="F682" s="96">
        <v>242</v>
      </c>
    </row>
    <row r="683" spans="1:6" x14ac:dyDescent="0.3">
      <c r="A683" s="7" t="str">
        <f>_xlfn.XLOOKUP(ColombiaClientes6[[#This Row],[Client]],VpsClientes[Client],VpsClientes[VP],"",0)</f>
        <v>Moises Saavedra Garcia</v>
      </c>
      <c r="B683" s="95" t="s">
        <v>252</v>
      </c>
      <c r="C683" s="95" t="s">
        <v>237</v>
      </c>
      <c r="D683" s="123" t="s">
        <v>219</v>
      </c>
      <c r="E683" s="123" t="s">
        <v>91</v>
      </c>
      <c r="F683" s="96">
        <v>28</v>
      </c>
    </row>
    <row r="684" spans="1:6" x14ac:dyDescent="0.3">
      <c r="A684" s="7" t="str">
        <f>_xlfn.XLOOKUP(ColombiaClientes6[[#This Row],[Client]],VpsClientes[Client],VpsClientes[VP],"",0)</f>
        <v>Moises Saavedra Garcia</v>
      </c>
      <c r="B684" s="95" t="s">
        <v>252</v>
      </c>
      <c r="C684" s="95" t="s">
        <v>92</v>
      </c>
      <c r="D684" s="123" t="s">
        <v>219</v>
      </c>
      <c r="E684" s="123" t="s">
        <v>206</v>
      </c>
      <c r="F684" s="96">
        <v>14</v>
      </c>
    </row>
    <row r="685" spans="1:6" hidden="1" x14ac:dyDescent="0.3">
      <c r="A685" s="7" t="str">
        <f>_xlfn.XLOOKUP(ColombiaClientes6[[#This Row],[Client]],VpsClientes[Client],VpsClientes[VP],"",0)</f>
        <v>Jhonatan Izquierdo Rico</v>
      </c>
      <c r="B685" s="95" t="s">
        <v>157</v>
      </c>
      <c r="C685" s="95" t="s">
        <v>191</v>
      </c>
      <c r="D685" s="123" t="s">
        <v>219</v>
      </c>
      <c r="E685" s="123" t="s">
        <v>91</v>
      </c>
      <c r="F685" s="96">
        <v>92</v>
      </c>
    </row>
    <row r="686" spans="1:6" x14ac:dyDescent="0.3">
      <c r="A686" s="7" t="str">
        <f>_xlfn.XLOOKUP(ColombiaClientes6[[#This Row],[Client]],VpsClientes[Client],VpsClientes[VP],"",0)</f>
        <v>Moises Saavedra Garcia</v>
      </c>
      <c r="B686" s="95" t="s">
        <v>252</v>
      </c>
      <c r="C686" s="95" t="s">
        <v>191</v>
      </c>
      <c r="D686" s="123" t="s">
        <v>219</v>
      </c>
      <c r="E686" s="123" t="s">
        <v>206</v>
      </c>
      <c r="F686" s="96">
        <v>23</v>
      </c>
    </row>
    <row r="687" spans="1:6" x14ac:dyDescent="0.3">
      <c r="A687" s="7" t="str">
        <f>_xlfn.XLOOKUP(ColombiaClientes6[[#This Row],[Client]],VpsClientes[Client],VpsClientes[VP],"",0)</f>
        <v>Moises Saavedra Garcia</v>
      </c>
      <c r="B687" s="95" t="s">
        <v>252</v>
      </c>
      <c r="C687" s="95" t="s">
        <v>192</v>
      </c>
      <c r="D687" s="123" t="s">
        <v>219</v>
      </c>
      <c r="E687" s="123" t="s">
        <v>206</v>
      </c>
      <c r="F687" s="96">
        <v>48</v>
      </c>
    </row>
    <row r="688" spans="1:6" hidden="1" x14ac:dyDescent="0.3">
      <c r="A688" s="7" t="str">
        <f>_xlfn.XLOOKUP(ColombiaClientes6[[#This Row],[Client]],VpsClientes[Client],VpsClientes[VP],"",0)</f>
        <v>Hector Muraira Garza</v>
      </c>
      <c r="B688" s="95" t="s">
        <v>167</v>
      </c>
      <c r="C688" s="95" t="s">
        <v>191</v>
      </c>
      <c r="D688" s="123" t="s">
        <v>219</v>
      </c>
      <c r="E688" s="123" t="s">
        <v>91</v>
      </c>
      <c r="F688" s="96">
        <v>59</v>
      </c>
    </row>
    <row r="689" spans="1:6" x14ac:dyDescent="0.3">
      <c r="A689" s="7" t="str">
        <f>_xlfn.XLOOKUP(ColombiaClientes6[[#This Row],[Client]],VpsClientes[Client],VpsClientes[VP],"",0)</f>
        <v>Moises Saavedra Garcia</v>
      </c>
      <c r="B689" s="95" t="s">
        <v>252</v>
      </c>
      <c r="C689" s="95" t="s">
        <v>194</v>
      </c>
      <c r="D689" s="123" t="s">
        <v>219</v>
      </c>
      <c r="E689" s="123" t="s">
        <v>206</v>
      </c>
      <c r="F689" s="96">
        <v>6</v>
      </c>
    </row>
    <row r="690" spans="1:6" x14ac:dyDescent="0.3">
      <c r="A690" s="7" t="str">
        <f>_xlfn.XLOOKUP(ColombiaClientes6[[#This Row],[Client]],VpsClientes[Client],VpsClientes[VP],"",0)</f>
        <v>Moises Saavedra Garcia</v>
      </c>
      <c r="B690" s="95" t="s">
        <v>252</v>
      </c>
      <c r="C690" s="95" t="s">
        <v>202</v>
      </c>
      <c r="D690" s="123" t="s">
        <v>219</v>
      </c>
      <c r="E690" s="123" t="s">
        <v>206</v>
      </c>
      <c r="F690" s="96">
        <v>6</v>
      </c>
    </row>
    <row r="691" spans="1:6" x14ac:dyDescent="0.3">
      <c r="A691" s="7" t="str">
        <f>_xlfn.XLOOKUP(ColombiaClientes6[[#This Row],[Client]],VpsClientes[Client],VpsClientes[VP],"",0)</f>
        <v>Moises Saavedra Garcia</v>
      </c>
      <c r="B691" s="95" t="s">
        <v>252</v>
      </c>
      <c r="C691" s="95" t="s">
        <v>203</v>
      </c>
      <c r="D691" s="123" t="s">
        <v>219</v>
      </c>
      <c r="E691" s="123" t="s">
        <v>206</v>
      </c>
      <c r="F691" s="96">
        <v>20</v>
      </c>
    </row>
    <row r="692" spans="1:6" hidden="1" x14ac:dyDescent="0.3">
      <c r="A692" s="7" t="str">
        <f>_xlfn.XLOOKUP(ColombiaClientes6[[#This Row],[Client]],VpsClientes[Client],VpsClientes[VP],"",0)</f>
        <v>Carlos Beltran Hernandez</v>
      </c>
      <c r="B692" s="97" t="s">
        <v>93</v>
      </c>
      <c r="C692" s="10" t="s">
        <v>192</v>
      </c>
      <c r="D692" s="123" t="s">
        <v>219</v>
      </c>
      <c r="E692" s="123" t="s">
        <v>91</v>
      </c>
      <c r="F692" s="98">
        <v>7196</v>
      </c>
    </row>
    <row r="693" spans="1:6" hidden="1" x14ac:dyDescent="0.3">
      <c r="A693" s="7" t="str">
        <f>_xlfn.XLOOKUP(ColombiaClientes6[[#This Row],[Client]],VpsClientes[Client],VpsClientes[VP],"",0)</f>
        <v>Ludy Torres Benitez</v>
      </c>
      <c r="B693" s="97" t="s">
        <v>95</v>
      </c>
      <c r="C693" s="97" t="s">
        <v>192</v>
      </c>
      <c r="D693" s="123" t="s">
        <v>219</v>
      </c>
      <c r="E693" s="123" t="s">
        <v>91</v>
      </c>
      <c r="F693" s="98">
        <v>5055</v>
      </c>
    </row>
    <row r="694" spans="1:6" x14ac:dyDescent="0.3">
      <c r="A694" s="7" t="str">
        <f>_xlfn.XLOOKUP(ColombiaClientes6[[#This Row],[Client]],VpsClientes[Client],VpsClientes[VP],"",0)</f>
        <v>Moises Saavedra Garcia</v>
      </c>
      <c r="B694" s="97" t="s">
        <v>252</v>
      </c>
      <c r="C694" s="97" t="s">
        <v>205</v>
      </c>
      <c r="D694" s="123" t="s">
        <v>219</v>
      </c>
      <c r="E694" s="123" t="s">
        <v>206</v>
      </c>
      <c r="F694" s="98">
        <v>0</v>
      </c>
    </row>
    <row r="695" spans="1:6" hidden="1" x14ac:dyDescent="0.3">
      <c r="A695" s="7" t="str">
        <f>_xlfn.XLOOKUP(ColombiaClientes6[[#This Row],[Client]],VpsClientes[Client],VpsClientes[VP],"",0)</f>
        <v>Moises Saavedra Garcia</v>
      </c>
      <c r="B695" s="97" t="s">
        <v>110</v>
      </c>
      <c r="C695" s="97" t="s">
        <v>192</v>
      </c>
      <c r="D695" s="123" t="s">
        <v>219</v>
      </c>
      <c r="E695" s="123" t="s">
        <v>91</v>
      </c>
      <c r="F695" s="98">
        <v>3393</v>
      </c>
    </row>
    <row r="696" spans="1:6" x14ac:dyDescent="0.3">
      <c r="A696" s="7" t="str">
        <f>_xlfn.XLOOKUP(ColombiaClientes6[[#This Row],[Client]],VpsClientes[Client],VpsClientes[VP],"",0)</f>
        <v>Moises Saavedra Garcia</v>
      </c>
      <c r="B696" s="97" t="s">
        <v>252</v>
      </c>
      <c r="C696" s="97" t="s">
        <v>237</v>
      </c>
      <c r="D696" s="123" t="s">
        <v>219</v>
      </c>
      <c r="E696" s="123" t="s">
        <v>206</v>
      </c>
      <c r="F696" s="98">
        <v>1</v>
      </c>
    </row>
    <row r="697" spans="1:6" hidden="1" x14ac:dyDescent="0.3">
      <c r="A697" s="7" t="str">
        <f>_xlfn.XLOOKUP(ColombiaClientes6[[#This Row],[Client]],VpsClientes[Client],VpsClientes[VP],"",0)</f>
        <v>Hector Muraira Garza</v>
      </c>
      <c r="B697" s="97" t="s">
        <v>164</v>
      </c>
      <c r="C697" s="97" t="s">
        <v>192</v>
      </c>
      <c r="D697" s="123" t="s">
        <v>219</v>
      </c>
      <c r="E697" s="123" t="s">
        <v>91</v>
      </c>
      <c r="F697" s="98">
        <v>2167</v>
      </c>
    </row>
    <row r="698" spans="1:6" hidden="1" x14ac:dyDescent="0.3">
      <c r="A698" s="7" t="str">
        <f>_xlfn.XLOOKUP(ColombiaClientes6[[#This Row],[Client]],VpsClientes[Client],VpsClientes[VP],"",0)</f>
        <v>Javier Orjuela Sarmiento</v>
      </c>
      <c r="B698" s="97" t="s">
        <v>133</v>
      </c>
      <c r="C698" s="97" t="s">
        <v>192</v>
      </c>
      <c r="D698" s="123" t="s">
        <v>219</v>
      </c>
      <c r="E698" s="123" t="s">
        <v>91</v>
      </c>
      <c r="F698" s="98">
        <v>2127</v>
      </c>
    </row>
    <row r="699" spans="1:6" x14ac:dyDescent="0.3">
      <c r="A699" s="7" t="str">
        <f>_xlfn.XLOOKUP(ColombiaClientes6[[#This Row],[Client]],VpsClientes[Client],VpsClientes[VP],"",0)</f>
        <v>Moises Saavedra Garcia</v>
      </c>
      <c r="B699" s="97" t="s">
        <v>251</v>
      </c>
      <c r="C699" s="97" t="s">
        <v>92</v>
      </c>
      <c r="D699" s="123" t="s">
        <v>90</v>
      </c>
      <c r="E699" s="123" t="s">
        <v>91</v>
      </c>
      <c r="F699" s="98">
        <v>328</v>
      </c>
    </row>
    <row r="700" spans="1:6" x14ac:dyDescent="0.3">
      <c r="A700" s="7" t="str">
        <f>_xlfn.XLOOKUP(ColombiaClientes6[[#This Row],[Client]],VpsClientes[Client],VpsClientes[VP],"",0)</f>
        <v>Moises Saavedra Garcia</v>
      </c>
      <c r="B700" s="97" t="s">
        <v>251</v>
      </c>
      <c r="C700" s="97" t="s">
        <v>191</v>
      </c>
      <c r="D700" s="123" t="s">
        <v>90</v>
      </c>
      <c r="E700" s="123" t="s">
        <v>91</v>
      </c>
      <c r="F700" s="98">
        <v>746</v>
      </c>
    </row>
    <row r="701" spans="1:6" hidden="1" x14ac:dyDescent="0.3">
      <c r="A701" s="7" t="str">
        <f>_xlfn.XLOOKUP(ColombiaClientes6[[#This Row],[Client]],VpsClientes[Client],VpsClientes[VP],"",0)</f>
        <v>Juan Granados Castillo</v>
      </c>
      <c r="B701" s="97" t="s">
        <v>134</v>
      </c>
      <c r="C701" s="97" t="s">
        <v>192</v>
      </c>
      <c r="D701" s="123" t="s">
        <v>219</v>
      </c>
      <c r="E701" s="123" t="s">
        <v>91</v>
      </c>
      <c r="F701" s="98">
        <v>1140</v>
      </c>
    </row>
    <row r="702" spans="1:6" hidden="1" x14ac:dyDescent="0.3">
      <c r="A702" s="7" t="str">
        <f>_xlfn.XLOOKUP(ColombiaClientes6[[#This Row],[Client]],VpsClientes[Client],VpsClientes[VP],"",0)</f>
        <v>Sandra Romero Zuluaga</v>
      </c>
      <c r="B702" s="97" t="s">
        <v>113</v>
      </c>
      <c r="C702" s="97" t="s">
        <v>192</v>
      </c>
      <c r="D702" s="123" t="s">
        <v>219</v>
      </c>
      <c r="E702" s="123" t="s">
        <v>91</v>
      </c>
      <c r="F702" s="98">
        <v>1055</v>
      </c>
    </row>
    <row r="703" spans="1:6" x14ac:dyDescent="0.3">
      <c r="A703" s="7" t="str">
        <f>_xlfn.XLOOKUP(ColombiaClientes6[[#This Row],[Client]],VpsClientes[Client],VpsClientes[VP],"",0)</f>
        <v>Moises Saavedra Garcia</v>
      </c>
      <c r="B703" s="97" t="s">
        <v>251</v>
      </c>
      <c r="C703" s="97" t="s">
        <v>192</v>
      </c>
      <c r="D703" s="123" t="s">
        <v>90</v>
      </c>
      <c r="E703" s="123" t="s">
        <v>91</v>
      </c>
      <c r="F703" s="98">
        <v>837</v>
      </c>
    </row>
    <row r="704" spans="1:6" hidden="1" x14ac:dyDescent="0.3">
      <c r="A704" s="7" t="str">
        <f>_xlfn.XLOOKUP(ColombiaClientes6[[#This Row],[Client]],VpsClientes[Client],VpsClientes[VP],"",0)</f>
        <v>Hector Muraira Garza</v>
      </c>
      <c r="B704" s="97" t="s">
        <v>132</v>
      </c>
      <c r="C704" s="97" t="s">
        <v>192</v>
      </c>
      <c r="D704" s="123" t="s">
        <v>219</v>
      </c>
      <c r="E704" s="123" t="s">
        <v>91</v>
      </c>
      <c r="F704" s="98">
        <v>704</v>
      </c>
    </row>
    <row r="705" spans="1:6" hidden="1" x14ac:dyDescent="0.3">
      <c r="A705" s="7" t="str">
        <f>_xlfn.XLOOKUP(ColombiaClientes6[[#This Row],[Client]],VpsClientes[Client],VpsClientes[VP],"",0)</f>
        <v>Hector Muraira Garza</v>
      </c>
      <c r="B705" s="97" t="s">
        <v>140</v>
      </c>
      <c r="C705" s="97" t="s">
        <v>192</v>
      </c>
      <c r="D705" s="123" t="s">
        <v>219</v>
      </c>
      <c r="E705" s="123" t="s">
        <v>91</v>
      </c>
      <c r="F705" s="98">
        <v>701</v>
      </c>
    </row>
    <row r="706" spans="1:6" x14ac:dyDescent="0.3">
      <c r="A706" s="7" t="str">
        <f>_xlfn.XLOOKUP(ColombiaClientes6[[#This Row],[Client]],VpsClientes[Client],VpsClientes[VP],"",0)</f>
        <v>Moises Saavedra Garcia</v>
      </c>
      <c r="B706" s="97" t="s">
        <v>251</v>
      </c>
      <c r="C706" s="97" t="s">
        <v>194</v>
      </c>
      <c r="D706" s="123" t="s">
        <v>90</v>
      </c>
      <c r="E706" s="123" t="s">
        <v>91</v>
      </c>
      <c r="F706" s="98">
        <v>939</v>
      </c>
    </row>
    <row r="707" spans="1:6" x14ac:dyDescent="0.3">
      <c r="A707" s="7" t="str">
        <f>_xlfn.XLOOKUP(ColombiaClientes6[[#This Row],[Client]],VpsClientes[Client],VpsClientes[VP],"",0)</f>
        <v>Moises Saavedra Garcia</v>
      </c>
      <c r="B707" s="97" t="s">
        <v>251</v>
      </c>
      <c r="C707" s="97" t="s">
        <v>202</v>
      </c>
      <c r="D707" s="123" t="s">
        <v>90</v>
      </c>
      <c r="E707" s="123" t="s">
        <v>91</v>
      </c>
      <c r="F707" s="98">
        <v>631</v>
      </c>
    </row>
    <row r="708" spans="1:6" hidden="1" x14ac:dyDescent="0.3">
      <c r="A708" s="7" t="str">
        <f>_xlfn.XLOOKUP(ColombiaClientes6[[#This Row],[Client]],VpsClientes[Client],VpsClientes[VP],"",0)</f>
        <v>Martha Guzman Arango</v>
      </c>
      <c r="B708" s="97" t="s">
        <v>199</v>
      </c>
      <c r="C708" s="97" t="s">
        <v>192</v>
      </c>
      <c r="D708" s="123" t="s">
        <v>219</v>
      </c>
      <c r="E708" s="123" t="s">
        <v>91</v>
      </c>
      <c r="F708" s="98">
        <v>572</v>
      </c>
    </row>
    <row r="709" spans="1:6" x14ac:dyDescent="0.3">
      <c r="A709" s="7" t="str">
        <f>_xlfn.XLOOKUP(ColombiaClientes6[[#This Row],[Client]],VpsClientes[Client],VpsClientes[VP],"",0)</f>
        <v>Moises Saavedra Garcia</v>
      </c>
      <c r="B709" s="97" t="s">
        <v>251</v>
      </c>
      <c r="C709" s="97" t="s">
        <v>203</v>
      </c>
      <c r="D709" s="123" t="s">
        <v>90</v>
      </c>
      <c r="E709" s="123" t="s">
        <v>91</v>
      </c>
      <c r="F709" s="98">
        <v>683</v>
      </c>
    </row>
    <row r="710" spans="1:6" x14ac:dyDescent="0.3">
      <c r="A710" s="7" t="str">
        <f>_xlfn.XLOOKUP(ColombiaClientes6[[#This Row],[Client]],VpsClientes[Client],VpsClientes[VP],"",0)</f>
        <v>Moises Saavedra Garcia</v>
      </c>
      <c r="B710" s="97" t="s">
        <v>251</v>
      </c>
      <c r="C710" s="97" t="s">
        <v>205</v>
      </c>
      <c r="D710" s="123" t="s">
        <v>90</v>
      </c>
      <c r="E710" s="123" t="s">
        <v>91</v>
      </c>
      <c r="F710" s="98">
        <v>488</v>
      </c>
    </row>
    <row r="711" spans="1:6" x14ac:dyDescent="0.3">
      <c r="A711" s="7" t="str">
        <f>_xlfn.XLOOKUP(ColombiaClientes6[[#This Row],[Client]],VpsClientes[Client],VpsClientes[VP],"",0)</f>
        <v>Moises Saavedra Garcia</v>
      </c>
      <c r="B711" s="97" t="s">
        <v>251</v>
      </c>
      <c r="C711" s="97" t="s">
        <v>237</v>
      </c>
      <c r="D711" s="123" t="s">
        <v>90</v>
      </c>
      <c r="E711" s="123" t="s">
        <v>91</v>
      </c>
      <c r="F711" s="98">
        <v>31</v>
      </c>
    </row>
    <row r="712" spans="1:6" hidden="1" x14ac:dyDescent="0.3">
      <c r="A712" s="7" t="str">
        <f>_xlfn.XLOOKUP(ColombiaClientes6[[#This Row],[Client]],VpsClientes[Client],VpsClientes[VP],"",0)</f>
        <v>Jhonatan Izquierdo Rico</v>
      </c>
      <c r="B712" s="97" t="s">
        <v>104</v>
      </c>
      <c r="C712" s="97" t="s">
        <v>192</v>
      </c>
      <c r="D712" s="123" t="s">
        <v>219</v>
      </c>
      <c r="E712" s="123" t="s">
        <v>91</v>
      </c>
      <c r="F712" s="98">
        <v>399</v>
      </c>
    </row>
    <row r="713" spans="1:6" x14ac:dyDescent="0.3">
      <c r="A713" s="7" t="str">
        <f>_xlfn.XLOOKUP(ColombiaClientes6[[#This Row],[Client]],VpsClientes[Client],VpsClientes[VP],"",0)</f>
        <v>Moises Saavedra Garcia</v>
      </c>
      <c r="B713" s="97" t="s">
        <v>251</v>
      </c>
      <c r="C713" s="97" t="s">
        <v>92</v>
      </c>
      <c r="D713" s="123" t="s">
        <v>90</v>
      </c>
      <c r="E713" s="123" t="s">
        <v>206</v>
      </c>
      <c r="F713" s="98">
        <v>684</v>
      </c>
    </row>
    <row r="714" spans="1:6" x14ac:dyDescent="0.3">
      <c r="A714" s="7" t="str">
        <f>_xlfn.XLOOKUP(ColombiaClientes6[[#This Row],[Client]],VpsClientes[Client],VpsClientes[VP],"",0)</f>
        <v>Moises Saavedra Garcia</v>
      </c>
      <c r="B714" s="97" t="s">
        <v>251</v>
      </c>
      <c r="C714" s="97" t="s">
        <v>191</v>
      </c>
      <c r="D714" s="123" t="s">
        <v>90</v>
      </c>
      <c r="E714" s="123" t="s">
        <v>206</v>
      </c>
      <c r="F714" s="98">
        <v>769</v>
      </c>
    </row>
    <row r="715" spans="1:6" hidden="1" x14ac:dyDescent="0.3">
      <c r="A715" s="7" t="str">
        <f>_xlfn.XLOOKUP(ColombiaClientes6[[#This Row],[Client]],VpsClientes[Client],VpsClientes[VP],"",0)</f>
        <v>Moises Saavedra Garcia</v>
      </c>
      <c r="B715" s="97" t="s">
        <v>201</v>
      </c>
      <c r="C715" s="97" t="s">
        <v>192</v>
      </c>
      <c r="D715" s="123" t="s">
        <v>219</v>
      </c>
      <c r="E715" s="123" t="s">
        <v>91</v>
      </c>
      <c r="F715" s="98">
        <v>282</v>
      </c>
    </row>
    <row r="716" spans="1:6" x14ac:dyDescent="0.3">
      <c r="A716" s="7" t="str">
        <f>_xlfn.XLOOKUP(ColombiaClientes6[[#This Row],[Client]],VpsClientes[Client],VpsClientes[VP],"",0)</f>
        <v>Moises Saavedra Garcia</v>
      </c>
      <c r="B716" s="97" t="s">
        <v>251</v>
      </c>
      <c r="C716" s="97" t="s">
        <v>192</v>
      </c>
      <c r="D716" s="123" t="s">
        <v>90</v>
      </c>
      <c r="E716" s="123" t="s">
        <v>206</v>
      </c>
      <c r="F716" s="98">
        <v>716</v>
      </c>
    </row>
    <row r="717" spans="1:6" x14ac:dyDescent="0.3">
      <c r="A717" s="7" t="str">
        <f>_xlfn.XLOOKUP(ColombiaClientes6[[#This Row],[Client]],VpsClientes[Client],VpsClientes[VP],"",0)</f>
        <v>Moises Saavedra Garcia</v>
      </c>
      <c r="B717" s="97" t="s">
        <v>251</v>
      </c>
      <c r="C717" s="97" t="s">
        <v>194</v>
      </c>
      <c r="D717" s="123" t="s">
        <v>90</v>
      </c>
      <c r="E717" s="123" t="s">
        <v>206</v>
      </c>
      <c r="F717" s="98">
        <v>874</v>
      </c>
    </row>
    <row r="718" spans="1:6" x14ac:dyDescent="0.3">
      <c r="A718" s="7" t="str">
        <f>_xlfn.XLOOKUP(ColombiaClientes6[[#This Row],[Client]],VpsClientes[Client],VpsClientes[VP],"",0)</f>
        <v>Moises Saavedra Garcia</v>
      </c>
      <c r="B718" s="97" t="s">
        <v>251</v>
      </c>
      <c r="C718" s="97" t="s">
        <v>202</v>
      </c>
      <c r="D718" s="123" t="s">
        <v>90</v>
      </c>
      <c r="E718" s="123" t="s">
        <v>206</v>
      </c>
      <c r="F718" s="98">
        <v>362</v>
      </c>
    </row>
    <row r="719" spans="1:6" hidden="1" x14ac:dyDescent="0.3">
      <c r="A719" s="7" t="str">
        <f>_xlfn.XLOOKUP(ColombiaClientes6[[#This Row],[Client]],VpsClientes[Client],VpsClientes[VP],"",0)</f>
        <v>Hector Muraira Garza</v>
      </c>
      <c r="B719" s="97" t="s">
        <v>167</v>
      </c>
      <c r="C719" s="97" t="s">
        <v>192</v>
      </c>
      <c r="D719" s="123" t="s">
        <v>219</v>
      </c>
      <c r="E719" s="123" t="s">
        <v>91</v>
      </c>
      <c r="F719" s="98">
        <v>136</v>
      </c>
    </row>
    <row r="720" spans="1:6" x14ac:dyDescent="0.3">
      <c r="A720" s="7" t="str">
        <f>_xlfn.XLOOKUP(ColombiaClientes6[[#This Row],[Client]],VpsClientes[Client],VpsClientes[VP],"",0)</f>
        <v>Moises Saavedra Garcia</v>
      </c>
      <c r="B720" s="97" t="s">
        <v>251</v>
      </c>
      <c r="C720" s="97" t="s">
        <v>203</v>
      </c>
      <c r="D720" s="123" t="s">
        <v>90</v>
      </c>
      <c r="E720" s="123" t="s">
        <v>206</v>
      </c>
      <c r="F720" s="98">
        <v>492</v>
      </c>
    </row>
    <row r="721" spans="1:6" x14ac:dyDescent="0.3">
      <c r="A721" s="7" t="str">
        <f>_xlfn.XLOOKUP(ColombiaClientes6[[#This Row],[Client]],VpsClientes[Client],VpsClientes[VP],"",0)</f>
        <v>Moises Saavedra Garcia</v>
      </c>
      <c r="B721" s="97" t="s">
        <v>251</v>
      </c>
      <c r="C721" s="97" t="s">
        <v>205</v>
      </c>
      <c r="D721" s="123" t="s">
        <v>90</v>
      </c>
      <c r="E721" s="123" t="s">
        <v>206</v>
      </c>
      <c r="F721" s="98">
        <v>857</v>
      </c>
    </row>
    <row r="722" spans="1:6" hidden="1" x14ac:dyDescent="0.3">
      <c r="A722" s="7" t="str">
        <f>_xlfn.XLOOKUP(ColombiaClientes6[[#This Row],[Client]],VpsClientes[Client],VpsClientes[VP],"",0)</f>
        <v>Jhonatan Izquierdo Rico</v>
      </c>
      <c r="B722" s="97" t="s">
        <v>157</v>
      </c>
      <c r="C722" s="97" t="s">
        <v>192</v>
      </c>
      <c r="D722" s="123" t="s">
        <v>219</v>
      </c>
      <c r="E722" s="123" t="s">
        <v>91</v>
      </c>
      <c r="F722" s="98">
        <v>83</v>
      </c>
    </row>
    <row r="723" spans="1:6" x14ac:dyDescent="0.3">
      <c r="A723" s="7" t="str">
        <f>_xlfn.XLOOKUP(ColombiaClientes6[[#This Row],[Client]],VpsClientes[Client],VpsClientes[VP],"",0)</f>
        <v>Moises Saavedra Garcia</v>
      </c>
      <c r="B723" s="97" t="s">
        <v>251</v>
      </c>
      <c r="C723" s="97" t="s">
        <v>237</v>
      </c>
      <c r="D723" s="123" t="s">
        <v>90</v>
      </c>
      <c r="E723" s="123" t="s">
        <v>206</v>
      </c>
      <c r="F723" s="98">
        <v>141</v>
      </c>
    </row>
    <row r="724" spans="1:6" x14ac:dyDescent="0.3">
      <c r="A724" s="7" t="str">
        <f>_xlfn.XLOOKUP(ColombiaClientes6[[#This Row],[Client]],VpsClientes[Client],VpsClientes[VP],"",0)</f>
        <v>Moises Saavedra Garcia</v>
      </c>
      <c r="B724" s="97" t="s">
        <v>251</v>
      </c>
      <c r="C724" s="97" t="s">
        <v>92</v>
      </c>
      <c r="D724" s="123" t="s">
        <v>219</v>
      </c>
      <c r="E724" s="123" t="s">
        <v>91</v>
      </c>
      <c r="F724" s="98">
        <v>336</v>
      </c>
    </row>
    <row r="725" spans="1:6" x14ac:dyDescent="0.3">
      <c r="A725" s="7" t="str">
        <f>_xlfn.XLOOKUP(ColombiaClientes6[[#This Row],[Client]],VpsClientes[Client],VpsClientes[VP],"",0)</f>
        <v>Moises Saavedra Garcia</v>
      </c>
      <c r="B725" s="97" t="s">
        <v>251</v>
      </c>
      <c r="C725" s="97" t="s">
        <v>191</v>
      </c>
      <c r="D725" s="123" t="s">
        <v>219</v>
      </c>
      <c r="E725" s="123" t="s">
        <v>91</v>
      </c>
      <c r="F725" s="98">
        <v>429</v>
      </c>
    </row>
    <row r="726" spans="1:6" x14ac:dyDescent="0.3">
      <c r="A726" s="7" t="str">
        <f>_xlfn.XLOOKUP(ColombiaClientes6[[#This Row],[Client]],VpsClientes[Client],VpsClientes[VP],"",0)</f>
        <v>Moises Saavedra Garcia</v>
      </c>
      <c r="B726" s="97" t="s">
        <v>251</v>
      </c>
      <c r="C726" s="97" t="s">
        <v>192</v>
      </c>
      <c r="D726" s="123" t="s">
        <v>219</v>
      </c>
      <c r="E726" s="123" t="s">
        <v>91</v>
      </c>
      <c r="F726" s="98">
        <v>478</v>
      </c>
    </row>
    <row r="727" spans="1:6" x14ac:dyDescent="0.3">
      <c r="A727" s="7" t="str">
        <f>_xlfn.XLOOKUP(ColombiaClientes6[[#This Row],[Client]],VpsClientes[Client],VpsClientes[VP],"",0)</f>
        <v>Moises Saavedra Garcia</v>
      </c>
      <c r="B727" s="97" t="s">
        <v>251</v>
      </c>
      <c r="C727" s="97" t="s">
        <v>194</v>
      </c>
      <c r="D727" s="123" t="s">
        <v>219</v>
      </c>
      <c r="E727" s="123" t="s">
        <v>91</v>
      </c>
      <c r="F727" s="98">
        <v>460</v>
      </c>
    </row>
    <row r="728" spans="1:6" x14ac:dyDescent="0.3">
      <c r="A728" s="7" t="str">
        <f>_xlfn.XLOOKUP(ColombiaClientes6[[#This Row],[Client]],VpsClientes[Client],VpsClientes[VP],"",0)</f>
        <v>Moises Saavedra Garcia</v>
      </c>
      <c r="B728" s="97" t="s">
        <v>251</v>
      </c>
      <c r="C728" s="97" t="s">
        <v>202</v>
      </c>
      <c r="D728" s="123" t="s">
        <v>219</v>
      </c>
      <c r="E728" s="123" t="s">
        <v>91</v>
      </c>
      <c r="F728" s="98">
        <v>313</v>
      </c>
    </row>
    <row r="729" spans="1:6" x14ac:dyDescent="0.3">
      <c r="A729" s="7" t="str">
        <f>_xlfn.XLOOKUP(ColombiaClientes6[[#This Row],[Client]],VpsClientes[Client],VpsClientes[VP],"",0)</f>
        <v>Moises Saavedra Garcia</v>
      </c>
      <c r="B729" s="97" t="s">
        <v>251</v>
      </c>
      <c r="C729" s="97" t="s">
        <v>203</v>
      </c>
      <c r="D729" s="123" t="s">
        <v>219</v>
      </c>
      <c r="E729" s="123" t="s">
        <v>91</v>
      </c>
      <c r="F729" s="98">
        <v>405</v>
      </c>
    </row>
    <row r="730" spans="1:6" hidden="1" x14ac:dyDescent="0.3">
      <c r="A730" s="7" t="str">
        <f>_xlfn.XLOOKUP(ColombiaClientes6[[#This Row],[Client]],VpsClientes[Client],VpsClientes[VP],"",0)</f>
        <v>Carlos Beltran Hernandez</v>
      </c>
      <c r="B730" s="101" t="s">
        <v>93</v>
      </c>
      <c r="C730" s="10" t="s">
        <v>194</v>
      </c>
      <c r="D730" s="123" t="s">
        <v>219</v>
      </c>
      <c r="E730" s="123" t="s">
        <v>91</v>
      </c>
      <c r="F730" s="103">
        <v>7141</v>
      </c>
    </row>
    <row r="731" spans="1:6" x14ac:dyDescent="0.3">
      <c r="A731" s="7" t="str">
        <f>_xlfn.XLOOKUP(ColombiaClientes6[[#This Row],[Client]],VpsClientes[Client],VpsClientes[VP],"",0)</f>
        <v>Moises Saavedra Garcia</v>
      </c>
      <c r="B731" s="101" t="s">
        <v>251</v>
      </c>
      <c r="C731" s="102" t="s">
        <v>205</v>
      </c>
      <c r="D731" s="123" t="s">
        <v>219</v>
      </c>
      <c r="E731" s="123" t="s">
        <v>91</v>
      </c>
      <c r="F731" s="103">
        <v>656</v>
      </c>
    </row>
    <row r="732" spans="1:6" hidden="1" x14ac:dyDescent="0.3">
      <c r="A732" s="7" t="str">
        <f>_xlfn.XLOOKUP(ColombiaClientes6[[#This Row],[Client]],VpsClientes[Client],VpsClientes[VP],"",0)</f>
        <v>Ludy Torres Benitez</v>
      </c>
      <c r="B732" s="101" t="s">
        <v>95</v>
      </c>
      <c r="C732" s="102" t="s">
        <v>194</v>
      </c>
      <c r="D732" s="123" t="s">
        <v>219</v>
      </c>
      <c r="E732" s="123" t="s">
        <v>91</v>
      </c>
      <c r="F732" s="103">
        <v>3993</v>
      </c>
    </row>
    <row r="733" spans="1:6" hidden="1" x14ac:dyDescent="0.3">
      <c r="A733" s="7" t="str">
        <f>_xlfn.XLOOKUP(ColombiaClientes6[[#This Row],[Client]],VpsClientes[Client],VpsClientes[VP],"",0)</f>
        <v>Moises Saavedra Garcia</v>
      </c>
      <c r="B733" s="101" t="s">
        <v>110</v>
      </c>
      <c r="C733" s="102" t="s">
        <v>194</v>
      </c>
      <c r="D733" s="123" t="s">
        <v>219</v>
      </c>
      <c r="E733" s="123" t="s">
        <v>91</v>
      </c>
      <c r="F733" s="103">
        <v>3355</v>
      </c>
    </row>
    <row r="734" spans="1:6" hidden="1" x14ac:dyDescent="0.3">
      <c r="A734" s="7" t="str">
        <f>_xlfn.XLOOKUP(ColombiaClientes6[[#This Row],[Client]],VpsClientes[Client],VpsClientes[VP],"",0)</f>
        <v>Martha Guzman Arango</v>
      </c>
      <c r="B734" s="101" t="s">
        <v>199</v>
      </c>
      <c r="C734" s="102" t="s">
        <v>194</v>
      </c>
      <c r="D734" s="123" t="s">
        <v>219</v>
      </c>
      <c r="E734" s="123" t="s">
        <v>91</v>
      </c>
      <c r="F734" s="103">
        <v>2666</v>
      </c>
    </row>
    <row r="735" spans="1:6" x14ac:dyDescent="0.3">
      <c r="A735" s="7" t="str">
        <f>_xlfn.XLOOKUP(ColombiaClientes6[[#This Row],[Client]],VpsClientes[Client],VpsClientes[VP],"",0)</f>
        <v>Moises Saavedra Garcia</v>
      </c>
      <c r="B735" s="101" t="s">
        <v>251</v>
      </c>
      <c r="C735" s="102" t="s">
        <v>237</v>
      </c>
      <c r="D735" s="123" t="s">
        <v>219</v>
      </c>
      <c r="E735" s="123" t="s">
        <v>91</v>
      </c>
      <c r="F735" s="103">
        <v>29</v>
      </c>
    </row>
    <row r="736" spans="1:6" x14ac:dyDescent="0.3">
      <c r="A736" s="7" t="str">
        <f>_xlfn.XLOOKUP(ColombiaClientes6[[#This Row],[Client]],VpsClientes[Client],VpsClientes[VP],"",0)</f>
        <v>Moises Saavedra Garcia</v>
      </c>
      <c r="B736" s="101" t="s">
        <v>251</v>
      </c>
      <c r="C736" s="102" t="s">
        <v>92</v>
      </c>
      <c r="D736" s="123" t="s">
        <v>219</v>
      </c>
      <c r="E736" s="123" t="s">
        <v>206</v>
      </c>
      <c r="F736" s="103">
        <v>232</v>
      </c>
    </row>
    <row r="737" spans="1:6" hidden="1" x14ac:dyDescent="0.3">
      <c r="A737" s="7" t="str">
        <f>_xlfn.XLOOKUP(ColombiaClientes6[[#This Row],[Client]],VpsClientes[Client],VpsClientes[VP],"",0)</f>
        <v>Hector Muraira Garza</v>
      </c>
      <c r="B737" s="101" t="s">
        <v>164</v>
      </c>
      <c r="C737" s="102" t="s">
        <v>194</v>
      </c>
      <c r="D737" s="123" t="s">
        <v>219</v>
      </c>
      <c r="E737" s="123" t="s">
        <v>91</v>
      </c>
      <c r="F737" s="103">
        <v>1821</v>
      </c>
    </row>
    <row r="738" spans="1:6" x14ac:dyDescent="0.3">
      <c r="A738" s="7" t="str">
        <f>_xlfn.XLOOKUP(ColombiaClientes6[[#This Row],[Client]],VpsClientes[Client],VpsClientes[VP],"",0)</f>
        <v>Moises Saavedra Garcia</v>
      </c>
      <c r="B738" s="101" t="s">
        <v>251</v>
      </c>
      <c r="C738" s="102" t="s">
        <v>191</v>
      </c>
      <c r="D738" s="123" t="s">
        <v>219</v>
      </c>
      <c r="E738" s="123" t="s">
        <v>206</v>
      </c>
      <c r="F738" s="103">
        <v>164</v>
      </c>
    </row>
    <row r="739" spans="1:6" hidden="1" x14ac:dyDescent="0.3">
      <c r="A739" s="7" t="str">
        <f>_xlfn.XLOOKUP(ColombiaClientes6[[#This Row],[Client]],VpsClientes[Client],VpsClientes[VP],"",0)</f>
        <v>Juan Granados Castillo</v>
      </c>
      <c r="B739" s="101" t="s">
        <v>134</v>
      </c>
      <c r="C739" s="102" t="s">
        <v>194</v>
      </c>
      <c r="D739" s="123" t="s">
        <v>219</v>
      </c>
      <c r="E739" s="123" t="s">
        <v>91</v>
      </c>
      <c r="F739" s="103">
        <v>1204</v>
      </c>
    </row>
    <row r="740" spans="1:6" x14ac:dyDescent="0.3">
      <c r="A740" s="7" t="str">
        <f>_xlfn.XLOOKUP(ColombiaClientes6[[#This Row],[Client]],VpsClientes[Client],VpsClientes[VP],"",0)</f>
        <v>Moises Saavedra Garcia</v>
      </c>
      <c r="B740" s="101" t="s">
        <v>251</v>
      </c>
      <c r="C740" s="102" t="s">
        <v>192</v>
      </c>
      <c r="D740" s="123" t="s">
        <v>219</v>
      </c>
      <c r="E740" s="123" t="s">
        <v>206</v>
      </c>
      <c r="F740" s="103">
        <v>47</v>
      </c>
    </row>
    <row r="741" spans="1:6" hidden="1" x14ac:dyDescent="0.3">
      <c r="A741" s="7" t="str">
        <f>_xlfn.XLOOKUP(ColombiaClientes6[[#This Row],[Client]],VpsClientes[Client],VpsClientes[VP],"",0)</f>
        <v>Hector Muraira Garza</v>
      </c>
      <c r="B741" s="101" t="s">
        <v>140</v>
      </c>
      <c r="C741" s="102" t="s">
        <v>194</v>
      </c>
      <c r="D741" s="123" t="s">
        <v>219</v>
      </c>
      <c r="E741" s="123" t="s">
        <v>91</v>
      </c>
      <c r="F741" s="103">
        <v>874</v>
      </c>
    </row>
    <row r="742" spans="1:6" x14ac:dyDescent="0.3">
      <c r="A742" s="7" t="str">
        <f>_xlfn.XLOOKUP(ColombiaClientes6[[#This Row],[Client]],VpsClientes[Client],VpsClientes[VP],"",0)</f>
        <v>Moises Saavedra Garcia</v>
      </c>
      <c r="B742" s="101" t="s">
        <v>251</v>
      </c>
      <c r="C742" s="102" t="s">
        <v>194</v>
      </c>
      <c r="D742" s="123" t="s">
        <v>219</v>
      </c>
      <c r="E742" s="123" t="s">
        <v>206</v>
      </c>
      <c r="F742" s="103">
        <v>25</v>
      </c>
    </row>
    <row r="743" spans="1:6" hidden="1" x14ac:dyDescent="0.3">
      <c r="A743" s="7" t="str">
        <f>_xlfn.XLOOKUP(ColombiaClientes6[[#This Row],[Client]],VpsClientes[Client],VpsClientes[VP],"",0)</f>
        <v>Sandra Romero Zuluaga</v>
      </c>
      <c r="B743" s="101" t="s">
        <v>113</v>
      </c>
      <c r="C743" s="102" t="s">
        <v>194</v>
      </c>
      <c r="D743" s="123" t="s">
        <v>219</v>
      </c>
      <c r="E743" s="123" t="s">
        <v>91</v>
      </c>
      <c r="F743" s="103">
        <v>732</v>
      </c>
    </row>
    <row r="744" spans="1:6" hidden="1" x14ac:dyDescent="0.3">
      <c r="A744" s="7" t="str">
        <f>_xlfn.XLOOKUP(ColombiaClientes6[[#This Row],[Client]],VpsClientes[Client],VpsClientes[VP],"",0)</f>
        <v>Hector Muraira Garza</v>
      </c>
      <c r="B744" s="101" t="s">
        <v>132</v>
      </c>
      <c r="C744" s="102" t="s">
        <v>194</v>
      </c>
      <c r="D744" s="123" t="s">
        <v>219</v>
      </c>
      <c r="E744" s="123" t="s">
        <v>91</v>
      </c>
      <c r="F744" s="103">
        <v>722</v>
      </c>
    </row>
    <row r="745" spans="1:6" x14ac:dyDescent="0.3">
      <c r="A745" s="7" t="str">
        <f>_xlfn.XLOOKUP(ColombiaClientes6[[#This Row],[Client]],VpsClientes[Client],VpsClientes[VP],"",0)</f>
        <v>Moises Saavedra Garcia</v>
      </c>
      <c r="B745" s="101" t="s">
        <v>251</v>
      </c>
      <c r="C745" s="102" t="s">
        <v>202</v>
      </c>
      <c r="D745" s="123" t="s">
        <v>219</v>
      </c>
      <c r="E745" s="123" t="s">
        <v>206</v>
      </c>
      <c r="F745" s="103">
        <v>40</v>
      </c>
    </row>
    <row r="746" spans="1:6" hidden="1" x14ac:dyDescent="0.3">
      <c r="A746" s="7" t="str">
        <f>_xlfn.XLOOKUP(ColombiaClientes6[[#This Row],[Client]],VpsClientes[Client],VpsClientes[VP],"",0)</f>
        <v>Jhonatan Izquierdo Rico</v>
      </c>
      <c r="B746" s="101" t="s">
        <v>104</v>
      </c>
      <c r="C746" s="102" t="s">
        <v>194</v>
      </c>
      <c r="D746" s="123" t="s">
        <v>219</v>
      </c>
      <c r="E746" s="123" t="s">
        <v>91</v>
      </c>
      <c r="F746" s="103">
        <v>600</v>
      </c>
    </row>
    <row r="747" spans="1:6" hidden="1" x14ac:dyDescent="0.3">
      <c r="A747" s="7" t="str">
        <f>_xlfn.XLOOKUP(ColombiaClientes6[[#This Row],[Client]],VpsClientes[Client],VpsClientes[VP],"",0)</f>
        <v>Carlos Castillo Figueroa</v>
      </c>
      <c r="B747" s="101" t="s">
        <v>105</v>
      </c>
      <c r="C747" s="102" t="s">
        <v>194</v>
      </c>
      <c r="D747" s="123" t="s">
        <v>219</v>
      </c>
      <c r="E747" s="123" t="s">
        <v>91</v>
      </c>
      <c r="F747" s="103">
        <v>464</v>
      </c>
    </row>
    <row r="748" spans="1:6" x14ac:dyDescent="0.3">
      <c r="A748" s="7" t="str">
        <f>_xlfn.XLOOKUP(ColombiaClientes6[[#This Row],[Client]],VpsClientes[Client],VpsClientes[VP],"",0)</f>
        <v>Moises Saavedra Garcia</v>
      </c>
      <c r="B748" s="101" t="s">
        <v>251</v>
      </c>
      <c r="C748" s="102" t="s">
        <v>203</v>
      </c>
      <c r="D748" s="123" t="s">
        <v>219</v>
      </c>
      <c r="E748" s="123" t="s">
        <v>206</v>
      </c>
      <c r="F748" s="103">
        <v>86</v>
      </c>
    </row>
    <row r="749" spans="1:6" hidden="1" x14ac:dyDescent="0.3">
      <c r="A749" s="7" t="str">
        <f>_xlfn.XLOOKUP(ColombiaClientes6[[#This Row],[Client]],VpsClientes[Client],VpsClientes[VP],"",0)</f>
        <v>Moises Saavedra Garcia</v>
      </c>
      <c r="B749" s="101" t="s">
        <v>201</v>
      </c>
      <c r="C749" s="102" t="s">
        <v>194</v>
      </c>
      <c r="D749" s="123" t="s">
        <v>219</v>
      </c>
      <c r="E749" s="123" t="s">
        <v>91</v>
      </c>
      <c r="F749" s="103">
        <v>389</v>
      </c>
    </row>
    <row r="750" spans="1:6" x14ac:dyDescent="0.3">
      <c r="A750" s="7" t="str">
        <f>_xlfn.XLOOKUP(ColombiaClientes6[[#This Row],[Client]],VpsClientes[Client],VpsClientes[VP],"",0)</f>
        <v>Moises Saavedra Garcia</v>
      </c>
      <c r="B750" s="101" t="s">
        <v>251</v>
      </c>
      <c r="C750" s="102" t="s">
        <v>205</v>
      </c>
      <c r="D750" s="123" t="s">
        <v>219</v>
      </c>
      <c r="E750" s="123" t="s">
        <v>206</v>
      </c>
      <c r="F750" s="103">
        <v>86</v>
      </c>
    </row>
    <row r="751" spans="1:6" x14ac:dyDescent="0.3">
      <c r="A751" s="7" t="str">
        <f>_xlfn.XLOOKUP(ColombiaClientes6[[#This Row],[Client]],VpsClientes[Client],VpsClientes[VP],"",0)</f>
        <v>Moises Saavedra Garcia</v>
      </c>
      <c r="B751" s="101" t="s">
        <v>251</v>
      </c>
      <c r="C751" s="102" t="s">
        <v>237</v>
      </c>
      <c r="D751" s="123" t="s">
        <v>219</v>
      </c>
      <c r="E751" s="123" t="s">
        <v>206</v>
      </c>
      <c r="F751" s="103">
        <v>1</v>
      </c>
    </row>
    <row r="752" spans="1:6" x14ac:dyDescent="0.3">
      <c r="A752" s="7" t="str">
        <f>_xlfn.XLOOKUP(ColombiaClientes6[[#This Row],[Client]],VpsClientes[Client],VpsClientes[VP],"",0)</f>
        <v>Hector Muraira Garza</v>
      </c>
      <c r="B752" s="101" t="s">
        <v>253</v>
      </c>
      <c r="C752" s="102" t="s">
        <v>92</v>
      </c>
      <c r="D752" s="123" t="s">
        <v>90</v>
      </c>
      <c r="E752" s="123" t="s">
        <v>91</v>
      </c>
      <c r="F752" s="103">
        <v>268</v>
      </c>
    </row>
    <row r="753" spans="1:6" x14ac:dyDescent="0.3">
      <c r="A753" s="7" t="str">
        <f>_xlfn.XLOOKUP(ColombiaClientes6[[#This Row],[Client]],VpsClientes[Client],VpsClientes[VP],"",0)</f>
        <v>Hector Muraira Garza</v>
      </c>
      <c r="B753" s="101" t="s">
        <v>253</v>
      </c>
      <c r="C753" s="102" t="s">
        <v>191</v>
      </c>
      <c r="D753" s="123" t="s">
        <v>90</v>
      </c>
      <c r="E753" s="123" t="s">
        <v>91</v>
      </c>
      <c r="F753" s="103">
        <v>8</v>
      </c>
    </row>
    <row r="754" spans="1:6" hidden="1" x14ac:dyDescent="0.3">
      <c r="A754" s="7" t="str">
        <f>_xlfn.XLOOKUP(ColombiaClientes6[[#This Row],[Client]],VpsClientes[Client],VpsClientes[VP],"",0)</f>
        <v>Javier Orjuela Sarmiento</v>
      </c>
      <c r="B754" s="101" t="s">
        <v>133</v>
      </c>
      <c r="C754" s="102" t="s">
        <v>194</v>
      </c>
      <c r="D754" s="123" t="s">
        <v>219</v>
      </c>
      <c r="E754" s="123" t="s">
        <v>91</v>
      </c>
      <c r="F754" s="103">
        <v>255</v>
      </c>
    </row>
    <row r="755" spans="1:6" x14ac:dyDescent="0.3">
      <c r="A755" s="7" t="str">
        <f>_xlfn.XLOOKUP(ColombiaClientes6[[#This Row],[Client]],VpsClientes[Client],VpsClientes[VP],"",0)</f>
        <v>Hector Muraira Garza</v>
      </c>
      <c r="B755" s="101" t="s">
        <v>253</v>
      </c>
      <c r="C755" s="102" t="s">
        <v>92</v>
      </c>
      <c r="D755" s="123" t="s">
        <v>90</v>
      </c>
      <c r="E755" s="123" t="s">
        <v>206</v>
      </c>
      <c r="F755" s="103">
        <v>100</v>
      </c>
    </row>
    <row r="756" spans="1:6" x14ac:dyDescent="0.3">
      <c r="A756" s="7" t="str">
        <f>_xlfn.XLOOKUP(ColombiaClientes6[[#This Row],[Client]],VpsClientes[Client],VpsClientes[VP],"",0)</f>
        <v>Hector Muraira Garza</v>
      </c>
      <c r="B756" s="101" t="s">
        <v>253</v>
      </c>
      <c r="C756" s="102" t="s">
        <v>191</v>
      </c>
      <c r="D756" s="123" t="s">
        <v>90</v>
      </c>
      <c r="E756" s="123" t="s">
        <v>206</v>
      </c>
      <c r="F756" s="103">
        <v>19</v>
      </c>
    </row>
    <row r="757" spans="1:6" x14ac:dyDescent="0.3">
      <c r="A757" s="7" t="str">
        <f>_xlfn.XLOOKUP(ColombiaClientes6[[#This Row],[Client]],VpsClientes[Client],VpsClientes[VP],"",0)</f>
        <v>Hector Muraira Garza</v>
      </c>
      <c r="B757" s="101" t="s">
        <v>253</v>
      </c>
      <c r="C757" s="102" t="s">
        <v>92</v>
      </c>
      <c r="D757" s="123" t="s">
        <v>219</v>
      </c>
      <c r="E757" s="123" t="s">
        <v>91</v>
      </c>
      <c r="F757" s="103">
        <v>34</v>
      </c>
    </row>
    <row r="758" spans="1:6" hidden="1" x14ac:dyDescent="0.3">
      <c r="A758" s="7" t="str">
        <f>_xlfn.XLOOKUP(ColombiaClientes6[[#This Row],[Client]],VpsClientes[Client],VpsClientes[VP],"",0)</f>
        <v>Hector Muraira Garza</v>
      </c>
      <c r="B758" s="101" t="s">
        <v>167</v>
      </c>
      <c r="C758" s="102" t="s">
        <v>194</v>
      </c>
      <c r="D758" s="123" t="s">
        <v>219</v>
      </c>
      <c r="E758" s="123" t="s">
        <v>91</v>
      </c>
      <c r="F758" s="103">
        <v>183</v>
      </c>
    </row>
    <row r="759" spans="1:6" x14ac:dyDescent="0.3">
      <c r="A759" s="7" t="str">
        <f>_xlfn.XLOOKUP(ColombiaClientes6[[#This Row],[Client]],VpsClientes[Client],VpsClientes[VP],"",0)</f>
        <v>Hector Muraira Garza</v>
      </c>
      <c r="B759" s="101" t="s">
        <v>253</v>
      </c>
      <c r="C759" s="102" t="s">
        <v>92</v>
      </c>
      <c r="D759" s="123" t="s">
        <v>219</v>
      </c>
      <c r="E759" s="123" t="s">
        <v>206</v>
      </c>
      <c r="F759" s="103">
        <v>7</v>
      </c>
    </row>
    <row r="760" spans="1:6" x14ac:dyDescent="0.3">
      <c r="A760" s="7" t="str">
        <f>_xlfn.XLOOKUP(ColombiaClientes6[[#This Row],[Client]],VpsClientes[Client],VpsClientes[VP],"",0)</f>
        <v>Sebastian Rojas Fernandez</v>
      </c>
      <c r="B760" s="101" t="s">
        <v>248</v>
      </c>
      <c r="C760" s="102" t="s">
        <v>92</v>
      </c>
      <c r="D760" s="123" t="s">
        <v>90</v>
      </c>
      <c r="E760" s="123" t="s">
        <v>91</v>
      </c>
      <c r="F760" s="103">
        <v>358</v>
      </c>
    </row>
    <row r="761" spans="1:6" x14ac:dyDescent="0.3">
      <c r="A761" s="7" t="str">
        <f>_xlfn.XLOOKUP(ColombiaClientes6[[#This Row],[Client]],VpsClientes[Client],VpsClientes[VP],"",0)</f>
        <v>Sebastian Rojas Fernandez</v>
      </c>
      <c r="B761" s="101" t="s">
        <v>248</v>
      </c>
      <c r="C761" s="102" t="s">
        <v>191</v>
      </c>
      <c r="D761" s="123" t="s">
        <v>90</v>
      </c>
      <c r="E761" s="123" t="s">
        <v>91</v>
      </c>
      <c r="F761" s="103">
        <v>370</v>
      </c>
    </row>
    <row r="762" spans="1:6" x14ac:dyDescent="0.3">
      <c r="A762" s="7" t="str">
        <f>_xlfn.XLOOKUP(ColombiaClientes6[[#This Row],[Client]],VpsClientes[Client],VpsClientes[VP],"",0)</f>
        <v>Sebastian Rojas Fernandez</v>
      </c>
      <c r="B762" s="101" t="s">
        <v>248</v>
      </c>
      <c r="C762" s="102" t="s">
        <v>192</v>
      </c>
      <c r="D762" s="123" t="s">
        <v>90</v>
      </c>
      <c r="E762" s="123" t="s">
        <v>91</v>
      </c>
      <c r="F762" s="103">
        <v>504</v>
      </c>
    </row>
    <row r="763" spans="1:6" x14ac:dyDescent="0.3">
      <c r="A763" s="7" t="str">
        <f>_xlfn.XLOOKUP(ColombiaClientes6[[#This Row],[Client]],VpsClientes[Client],VpsClientes[VP],"",0)</f>
        <v>Sebastian Rojas Fernandez</v>
      </c>
      <c r="B763" s="101" t="s">
        <v>248</v>
      </c>
      <c r="C763" s="102" t="s">
        <v>194</v>
      </c>
      <c r="D763" s="123" t="s">
        <v>90</v>
      </c>
      <c r="E763" s="123" t="s">
        <v>91</v>
      </c>
      <c r="F763" s="103">
        <v>567</v>
      </c>
    </row>
    <row r="764" spans="1:6" hidden="1" x14ac:dyDescent="0.3">
      <c r="A764" s="7" t="str">
        <f>_xlfn.XLOOKUP(ColombiaClientes6[[#This Row],[Client]],VpsClientes[Client],VpsClientes[VP],"",0)</f>
        <v>Jhonatan Izquierdo Rico</v>
      </c>
      <c r="B764" s="101" t="s">
        <v>157</v>
      </c>
      <c r="C764" s="102" t="s">
        <v>194</v>
      </c>
      <c r="D764" s="123" t="s">
        <v>219</v>
      </c>
      <c r="E764" s="123" t="s">
        <v>91</v>
      </c>
      <c r="F764" s="103">
        <v>58</v>
      </c>
    </row>
    <row r="765" spans="1:6" x14ac:dyDescent="0.3">
      <c r="A765" s="7" t="str">
        <f>_xlfn.XLOOKUP(ColombiaClientes6[[#This Row],[Client]],VpsClientes[Client],VpsClientes[VP],"",0)</f>
        <v>Sebastian Rojas Fernandez</v>
      </c>
      <c r="B765" s="101" t="s">
        <v>248</v>
      </c>
      <c r="C765" s="102" t="s">
        <v>202</v>
      </c>
      <c r="D765" s="123" t="s">
        <v>90</v>
      </c>
      <c r="E765" s="123" t="s">
        <v>91</v>
      </c>
      <c r="F765" s="103">
        <v>646</v>
      </c>
    </row>
    <row r="766" spans="1:6" x14ac:dyDescent="0.3">
      <c r="A766" s="7" t="str">
        <f>_xlfn.XLOOKUP(ColombiaClientes6[[#This Row],[Client]],VpsClientes[Client],VpsClientes[VP],"",0)</f>
        <v>Sebastian Rojas Fernandez</v>
      </c>
      <c r="B766" s="101" t="s">
        <v>248</v>
      </c>
      <c r="C766" s="102" t="s">
        <v>203</v>
      </c>
      <c r="D766" s="123" t="s">
        <v>90</v>
      </c>
      <c r="E766" s="123" t="s">
        <v>91</v>
      </c>
      <c r="F766" s="103">
        <v>606</v>
      </c>
    </row>
    <row r="767" spans="1:6" x14ac:dyDescent="0.3">
      <c r="A767" s="7" t="str">
        <f>_xlfn.XLOOKUP(ColombiaClientes6[[#This Row],[Client]],VpsClientes[Client],VpsClientes[VP],"",0)</f>
        <v>Sebastian Rojas Fernandez</v>
      </c>
      <c r="B767" s="101" t="s">
        <v>248</v>
      </c>
      <c r="C767" s="102" t="s">
        <v>205</v>
      </c>
      <c r="D767" s="123" t="s">
        <v>90</v>
      </c>
      <c r="E767" s="123" t="s">
        <v>91</v>
      </c>
      <c r="F767" s="103">
        <v>908</v>
      </c>
    </row>
    <row r="768" spans="1:6" x14ac:dyDescent="0.3">
      <c r="A768" s="7" t="str">
        <f>_xlfn.XLOOKUP(ColombiaClientes6[[#This Row],[Client]],VpsClientes[Client],VpsClientes[VP],"",0)</f>
        <v>Sebastian Rojas Fernandez</v>
      </c>
      <c r="B768" s="101" t="s">
        <v>248</v>
      </c>
      <c r="C768" s="102" t="s">
        <v>237</v>
      </c>
      <c r="D768" s="123" t="s">
        <v>90</v>
      </c>
      <c r="E768" s="123" t="s">
        <v>91</v>
      </c>
      <c r="F768" s="103">
        <v>103</v>
      </c>
    </row>
    <row r="769" spans="1:6" hidden="1" x14ac:dyDescent="0.3">
      <c r="A769" s="7" t="str">
        <f>_xlfn.XLOOKUP(ColombiaClientes6[[#This Row],[Client]],VpsClientes[Client],VpsClientes[VP],"",0)</f>
        <v>Carlos Beltran Hernandez</v>
      </c>
      <c r="B769" s="106" t="s">
        <v>93</v>
      </c>
      <c r="C769" s="10" t="s">
        <v>202</v>
      </c>
      <c r="D769" s="123" t="s">
        <v>219</v>
      </c>
      <c r="E769" s="123" t="s">
        <v>91</v>
      </c>
      <c r="F769" s="108">
        <v>6949</v>
      </c>
    </row>
    <row r="770" spans="1:6" x14ac:dyDescent="0.3">
      <c r="A770" s="7" t="str">
        <f>_xlfn.XLOOKUP(ColombiaClientes6[[#This Row],[Client]],VpsClientes[Client],VpsClientes[VP],"",0)</f>
        <v>Sebastian Rojas Fernandez</v>
      </c>
      <c r="B770" s="106" t="s">
        <v>248</v>
      </c>
      <c r="C770" s="107" t="s">
        <v>92</v>
      </c>
      <c r="D770" s="123" t="s">
        <v>90</v>
      </c>
      <c r="E770" s="123" t="s">
        <v>206</v>
      </c>
      <c r="F770" s="108">
        <v>872</v>
      </c>
    </row>
    <row r="771" spans="1:6" hidden="1" x14ac:dyDescent="0.3">
      <c r="A771" s="7" t="str">
        <f>_xlfn.XLOOKUP(ColombiaClientes6[[#This Row],[Client]],VpsClientes[Client],VpsClientes[VP],"",0)</f>
        <v>Ludy Torres Benitez</v>
      </c>
      <c r="B771" s="106" t="s">
        <v>95</v>
      </c>
      <c r="C771" s="107" t="s">
        <v>202</v>
      </c>
      <c r="D771" s="123" t="s">
        <v>219</v>
      </c>
      <c r="E771" s="123" t="s">
        <v>91</v>
      </c>
      <c r="F771" s="108">
        <v>4918</v>
      </c>
    </row>
    <row r="772" spans="1:6" hidden="1" x14ac:dyDescent="0.3">
      <c r="A772" s="7" t="str">
        <f>_xlfn.XLOOKUP(ColombiaClientes6[[#This Row],[Client]],VpsClientes[Client],VpsClientes[VP],"",0)</f>
        <v>Martha Guzman Arango</v>
      </c>
      <c r="B772" s="106" t="s">
        <v>199</v>
      </c>
      <c r="C772" s="107" t="s">
        <v>202</v>
      </c>
      <c r="D772" s="123" t="s">
        <v>219</v>
      </c>
      <c r="E772" s="123" t="s">
        <v>91</v>
      </c>
      <c r="F772" s="108">
        <v>3112</v>
      </c>
    </row>
    <row r="773" spans="1:6" hidden="1" x14ac:dyDescent="0.3">
      <c r="A773" s="7" t="str">
        <f>_xlfn.XLOOKUP(ColombiaClientes6[[#This Row],[Client]],VpsClientes[Client],VpsClientes[VP],"",0)</f>
        <v>Hector Muraira Garza</v>
      </c>
      <c r="B773" s="106" t="s">
        <v>164</v>
      </c>
      <c r="C773" s="107" t="s">
        <v>202</v>
      </c>
      <c r="D773" s="123" t="s">
        <v>219</v>
      </c>
      <c r="E773" s="123" t="s">
        <v>91</v>
      </c>
      <c r="F773" s="108">
        <v>2732</v>
      </c>
    </row>
    <row r="774" spans="1:6" x14ac:dyDescent="0.3">
      <c r="A774" s="7" t="str">
        <f>_xlfn.XLOOKUP(ColombiaClientes6[[#This Row],[Client]],VpsClientes[Client],VpsClientes[VP],"",0)</f>
        <v>Sebastian Rojas Fernandez</v>
      </c>
      <c r="B774" s="106" t="s">
        <v>248</v>
      </c>
      <c r="C774" s="107" t="s">
        <v>191</v>
      </c>
      <c r="D774" s="123" t="s">
        <v>90</v>
      </c>
      <c r="E774" s="123" t="s">
        <v>206</v>
      </c>
      <c r="F774" s="108">
        <v>600</v>
      </c>
    </row>
    <row r="775" spans="1:6" x14ac:dyDescent="0.3">
      <c r="A775" s="7" t="str">
        <f>_xlfn.XLOOKUP(ColombiaClientes6[[#This Row],[Client]],VpsClientes[Client],VpsClientes[VP],"",0)</f>
        <v>Sebastian Rojas Fernandez</v>
      </c>
      <c r="B775" s="106" t="s">
        <v>248</v>
      </c>
      <c r="C775" s="107" t="s">
        <v>192</v>
      </c>
      <c r="D775" s="123" t="s">
        <v>90</v>
      </c>
      <c r="E775" s="123" t="s">
        <v>206</v>
      </c>
      <c r="F775" s="108">
        <v>435</v>
      </c>
    </row>
    <row r="776" spans="1:6" hidden="1" x14ac:dyDescent="0.3">
      <c r="A776" s="7" t="str">
        <f>_xlfn.XLOOKUP(ColombiaClientes6[[#This Row],[Client]],VpsClientes[Client],VpsClientes[VP],"",0)</f>
        <v>Moises Saavedra Garcia</v>
      </c>
      <c r="B776" s="106" t="s">
        <v>110</v>
      </c>
      <c r="C776" s="107" t="s">
        <v>202</v>
      </c>
      <c r="D776" s="123" t="s">
        <v>219</v>
      </c>
      <c r="E776" s="123" t="s">
        <v>91</v>
      </c>
      <c r="F776" s="108">
        <v>2022</v>
      </c>
    </row>
    <row r="777" spans="1:6" hidden="1" x14ac:dyDescent="0.3">
      <c r="A777" s="7" t="str">
        <f>_xlfn.XLOOKUP(ColombiaClientes6[[#This Row],[Client]],VpsClientes[Client],VpsClientes[VP],"",0)</f>
        <v>Sandra Romero Zuluaga</v>
      </c>
      <c r="B777" s="106" t="s">
        <v>113</v>
      </c>
      <c r="C777" s="107" t="s">
        <v>202</v>
      </c>
      <c r="D777" s="123" t="s">
        <v>219</v>
      </c>
      <c r="E777" s="123" t="s">
        <v>91</v>
      </c>
      <c r="F777" s="108">
        <v>1876</v>
      </c>
    </row>
    <row r="778" spans="1:6" hidden="1" x14ac:dyDescent="0.3">
      <c r="A778" s="7" t="str">
        <f>_xlfn.XLOOKUP(ColombiaClientes6[[#This Row],[Client]],VpsClientes[Client],VpsClientes[VP],"",0)</f>
        <v>Juan Granados Castillo</v>
      </c>
      <c r="B778" s="106" t="s">
        <v>134</v>
      </c>
      <c r="C778" s="107" t="s">
        <v>202</v>
      </c>
      <c r="D778" s="123" t="s">
        <v>219</v>
      </c>
      <c r="E778" s="123" t="s">
        <v>91</v>
      </c>
      <c r="F778" s="108">
        <v>1489</v>
      </c>
    </row>
    <row r="779" spans="1:6" x14ac:dyDescent="0.3">
      <c r="A779" s="7" t="str">
        <f>_xlfn.XLOOKUP(ColombiaClientes6[[#This Row],[Client]],VpsClientes[Client],VpsClientes[VP],"",0)</f>
        <v>Sebastian Rojas Fernandez</v>
      </c>
      <c r="B779" s="106" t="s">
        <v>248</v>
      </c>
      <c r="C779" s="107" t="s">
        <v>194</v>
      </c>
      <c r="D779" s="123" t="s">
        <v>90</v>
      </c>
      <c r="E779" s="123" t="s">
        <v>206</v>
      </c>
      <c r="F779" s="108">
        <v>624</v>
      </c>
    </row>
    <row r="780" spans="1:6" x14ac:dyDescent="0.3">
      <c r="A780" s="7" t="str">
        <f>_xlfn.XLOOKUP(ColombiaClientes6[[#This Row],[Client]],VpsClientes[Client],VpsClientes[VP],"",0)</f>
        <v>Sebastian Rojas Fernandez</v>
      </c>
      <c r="B780" s="106" t="s">
        <v>248</v>
      </c>
      <c r="C780" s="107" t="s">
        <v>202</v>
      </c>
      <c r="D780" s="123" t="s">
        <v>90</v>
      </c>
      <c r="E780" s="123" t="s">
        <v>206</v>
      </c>
      <c r="F780" s="108">
        <v>343</v>
      </c>
    </row>
    <row r="781" spans="1:6" hidden="1" x14ac:dyDescent="0.3">
      <c r="A781" s="7" t="str">
        <f>_xlfn.XLOOKUP(ColombiaClientes6[[#This Row],[Client]],VpsClientes[Client],VpsClientes[VP],"",0)</f>
        <v>Jhonatan Izquierdo Rico</v>
      </c>
      <c r="B781" s="106" t="s">
        <v>104</v>
      </c>
      <c r="C781" s="107" t="s">
        <v>202</v>
      </c>
      <c r="D781" s="123" t="s">
        <v>219</v>
      </c>
      <c r="E781" s="123" t="s">
        <v>91</v>
      </c>
      <c r="F781" s="108">
        <v>941</v>
      </c>
    </row>
    <row r="782" spans="1:6" hidden="1" x14ac:dyDescent="0.3">
      <c r="A782" s="7" t="str">
        <f>_xlfn.XLOOKUP(ColombiaClientes6[[#This Row],[Client]],VpsClientes[Client],VpsClientes[VP],"",0)</f>
        <v>Hector Muraira Garza</v>
      </c>
      <c r="B782" s="106" t="s">
        <v>140</v>
      </c>
      <c r="C782" s="107" t="s">
        <v>202</v>
      </c>
      <c r="D782" s="123" t="s">
        <v>219</v>
      </c>
      <c r="E782" s="123" t="s">
        <v>91</v>
      </c>
      <c r="F782" s="108">
        <v>861</v>
      </c>
    </row>
    <row r="783" spans="1:6" hidden="1" x14ac:dyDescent="0.3">
      <c r="A783" s="7" t="str">
        <f>_xlfn.XLOOKUP(ColombiaClientes6[[#This Row],[Client]],VpsClientes[Client],VpsClientes[VP],"",0)</f>
        <v>Hector Muraira Garza</v>
      </c>
      <c r="B783" s="106" t="s">
        <v>132</v>
      </c>
      <c r="C783" s="107" t="s">
        <v>202</v>
      </c>
      <c r="D783" s="123" t="s">
        <v>219</v>
      </c>
      <c r="E783" s="123" t="s">
        <v>91</v>
      </c>
      <c r="F783" s="108">
        <v>839</v>
      </c>
    </row>
    <row r="784" spans="1:6" x14ac:dyDescent="0.3">
      <c r="A784" s="7" t="str">
        <f>_xlfn.XLOOKUP(ColombiaClientes6[[#This Row],[Client]],VpsClientes[Client],VpsClientes[VP],"",0)</f>
        <v>Sebastian Rojas Fernandez</v>
      </c>
      <c r="B784" s="106" t="s">
        <v>248</v>
      </c>
      <c r="C784" s="107" t="s">
        <v>203</v>
      </c>
      <c r="D784" s="123" t="s">
        <v>90</v>
      </c>
      <c r="E784" s="123" t="s">
        <v>206</v>
      </c>
      <c r="F784" s="108">
        <v>412</v>
      </c>
    </row>
    <row r="785" spans="1:6" x14ac:dyDescent="0.3">
      <c r="A785" s="7" t="str">
        <f>_xlfn.XLOOKUP(ColombiaClientes6[[#This Row],[Client]],VpsClientes[Client],VpsClientes[VP],"",0)</f>
        <v>Sebastian Rojas Fernandez</v>
      </c>
      <c r="B785" s="106" t="s">
        <v>248</v>
      </c>
      <c r="C785" s="107" t="s">
        <v>205</v>
      </c>
      <c r="D785" s="123" t="s">
        <v>90</v>
      </c>
      <c r="E785" s="123" t="s">
        <v>206</v>
      </c>
      <c r="F785" s="108">
        <v>342</v>
      </c>
    </row>
    <row r="786" spans="1:6" x14ac:dyDescent="0.3">
      <c r="A786" s="7" t="str">
        <f>_xlfn.XLOOKUP(ColombiaClientes6[[#This Row],[Client]],VpsClientes[Client],VpsClientes[VP],"",0)</f>
        <v>Sebastian Rojas Fernandez</v>
      </c>
      <c r="B786" s="106" t="s">
        <v>248</v>
      </c>
      <c r="C786" s="107" t="s">
        <v>237</v>
      </c>
      <c r="D786" s="123" t="s">
        <v>90</v>
      </c>
      <c r="E786" s="123" t="s">
        <v>206</v>
      </c>
      <c r="F786" s="108">
        <v>187</v>
      </c>
    </row>
    <row r="787" spans="1:6" x14ac:dyDescent="0.3">
      <c r="A787" s="7" t="str">
        <f>_xlfn.XLOOKUP(ColombiaClientes6[[#This Row],[Client]],VpsClientes[Client],VpsClientes[VP],"",0)</f>
        <v>Sebastian Rojas Fernandez</v>
      </c>
      <c r="B787" s="106" t="s">
        <v>248</v>
      </c>
      <c r="C787" s="107" t="s">
        <v>92</v>
      </c>
      <c r="D787" s="123" t="s">
        <v>219</v>
      </c>
      <c r="E787" s="123" t="s">
        <v>91</v>
      </c>
      <c r="F787" s="108">
        <v>278</v>
      </c>
    </row>
    <row r="788" spans="1:6" x14ac:dyDescent="0.3">
      <c r="A788" s="7" t="str">
        <f>_xlfn.XLOOKUP(ColombiaClientes6[[#This Row],[Client]],VpsClientes[Client],VpsClientes[VP],"",0)</f>
        <v>Sebastian Rojas Fernandez</v>
      </c>
      <c r="B788" s="106" t="s">
        <v>248</v>
      </c>
      <c r="C788" s="107" t="s">
        <v>191</v>
      </c>
      <c r="D788" s="123" t="s">
        <v>219</v>
      </c>
      <c r="E788" s="123" t="s">
        <v>91</v>
      </c>
      <c r="F788" s="108">
        <v>318</v>
      </c>
    </row>
    <row r="789" spans="1:6" x14ac:dyDescent="0.3">
      <c r="A789" s="7" t="str">
        <f>_xlfn.XLOOKUP(ColombiaClientes6[[#This Row],[Client]],VpsClientes[Client],VpsClientes[VP],"",0)</f>
        <v>Sebastian Rojas Fernandez</v>
      </c>
      <c r="B789" s="106" t="s">
        <v>248</v>
      </c>
      <c r="C789" s="107" t="s">
        <v>192</v>
      </c>
      <c r="D789" s="123" t="s">
        <v>219</v>
      </c>
      <c r="E789" s="123" t="s">
        <v>91</v>
      </c>
      <c r="F789" s="108">
        <v>423</v>
      </c>
    </row>
    <row r="790" spans="1:6" x14ac:dyDescent="0.3">
      <c r="A790" s="7" t="str">
        <f>_xlfn.XLOOKUP(ColombiaClientes6[[#This Row],[Client]],VpsClientes[Client],VpsClientes[VP],"",0)</f>
        <v>Sebastian Rojas Fernandez</v>
      </c>
      <c r="B790" s="106" t="s">
        <v>248</v>
      </c>
      <c r="C790" s="107" t="s">
        <v>194</v>
      </c>
      <c r="D790" s="123" t="s">
        <v>219</v>
      </c>
      <c r="E790" s="123" t="s">
        <v>91</v>
      </c>
      <c r="F790" s="108">
        <v>304</v>
      </c>
    </row>
    <row r="791" spans="1:6" hidden="1" x14ac:dyDescent="0.3">
      <c r="A791" s="7" t="str">
        <f>_xlfn.XLOOKUP(ColombiaClientes6[[#This Row],[Client]],VpsClientes[Client],VpsClientes[VP],"",0)</f>
        <v>Moises Saavedra Garcia</v>
      </c>
      <c r="B791" s="106" t="s">
        <v>201</v>
      </c>
      <c r="C791" s="107" t="s">
        <v>202</v>
      </c>
      <c r="D791" s="123" t="s">
        <v>219</v>
      </c>
      <c r="E791" s="123" t="s">
        <v>91</v>
      </c>
      <c r="F791" s="108">
        <v>276</v>
      </c>
    </row>
    <row r="792" spans="1:6" x14ac:dyDescent="0.3">
      <c r="A792" s="7" t="str">
        <f>_xlfn.XLOOKUP(ColombiaClientes6[[#This Row],[Client]],VpsClientes[Client],VpsClientes[VP],"",0)</f>
        <v>Sebastian Rojas Fernandez</v>
      </c>
      <c r="B792" s="106" t="s">
        <v>248</v>
      </c>
      <c r="C792" s="107" t="s">
        <v>202</v>
      </c>
      <c r="D792" s="123" t="s">
        <v>219</v>
      </c>
      <c r="E792" s="123" t="s">
        <v>91</v>
      </c>
      <c r="F792" s="108">
        <v>439</v>
      </c>
    </row>
    <row r="793" spans="1:6" x14ac:dyDescent="0.3">
      <c r="A793" s="7" t="str">
        <f>_xlfn.XLOOKUP(ColombiaClientes6[[#This Row],[Client]],VpsClientes[Client],VpsClientes[VP],"",0)</f>
        <v>Sebastian Rojas Fernandez</v>
      </c>
      <c r="B793" s="106" t="s">
        <v>248</v>
      </c>
      <c r="C793" s="107" t="s">
        <v>203</v>
      </c>
      <c r="D793" s="123" t="s">
        <v>219</v>
      </c>
      <c r="E793" s="123" t="s">
        <v>91</v>
      </c>
      <c r="F793" s="108">
        <v>283</v>
      </c>
    </row>
    <row r="794" spans="1:6" hidden="1" x14ac:dyDescent="0.3">
      <c r="A794" s="7" t="str">
        <f>_xlfn.XLOOKUP(ColombiaClientes6[[#This Row],[Client]],VpsClientes[Client],VpsClientes[VP],"",0)</f>
        <v>Carlos Castillo Figueroa</v>
      </c>
      <c r="B794" s="106" t="s">
        <v>105</v>
      </c>
      <c r="C794" s="107" t="s">
        <v>202</v>
      </c>
      <c r="D794" s="123" t="s">
        <v>219</v>
      </c>
      <c r="E794" s="123" t="s">
        <v>91</v>
      </c>
      <c r="F794" s="108">
        <v>262</v>
      </c>
    </row>
    <row r="795" spans="1:6" x14ac:dyDescent="0.3">
      <c r="A795" s="7" t="str">
        <f>_xlfn.XLOOKUP(ColombiaClientes6[[#This Row],[Client]],VpsClientes[Client],VpsClientes[VP],"",0)</f>
        <v>Sebastian Rojas Fernandez</v>
      </c>
      <c r="B795" s="106" t="s">
        <v>248</v>
      </c>
      <c r="C795" s="107" t="s">
        <v>205</v>
      </c>
      <c r="D795" s="123" t="s">
        <v>219</v>
      </c>
      <c r="E795" s="123" t="s">
        <v>91</v>
      </c>
      <c r="F795" s="108">
        <v>407</v>
      </c>
    </row>
    <row r="796" spans="1:6" hidden="1" x14ac:dyDescent="0.3">
      <c r="A796" s="7" t="str">
        <f>_xlfn.XLOOKUP(ColombiaClientes6[[#This Row],[Client]],VpsClientes[Client],VpsClientes[VP],"",0)</f>
        <v>Jhonatan Izquierdo Rico</v>
      </c>
      <c r="B796" s="106" t="s">
        <v>157</v>
      </c>
      <c r="C796" s="107" t="s">
        <v>202</v>
      </c>
      <c r="D796" s="123" t="s">
        <v>219</v>
      </c>
      <c r="E796" s="123" t="s">
        <v>91</v>
      </c>
      <c r="F796" s="108">
        <v>211</v>
      </c>
    </row>
    <row r="797" spans="1:6" x14ac:dyDescent="0.3">
      <c r="A797" s="7" t="str">
        <f>_xlfn.XLOOKUP(ColombiaClientes6[[#This Row],[Client]],VpsClientes[Client],VpsClientes[VP],"",0)</f>
        <v>Sebastian Rojas Fernandez</v>
      </c>
      <c r="B797" s="106" t="s">
        <v>248</v>
      </c>
      <c r="C797" s="107" t="s">
        <v>237</v>
      </c>
      <c r="D797" s="123" t="s">
        <v>219</v>
      </c>
      <c r="E797" s="123" t="s">
        <v>91</v>
      </c>
      <c r="F797" s="108">
        <v>42</v>
      </c>
    </row>
    <row r="798" spans="1:6" hidden="1" x14ac:dyDescent="0.3">
      <c r="A798" s="7" t="str">
        <f>_xlfn.XLOOKUP(ColombiaClientes6[[#This Row],[Client]],VpsClientes[Client],VpsClientes[VP],"",0)</f>
        <v>Hector Muraira Garza</v>
      </c>
      <c r="B798" s="106" t="s">
        <v>167</v>
      </c>
      <c r="C798" s="107" t="s">
        <v>202</v>
      </c>
      <c r="D798" s="123" t="s">
        <v>219</v>
      </c>
      <c r="E798" s="123" t="s">
        <v>91</v>
      </c>
      <c r="F798" s="108">
        <v>125</v>
      </c>
    </row>
    <row r="799" spans="1:6" x14ac:dyDescent="0.3">
      <c r="A799" s="7" t="str">
        <f>_xlfn.XLOOKUP(ColombiaClientes6[[#This Row],[Client]],VpsClientes[Client],VpsClientes[VP],"",0)</f>
        <v>Sebastian Rojas Fernandez</v>
      </c>
      <c r="B799" s="106" t="s">
        <v>248</v>
      </c>
      <c r="C799" s="107" t="s">
        <v>92</v>
      </c>
      <c r="D799" s="123" t="s">
        <v>219</v>
      </c>
      <c r="E799" s="123" t="s">
        <v>206</v>
      </c>
      <c r="F799" s="108">
        <v>5</v>
      </c>
    </row>
    <row r="800" spans="1:6" x14ac:dyDescent="0.3">
      <c r="A800" s="7" t="str">
        <f>_xlfn.XLOOKUP(ColombiaClientes6[[#This Row],[Client]],VpsClientes[Client],VpsClientes[VP],"",0)</f>
        <v>Sebastian Rojas Fernandez</v>
      </c>
      <c r="B800" s="106" t="s">
        <v>248</v>
      </c>
      <c r="C800" s="107" t="s">
        <v>191</v>
      </c>
      <c r="D800" s="123" t="s">
        <v>219</v>
      </c>
      <c r="E800" s="123" t="s">
        <v>206</v>
      </c>
      <c r="F800" s="108">
        <v>20</v>
      </c>
    </row>
    <row r="801" spans="1:6" x14ac:dyDescent="0.3">
      <c r="A801" s="7" t="str">
        <f>_xlfn.XLOOKUP(ColombiaClientes6[[#This Row],[Client]],VpsClientes[Client],VpsClientes[VP],"",0)</f>
        <v>Sebastian Rojas Fernandez</v>
      </c>
      <c r="B801" s="106" t="s">
        <v>248</v>
      </c>
      <c r="C801" s="107" t="s">
        <v>192</v>
      </c>
      <c r="D801" s="123" t="s">
        <v>219</v>
      </c>
      <c r="E801" s="123" t="s">
        <v>206</v>
      </c>
      <c r="F801" s="108">
        <v>10</v>
      </c>
    </row>
    <row r="802" spans="1:6" x14ac:dyDescent="0.3">
      <c r="A802" s="7" t="str">
        <f>_xlfn.XLOOKUP(ColombiaClientes6[[#This Row],[Client]],VpsClientes[Client],VpsClientes[VP],"",0)</f>
        <v>Sebastian Rojas Fernandez</v>
      </c>
      <c r="B802" s="106" t="s">
        <v>248</v>
      </c>
      <c r="C802" s="107" t="s">
        <v>194</v>
      </c>
      <c r="D802" s="123" t="s">
        <v>219</v>
      </c>
      <c r="E802" s="123" t="s">
        <v>206</v>
      </c>
      <c r="F802" s="108">
        <v>70</v>
      </c>
    </row>
    <row r="803" spans="1:6" x14ac:dyDescent="0.3">
      <c r="A803" s="7" t="str">
        <f>_xlfn.XLOOKUP(ColombiaClientes6[[#This Row],[Client]],VpsClientes[Client],VpsClientes[VP],"",0)</f>
        <v>Sebastian Rojas Fernandez</v>
      </c>
      <c r="B803" s="106" t="s">
        <v>248</v>
      </c>
      <c r="C803" s="107" t="s">
        <v>202</v>
      </c>
      <c r="D803" s="123" t="s">
        <v>219</v>
      </c>
      <c r="E803" s="123" t="s">
        <v>206</v>
      </c>
      <c r="F803" s="108">
        <v>17</v>
      </c>
    </row>
    <row r="804" spans="1:6" hidden="1" x14ac:dyDescent="0.3">
      <c r="A804" s="7" t="str">
        <f>_xlfn.XLOOKUP(ColombiaClientes6[[#This Row],[Client]],VpsClientes[Client],VpsClientes[VP],"",0)</f>
        <v>Javier Orjuela Sarmiento</v>
      </c>
      <c r="B804" s="106" t="s">
        <v>133</v>
      </c>
      <c r="C804" s="107" t="s">
        <v>202</v>
      </c>
      <c r="D804" s="123" t="s">
        <v>219</v>
      </c>
      <c r="E804" s="123" t="s">
        <v>91</v>
      </c>
      <c r="F804" s="108">
        <v>58</v>
      </c>
    </row>
    <row r="805" spans="1:6" x14ac:dyDescent="0.3">
      <c r="A805" s="7" t="str">
        <f>_xlfn.XLOOKUP(ColombiaClientes6[[#This Row],[Client]],VpsClientes[Client],VpsClientes[VP],"",0)</f>
        <v>Sebastian Rojas Fernandez</v>
      </c>
      <c r="B805" s="106" t="s">
        <v>248</v>
      </c>
      <c r="C805" s="107" t="s">
        <v>203</v>
      </c>
      <c r="D805" s="123" t="s">
        <v>219</v>
      </c>
      <c r="E805" s="123" t="s">
        <v>206</v>
      </c>
      <c r="F805" s="108">
        <v>14</v>
      </c>
    </row>
    <row r="806" spans="1:6" x14ac:dyDescent="0.3">
      <c r="A806" s="7" t="str">
        <f>_xlfn.XLOOKUP(ColombiaClientes6[[#This Row],[Client]],VpsClientes[Client],VpsClientes[VP],"",0)</f>
        <v>Sebastian Rojas Fernandez</v>
      </c>
      <c r="B806" s="106" t="s">
        <v>248</v>
      </c>
      <c r="C806" s="107" t="s">
        <v>205</v>
      </c>
      <c r="D806" s="123" t="s">
        <v>219</v>
      </c>
      <c r="E806" s="123" t="s">
        <v>206</v>
      </c>
      <c r="F806" s="108">
        <v>20</v>
      </c>
    </row>
    <row r="807" spans="1:6" x14ac:dyDescent="0.3">
      <c r="A807" s="7" t="str">
        <f>_xlfn.XLOOKUP(ColombiaClientes6[[#This Row],[Client]],VpsClientes[Client],VpsClientes[VP],"",0)</f>
        <v>Sebastian Rojas Fernandez</v>
      </c>
      <c r="B807" s="106" t="s">
        <v>248</v>
      </c>
      <c r="C807" s="107" t="s">
        <v>237</v>
      </c>
      <c r="D807" s="123" t="s">
        <v>219</v>
      </c>
      <c r="E807" s="123" t="s">
        <v>206</v>
      </c>
      <c r="F807" s="108">
        <v>9</v>
      </c>
    </row>
    <row r="808" spans="1:6" x14ac:dyDescent="0.3">
      <c r="A808" s="7">
        <f>_xlfn.XLOOKUP(ColombiaClientes6[[#This Row],[Client]],VpsClientes[Client],VpsClientes[VP],"",0)</f>
        <v>0</v>
      </c>
      <c r="B808" s="106" t="s">
        <v>271</v>
      </c>
      <c r="C808" s="107" t="s">
        <v>202</v>
      </c>
      <c r="D808" s="123" t="s">
        <v>90</v>
      </c>
      <c r="E808" s="123" t="s">
        <v>91</v>
      </c>
      <c r="F808" s="108">
        <v>14</v>
      </c>
    </row>
    <row r="809" spans="1:6" hidden="1" x14ac:dyDescent="0.3">
      <c r="A809" s="7" t="str">
        <f>_xlfn.XLOOKUP(ColombiaClientes6[[#This Row],[Client]],VpsClientes[Client],VpsClientes[VP],"",0)</f>
        <v>Carlos Beltran Hernandez</v>
      </c>
      <c r="B809" s="113" t="s">
        <v>93</v>
      </c>
      <c r="C809" s="10" t="s">
        <v>203</v>
      </c>
      <c r="D809" s="123" t="s">
        <v>219</v>
      </c>
      <c r="E809" s="123" t="s">
        <v>91</v>
      </c>
      <c r="F809" s="115">
        <v>8025</v>
      </c>
    </row>
    <row r="810" spans="1:6" x14ac:dyDescent="0.3">
      <c r="A810" s="7">
        <f>_xlfn.XLOOKUP(ColombiaClientes6[[#This Row],[Client]],VpsClientes[Client],VpsClientes[VP],"",0)</f>
        <v>0</v>
      </c>
      <c r="B810" s="113" t="s">
        <v>271</v>
      </c>
      <c r="C810" s="114" t="s">
        <v>202</v>
      </c>
      <c r="D810" s="123" t="s">
        <v>90</v>
      </c>
      <c r="E810" s="123" t="s">
        <v>206</v>
      </c>
      <c r="F810" s="115">
        <v>8</v>
      </c>
    </row>
    <row r="811" spans="1:6" hidden="1" x14ac:dyDescent="0.3">
      <c r="A811" s="7" t="str">
        <f>_xlfn.XLOOKUP(ColombiaClientes6[[#This Row],[Client]],VpsClientes[Client],VpsClientes[VP],"",0)</f>
        <v>Ludy Torres Benitez</v>
      </c>
      <c r="B811" s="113" t="s">
        <v>95</v>
      </c>
      <c r="C811" s="114" t="s">
        <v>203</v>
      </c>
      <c r="D811" s="123" t="s">
        <v>219</v>
      </c>
      <c r="E811" s="123" t="s">
        <v>91</v>
      </c>
      <c r="F811" s="115">
        <v>4456</v>
      </c>
    </row>
    <row r="812" spans="1:6" hidden="1" x14ac:dyDescent="0.3">
      <c r="A812" s="7" t="str">
        <f>_xlfn.XLOOKUP(ColombiaClientes6[[#This Row],[Client]],VpsClientes[Client],VpsClientes[VP],"",0)</f>
        <v>Martha Guzman Arango</v>
      </c>
      <c r="B812" s="113" t="s">
        <v>199</v>
      </c>
      <c r="C812" s="114" t="s">
        <v>203</v>
      </c>
      <c r="D812" s="123" t="s">
        <v>219</v>
      </c>
      <c r="E812" s="123" t="s">
        <v>91</v>
      </c>
      <c r="F812" s="115">
        <v>3177</v>
      </c>
    </row>
    <row r="813" spans="1:6" hidden="1" x14ac:dyDescent="0.3">
      <c r="A813" s="7" t="str">
        <f>_xlfn.XLOOKUP(ColombiaClientes6[[#This Row],[Client]],VpsClientes[Client],VpsClientes[VP],"",0)</f>
        <v>Hector Muraira Garza</v>
      </c>
      <c r="B813" s="113" t="s">
        <v>164</v>
      </c>
      <c r="C813" s="114" t="s">
        <v>203</v>
      </c>
      <c r="D813" s="123" t="s">
        <v>219</v>
      </c>
      <c r="E813" s="123" t="s">
        <v>91</v>
      </c>
      <c r="F813" s="115">
        <v>2551</v>
      </c>
    </row>
    <row r="814" spans="1:6" x14ac:dyDescent="0.3">
      <c r="A814" s="7">
        <f>_xlfn.XLOOKUP(ColombiaClientes6[[#This Row],[Client]],VpsClientes[Client],VpsClientes[VP],"",0)</f>
        <v>0</v>
      </c>
      <c r="B814" s="113" t="s">
        <v>241</v>
      </c>
      <c r="C814" s="114" t="s">
        <v>92</v>
      </c>
      <c r="D814" s="123" t="s">
        <v>90</v>
      </c>
      <c r="E814" s="123" t="s">
        <v>91</v>
      </c>
      <c r="F814" s="115">
        <v>1889</v>
      </c>
    </row>
    <row r="815" spans="1:6" hidden="1" x14ac:dyDescent="0.3">
      <c r="A815" s="7" t="str">
        <f>_xlfn.XLOOKUP(ColombiaClientes6[[#This Row],[Client]],VpsClientes[Client],VpsClientes[VP],"",0)</f>
        <v>Juan Granados Castillo</v>
      </c>
      <c r="B815" s="113" t="s">
        <v>134</v>
      </c>
      <c r="C815" s="114" t="s">
        <v>203</v>
      </c>
      <c r="D815" s="123" t="s">
        <v>219</v>
      </c>
      <c r="E815" s="123" t="s">
        <v>91</v>
      </c>
      <c r="F815" s="115">
        <v>1605</v>
      </c>
    </row>
    <row r="816" spans="1:6" x14ac:dyDescent="0.3">
      <c r="A816" s="7">
        <f>_xlfn.XLOOKUP(ColombiaClientes6[[#This Row],[Client]],VpsClientes[Client],VpsClientes[VP],"",0)</f>
        <v>0</v>
      </c>
      <c r="B816" s="113" t="s">
        <v>241</v>
      </c>
      <c r="C816" s="114" t="s">
        <v>191</v>
      </c>
      <c r="D816" s="123" t="s">
        <v>90</v>
      </c>
      <c r="E816" s="123" t="s">
        <v>91</v>
      </c>
      <c r="F816" s="115">
        <v>763</v>
      </c>
    </row>
    <row r="817" spans="1:6" hidden="1" x14ac:dyDescent="0.3">
      <c r="A817" s="7" t="str">
        <f>_xlfn.XLOOKUP(ColombiaClientes6[[#This Row],[Client]],VpsClientes[Client],VpsClientes[VP],"",0)</f>
        <v>Moises Saavedra Garcia</v>
      </c>
      <c r="B817" s="113" t="s">
        <v>110</v>
      </c>
      <c r="C817" s="114" t="s">
        <v>203</v>
      </c>
      <c r="D817" s="123" t="s">
        <v>219</v>
      </c>
      <c r="E817" s="123" t="s">
        <v>91</v>
      </c>
      <c r="F817" s="115">
        <v>1501</v>
      </c>
    </row>
    <row r="818" spans="1:6" x14ac:dyDescent="0.3">
      <c r="A818" s="7">
        <f>_xlfn.XLOOKUP(ColombiaClientes6[[#This Row],[Client]],VpsClientes[Client],VpsClientes[VP],"",0)</f>
        <v>0</v>
      </c>
      <c r="B818" s="113" t="s">
        <v>241</v>
      </c>
      <c r="C818" s="114" t="s">
        <v>192</v>
      </c>
      <c r="D818" s="123" t="s">
        <v>90</v>
      </c>
      <c r="E818" s="123" t="s">
        <v>91</v>
      </c>
      <c r="F818" s="115">
        <v>802</v>
      </c>
    </row>
    <row r="819" spans="1:6" x14ac:dyDescent="0.3">
      <c r="A819" s="7">
        <f>_xlfn.XLOOKUP(ColombiaClientes6[[#This Row],[Client]],VpsClientes[Client],VpsClientes[VP],"",0)</f>
        <v>0</v>
      </c>
      <c r="B819" s="113" t="s">
        <v>241</v>
      </c>
      <c r="C819" s="114" t="s">
        <v>194</v>
      </c>
      <c r="D819" s="123" t="s">
        <v>90</v>
      </c>
      <c r="E819" s="123" t="s">
        <v>91</v>
      </c>
      <c r="F819" s="115">
        <v>1097</v>
      </c>
    </row>
    <row r="820" spans="1:6" x14ac:dyDescent="0.3">
      <c r="A820" s="7">
        <f>_xlfn.XLOOKUP(ColombiaClientes6[[#This Row],[Client]],VpsClientes[Client],VpsClientes[VP],"",0)</f>
        <v>0</v>
      </c>
      <c r="B820" s="113" t="s">
        <v>241</v>
      </c>
      <c r="C820" s="114" t="s">
        <v>202</v>
      </c>
      <c r="D820" s="123" t="s">
        <v>90</v>
      </c>
      <c r="E820" s="123" t="s">
        <v>91</v>
      </c>
      <c r="F820" s="115">
        <v>1647</v>
      </c>
    </row>
    <row r="821" spans="1:6" hidden="1" x14ac:dyDescent="0.3">
      <c r="A821" s="7" t="str">
        <f>_xlfn.XLOOKUP(ColombiaClientes6[[#This Row],[Client]],VpsClientes[Client],VpsClientes[VP],"",0)</f>
        <v>Sandra Romero Zuluaga</v>
      </c>
      <c r="B821" s="113" t="s">
        <v>113</v>
      </c>
      <c r="C821" s="114" t="s">
        <v>203</v>
      </c>
      <c r="D821" s="123" t="s">
        <v>219</v>
      </c>
      <c r="E821" s="123" t="s">
        <v>91</v>
      </c>
      <c r="F821" s="115">
        <v>781</v>
      </c>
    </row>
    <row r="822" spans="1:6" hidden="1" x14ac:dyDescent="0.3">
      <c r="A822" s="7" t="str">
        <f>_xlfn.XLOOKUP(ColombiaClientes6[[#This Row],[Client]],VpsClientes[Client],VpsClientes[VP],"",0)</f>
        <v>Hector Muraira Garza</v>
      </c>
      <c r="B822" s="113" t="s">
        <v>140</v>
      </c>
      <c r="C822" s="114" t="s">
        <v>203</v>
      </c>
      <c r="D822" s="123" t="s">
        <v>219</v>
      </c>
      <c r="E822" s="123" t="s">
        <v>91</v>
      </c>
      <c r="F822" s="115">
        <v>689</v>
      </c>
    </row>
    <row r="823" spans="1:6" x14ac:dyDescent="0.3">
      <c r="A823" s="7">
        <f>_xlfn.XLOOKUP(ColombiaClientes6[[#This Row],[Client]],VpsClientes[Client],VpsClientes[VP],"",0)</f>
        <v>0</v>
      </c>
      <c r="B823" s="113" t="s">
        <v>241</v>
      </c>
      <c r="C823" s="114" t="s">
        <v>203</v>
      </c>
      <c r="D823" s="123" t="s">
        <v>90</v>
      </c>
      <c r="E823" s="123" t="s">
        <v>91</v>
      </c>
      <c r="F823" s="115">
        <v>1417</v>
      </c>
    </row>
    <row r="824" spans="1:6" hidden="1" x14ac:dyDescent="0.3">
      <c r="A824" s="7" t="str">
        <f>_xlfn.XLOOKUP(ColombiaClientes6[[#This Row],[Client]],VpsClientes[Client],VpsClientes[VP],"",0)</f>
        <v>Hector Muraira Garza</v>
      </c>
      <c r="B824" s="113" t="s">
        <v>132</v>
      </c>
      <c r="C824" s="114" t="s">
        <v>203</v>
      </c>
      <c r="D824" s="123" t="s">
        <v>219</v>
      </c>
      <c r="E824" s="123" t="s">
        <v>91</v>
      </c>
      <c r="F824" s="115">
        <v>639</v>
      </c>
    </row>
    <row r="825" spans="1:6" hidden="1" x14ac:dyDescent="0.3">
      <c r="A825" s="7" t="str">
        <f>_xlfn.XLOOKUP(ColombiaClientes6[[#This Row],[Client]],VpsClientes[Client],VpsClientes[VP],"",0)</f>
        <v>Jhonatan Izquierdo Rico</v>
      </c>
      <c r="B825" s="113" t="s">
        <v>104</v>
      </c>
      <c r="C825" s="114" t="s">
        <v>203</v>
      </c>
      <c r="D825" s="123" t="s">
        <v>219</v>
      </c>
      <c r="E825" s="123" t="s">
        <v>91</v>
      </c>
      <c r="F825" s="115">
        <v>487</v>
      </c>
    </row>
    <row r="826" spans="1:6" x14ac:dyDescent="0.3">
      <c r="A826" s="7">
        <f>_xlfn.XLOOKUP(ColombiaClientes6[[#This Row],[Client]],VpsClientes[Client],VpsClientes[VP],"",0)</f>
        <v>0</v>
      </c>
      <c r="B826" s="113" t="s">
        <v>241</v>
      </c>
      <c r="C826" s="114" t="s">
        <v>205</v>
      </c>
      <c r="D826" s="123" t="s">
        <v>90</v>
      </c>
      <c r="E826" s="123" t="s">
        <v>91</v>
      </c>
      <c r="F826" s="115">
        <v>1535</v>
      </c>
    </row>
    <row r="827" spans="1:6" x14ac:dyDescent="0.3">
      <c r="A827" s="7">
        <f>_xlfn.XLOOKUP(ColombiaClientes6[[#This Row],[Client]],VpsClientes[Client],VpsClientes[VP],"",0)</f>
        <v>0</v>
      </c>
      <c r="B827" s="113" t="s">
        <v>241</v>
      </c>
      <c r="C827" s="114" t="s">
        <v>237</v>
      </c>
      <c r="D827" s="123" t="s">
        <v>90</v>
      </c>
      <c r="E827" s="123" t="s">
        <v>91</v>
      </c>
      <c r="F827" s="115">
        <v>198</v>
      </c>
    </row>
    <row r="828" spans="1:6" x14ac:dyDescent="0.3">
      <c r="A828" s="7">
        <f>_xlfn.XLOOKUP(ColombiaClientes6[[#This Row],[Client]],VpsClientes[Client],VpsClientes[VP],"",0)</f>
        <v>0</v>
      </c>
      <c r="B828" s="113" t="s">
        <v>241</v>
      </c>
      <c r="C828" s="114" t="s">
        <v>92</v>
      </c>
      <c r="D828" s="123" t="s">
        <v>90</v>
      </c>
      <c r="E828" s="123" t="s">
        <v>206</v>
      </c>
      <c r="F828" s="115">
        <v>4387</v>
      </c>
    </row>
    <row r="829" spans="1:6" x14ac:dyDescent="0.3">
      <c r="A829" s="7">
        <f>_xlfn.XLOOKUP(ColombiaClientes6[[#This Row],[Client]],VpsClientes[Client],VpsClientes[VP],"",0)</f>
        <v>0</v>
      </c>
      <c r="B829" s="113" t="s">
        <v>241</v>
      </c>
      <c r="C829" s="114" t="s">
        <v>191</v>
      </c>
      <c r="D829" s="123" t="s">
        <v>90</v>
      </c>
      <c r="E829" s="123" t="s">
        <v>206</v>
      </c>
      <c r="F829" s="115">
        <v>4539</v>
      </c>
    </row>
    <row r="830" spans="1:6" x14ac:dyDescent="0.3">
      <c r="A830" s="7">
        <f>_xlfn.XLOOKUP(ColombiaClientes6[[#This Row],[Client]],VpsClientes[Client],VpsClientes[VP],"",0)</f>
        <v>0</v>
      </c>
      <c r="B830" s="113" t="s">
        <v>241</v>
      </c>
      <c r="C830" s="114" t="s">
        <v>192</v>
      </c>
      <c r="D830" s="123" t="s">
        <v>90</v>
      </c>
      <c r="E830" s="123" t="s">
        <v>206</v>
      </c>
      <c r="F830" s="115">
        <v>3319</v>
      </c>
    </row>
    <row r="831" spans="1:6" x14ac:dyDescent="0.3">
      <c r="A831" s="7">
        <f>_xlfn.XLOOKUP(ColombiaClientes6[[#This Row],[Client]],VpsClientes[Client],VpsClientes[VP],"",0)</f>
        <v>0</v>
      </c>
      <c r="B831" s="113" t="s">
        <v>241</v>
      </c>
      <c r="C831" s="114" t="s">
        <v>194</v>
      </c>
      <c r="D831" s="123" t="s">
        <v>90</v>
      </c>
      <c r="E831" s="123" t="s">
        <v>206</v>
      </c>
      <c r="F831" s="115">
        <v>2250</v>
      </c>
    </row>
    <row r="832" spans="1:6" x14ac:dyDescent="0.3">
      <c r="A832" s="7">
        <f>_xlfn.XLOOKUP(ColombiaClientes6[[#This Row],[Client]],VpsClientes[Client],VpsClientes[VP],"",0)</f>
        <v>0</v>
      </c>
      <c r="B832" s="113" t="s">
        <v>241</v>
      </c>
      <c r="C832" s="114" t="s">
        <v>202</v>
      </c>
      <c r="D832" s="123" t="s">
        <v>90</v>
      </c>
      <c r="E832" s="123" t="s">
        <v>206</v>
      </c>
      <c r="F832" s="115">
        <v>1667</v>
      </c>
    </row>
    <row r="833" spans="1:6" hidden="1" x14ac:dyDescent="0.3">
      <c r="A833" s="7" t="str">
        <f>_xlfn.XLOOKUP(ColombiaClientes6[[#This Row],[Client]],VpsClientes[Client],VpsClientes[VP],"",0)</f>
        <v>Moises Saavedra Garcia</v>
      </c>
      <c r="B833" s="113" t="s">
        <v>201</v>
      </c>
      <c r="C833" s="114" t="s">
        <v>203</v>
      </c>
      <c r="D833" s="123" t="s">
        <v>219</v>
      </c>
      <c r="E833" s="123" t="s">
        <v>91</v>
      </c>
      <c r="F833" s="115">
        <v>189</v>
      </c>
    </row>
    <row r="834" spans="1:6" hidden="1" x14ac:dyDescent="0.3">
      <c r="A834" s="7" t="str">
        <f>_xlfn.XLOOKUP(ColombiaClientes6[[#This Row],[Client]],VpsClientes[Client],VpsClientes[VP],"",0)</f>
        <v>Jhonatan Izquierdo Rico</v>
      </c>
      <c r="B834" s="113" t="s">
        <v>157</v>
      </c>
      <c r="C834" s="114" t="s">
        <v>203</v>
      </c>
      <c r="D834" s="123" t="s">
        <v>219</v>
      </c>
      <c r="E834" s="123" t="s">
        <v>91</v>
      </c>
      <c r="F834" s="115">
        <v>159</v>
      </c>
    </row>
    <row r="835" spans="1:6" hidden="1" x14ac:dyDescent="0.3">
      <c r="A835" s="7" t="str">
        <f>_xlfn.XLOOKUP(ColombiaClientes6[[#This Row],[Client]],VpsClientes[Client],VpsClientes[VP],"",0)</f>
        <v>Hector Muraira Garza</v>
      </c>
      <c r="B835" s="113" t="s">
        <v>167</v>
      </c>
      <c r="C835" s="114" t="s">
        <v>203</v>
      </c>
      <c r="D835" s="123" t="s">
        <v>219</v>
      </c>
      <c r="E835" s="123" t="s">
        <v>91</v>
      </c>
      <c r="F835" s="115">
        <v>126</v>
      </c>
    </row>
    <row r="836" spans="1:6" x14ac:dyDescent="0.3">
      <c r="A836" s="7">
        <f>_xlfn.XLOOKUP(ColombiaClientes6[[#This Row],[Client]],VpsClientes[Client],VpsClientes[VP],"",0)</f>
        <v>0</v>
      </c>
      <c r="B836" s="113" t="s">
        <v>241</v>
      </c>
      <c r="C836" s="114" t="s">
        <v>203</v>
      </c>
      <c r="D836" s="123" t="s">
        <v>90</v>
      </c>
      <c r="E836" s="123" t="s">
        <v>206</v>
      </c>
      <c r="F836" s="115">
        <v>1872</v>
      </c>
    </row>
    <row r="837" spans="1:6" x14ac:dyDescent="0.3">
      <c r="A837" s="7">
        <f>_xlfn.XLOOKUP(ColombiaClientes6[[#This Row],[Client]],VpsClientes[Client],VpsClientes[VP],"",0)</f>
        <v>0</v>
      </c>
      <c r="B837" s="113" t="s">
        <v>241</v>
      </c>
      <c r="C837" s="114" t="s">
        <v>205</v>
      </c>
      <c r="D837" s="123" t="s">
        <v>90</v>
      </c>
      <c r="E837" s="123" t="s">
        <v>206</v>
      </c>
      <c r="F837" s="115">
        <v>2465</v>
      </c>
    </row>
    <row r="838" spans="1:6" x14ac:dyDescent="0.3">
      <c r="A838" s="7">
        <f>_xlfn.XLOOKUP(ColombiaClientes6[[#This Row],[Client]],VpsClientes[Client],VpsClientes[VP],"",0)</f>
        <v>0</v>
      </c>
      <c r="B838" s="113" t="s">
        <v>241</v>
      </c>
      <c r="C838" s="114" t="s">
        <v>237</v>
      </c>
      <c r="D838" s="123" t="s">
        <v>90</v>
      </c>
      <c r="E838" s="123" t="s">
        <v>206</v>
      </c>
      <c r="F838" s="115">
        <v>634</v>
      </c>
    </row>
    <row r="839" spans="1:6" x14ac:dyDescent="0.3">
      <c r="A839" s="7">
        <f>_xlfn.XLOOKUP(ColombiaClientes6[[#This Row],[Client]],VpsClientes[Client],VpsClientes[VP],"",0)</f>
        <v>0</v>
      </c>
      <c r="B839" s="113" t="s">
        <v>241</v>
      </c>
      <c r="C839" s="114" t="s">
        <v>92</v>
      </c>
      <c r="D839" s="123" t="s">
        <v>219</v>
      </c>
      <c r="E839" s="123" t="s">
        <v>91</v>
      </c>
      <c r="F839" s="115">
        <v>1283</v>
      </c>
    </row>
    <row r="840" spans="1:6" x14ac:dyDescent="0.3">
      <c r="A840" s="7">
        <f>_xlfn.XLOOKUP(ColombiaClientes6[[#This Row],[Client]],VpsClientes[Client],VpsClientes[VP],"",0)</f>
        <v>0</v>
      </c>
      <c r="B840" s="113" t="s">
        <v>241</v>
      </c>
      <c r="C840" s="114" t="s">
        <v>191</v>
      </c>
      <c r="D840" s="123" t="s">
        <v>219</v>
      </c>
      <c r="E840" s="123" t="s">
        <v>91</v>
      </c>
      <c r="F840" s="115">
        <v>1023</v>
      </c>
    </row>
    <row r="841" spans="1:6" x14ac:dyDescent="0.3">
      <c r="A841" s="7">
        <f>_xlfn.XLOOKUP(ColombiaClientes6[[#This Row],[Client]],VpsClientes[Client],VpsClientes[VP],"",0)</f>
        <v>0</v>
      </c>
      <c r="B841" s="113" t="s">
        <v>241</v>
      </c>
      <c r="C841" s="114" t="s">
        <v>192</v>
      </c>
      <c r="D841" s="123" t="s">
        <v>219</v>
      </c>
      <c r="E841" s="123" t="s">
        <v>91</v>
      </c>
      <c r="F841" s="115">
        <v>864</v>
      </c>
    </row>
    <row r="842" spans="1:6" hidden="1" x14ac:dyDescent="0.3">
      <c r="A842" s="7" t="str">
        <f>_xlfn.XLOOKUP(ColombiaClientes6[[#This Row],[Client]],VpsClientes[Client],VpsClientes[VP],"",0)</f>
        <v>Carlos Castillo Figueroa</v>
      </c>
      <c r="B842" s="113" t="s">
        <v>105</v>
      </c>
      <c r="C842" s="114" t="s">
        <v>203</v>
      </c>
      <c r="D842" s="123" t="s">
        <v>219</v>
      </c>
      <c r="E842" s="123" t="s">
        <v>91</v>
      </c>
      <c r="F842" s="115">
        <v>72</v>
      </c>
    </row>
    <row r="843" spans="1:6" hidden="1" x14ac:dyDescent="0.3">
      <c r="A843" s="7" t="str">
        <f>_xlfn.XLOOKUP(ColombiaClientes6[[#This Row],[Client]],VpsClientes[Client],VpsClientes[VP],"",0)</f>
        <v>Javier Orjuela Sarmiento</v>
      </c>
      <c r="B843" s="113" t="s">
        <v>133</v>
      </c>
      <c r="C843" s="114" t="s">
        <v>203</v>
      </c>
      <c r="D843" s="123" t="s">
        <v>219</v>
      </c>
      <c r="E843" s="123" t="s">
        <v>91</v>
      </c>
      <c r="F843" s="115">
        <v>52</v>
      </c>
    </row>
    <row r="844" spans="1:6" x14ac:dyDescent="0.3">
      <c r="A844" s="7">
        <f>_xlfn.XLOOKUP(ColombiaClientes6[[#This Row],[Client]],VpsClientes[Client],VpsClientes[VP],"",0)</f>
        <v>0</v>
      </c>
      <c r="B844" s="113" t="s">
        <v>241</v>
      </c>
      <c r="C844" s="114" t="s">
        <v>194</v>
      </c>
      <c r="D844" s="123" t="s">
        <v>219</v>
      </c>
      <c r="E844" s="123" t="s">
        <v>91</v>
      </c>
      <c r="F844" s="115">
        <v>904</v>
      </c>
    </row>
    <row r="845" spans="1:6" x14ac:dyDescent="0.3">
      <c r="A845" s="7">
        <f>_xlfn.XLOOKUP(ColombiaClientes6[[#This Row],[Client]],VpsClientes[Client],VpsClientes[VP],"",0)</f>
        <v>0</v>
      </c>
      <c r="B845" s="113" t="s">
        <v>241</v>
      </c>
      <c r="C845" s="114" t="s">
        <v>202</v>
      </c>
      <c r="D845" s="123" t="s">
        <v>219</v>
      </c>
      <c r="E845" s="123" t="s">
        <v>91</v>
      </c>
      <c r="F845" s="115">
        <v>1395</v>
      </c>
    </row>
    <row r="846" spans="1:6" x14ac:dyDescent="0.3">
      <c r="A846" s="7">
        <f>_xlfn.XLOOKUP(ColombiaClientes6[[#This Row],[Client]],VpsClientes[Client],VpsClientes[VP],"",0)</f>
        <v>0</v>
      </c>
      <c r="B846" s="113" t="s">
        <v>241</v>
      </c>
      <c r="C846" s="114" t="s">
        <v>203</v>
      </c>
      <c r="D846" s="123" t="s">
        <v>219</v>
      </c>
      <c r="E846" s="123" t="s">
        <v>91</v>
      </c>
      <c r="F846" s="115">
        <v>1423</v>
      </c>
    </row>
    <row r="847" spans="1:6" x14ac:dyDescent="0.3">
      <c r="A847" s="7">
        <f>_xlfn.XLOOKUP(ColombiaClientes6[[#This Row],[Client]],VpsClientes[Client],VpsClientes[VP],"",0)</f>
        <v>0</v>
      </c>
      <c r="B847" s="113" t="s">
        <v>241</v>
      </c>
      <c r="C847" s="114" t="s">
        <v>205</v>
      </c>
      <c r="D847" s="123" t="s">
        <v>219</v>
      </c>
      <c r="E847" s="123" t="s">
        <v>91</v>
      </c>
      <c r="F847" s="115">
        <v>1752</v>
      </c>
    </row>
    <row r="848" spans="1:6" x14ac:dyDescent="0.3">
      <c r="A848" s="7">
        <f>_xlfn.XLOOKUP(ColombiaClientes6[[#This Row],[Client]],VpsClientes[Client],VpsClientes[VP],"",0)</f>
        <v>0</v>
      </c>
      <c r="B848" s="113" t="s">
        <v>241</v>
      </c>
      <c r="C848" s="114" t="s">
        <v>237</v>
      </c>
      <c r="D848" s="123" t="s">
        <v>219</v>
      </c>
      <c r="E848" s="123" t="s">
        <v>91</v>
      </c>
      <c r="F848" s="115">
        <v>281</v>
      </c>
    </row>
    <row r="849" spans="1:6" x14ac:dyDescent="0.3">
      <c r="A849" s="7">
        <f>_xlfn.XLOOKUP(ColombiaClientes6[[#This Row],[Client]],VpsClientes[Client],VpsClientes[VP],"",0)</f>
        <v>0</v>
      </c>
      <c r="B849" s="113" t="s">
        <v>241</v>
      </c>
      <c r="C849" s="114" t="s">
        <v>92</v>
      </c>
      <c r="D849" s="123" t="s">
        <v>219</v>
      </c>
      <c r="E849" s="123" t="s">
        <v>206</v>
      </c>
      <c r="F849" s="115">
        <v>164</v>
      </c>
    </row>
    <row r="850" spans="1:6" hidden="1" x14ac:dyDescent="0.3">
      <c r="A850" s="7" t="str">
        <f>_xlfn.XLOOKUP(ColombiaClientes6[[#This Row],[Client]],VpsClientes[Client],VpsClientes[VP],"",0)</f>
        <v>Carlos Beltran Hernandez</v>
      </c>
      <c r="B850" s="116" t="s">
        <v>93</v>
      </c>
      <c r="C850" s="10" t="s">
        <v>205</v>
      </c>
      <c r="D850" s="123" t="s">
        <v>219</v>
      </c>
      <c r="E850" s="123" t="s">
        <v>91</v>
      </c>
      <c r="F850" s="117">
        <v>10895</v>
      </c>
    </row>
    <row r="851" spans="1:6" x14ac:dyDescent="0.3">
      <c r="A851" s="7">
        <f>_xlfn.XLOOKUP(ColombiaClientes6[[#This Row],[Client]],VpsClientes[Client],VpsClientes[VP],"",0)</f>
        <v>0</v>
      </c>
      <c r="B851" s="116" t="s">
        <v>241</v>
      </c>
      <c r="C851" s="118" t="s">
        <v>191</v>
      </c>
      <c r="D851" s="123" t="s">
        <v>219</v>
      </c>
      <c r="E851" s="123" t="s">
        <v>206</v>
      </c>
      <c r="F851" s="117">
        <v>106</v>
      </c>
    </row>
    <row r="852" spans="1:6" hidden="1" x14ac:dyDescent="0.3">
      <c r="A852" s="7" t="str">
        <f>_xlfn.XLOOKUP(ColombiaClientes6[[#This Row],[Client]],VpsClientes[Client],VpsClientes[VP],"",0)</f>
        <v>Ludy Torres Benitez</v>
      </c>
      <c r="B852" s="116" t="s">
        <v>95</v>
      </c>
      <c r="C852" s="118" t="s">
        <v>205</v>
      </c>
      <c r="D852" s="123" t="s">
        <v>219</v>
      </c>
      <c r="E852" s="123" t="s">
        <v>91</v>
      </c>
      <c r="F852" s="117">
        <v>7122</v>
      </c>
    </row>
    <row r="853" spans="1:6" hidden="1" x14ac:dyDescent="0.3">
      <c r="A853" s="7" t="str">
        <f>_xlfn.XLOOKUP(ColombiaClientes6[[#This Row],[Client]],VpsClientes[Client],VpsClientes[VP],"",0)</f>
        <v>Hector Muraira Garza</v>
      </c>
      <c r="B853" s="116" t="s">
        <v>164</v>
      </c>
      <c r="C853" s="118" t="s">
        <v>205</v>
      </c>
      <c r="D853" s="123" t="s">
        <v>219</v>
      </c>
      <c r="E853" s="123" t="s">
        <v>91</v>
      </c>
      <c r="F853" s="117">
        <v>3616</v>
      </c>
    </row>
    <row r="854" spans="1:6" hidden="1" x14ac:dyDescent="0.3">
      <c r="A854" s="7" t="str">
        <f>_xlfn.XLOOKUP(ColombiaClientes6[[#This Row],[Client]],VpsClientes[Client],VpsClientes[VP],"",0)</f>
        <v>Martha Guzman Arango</v>
      </c>
      <c r="B854" s="116" t="s">
        <v>199</v>
      </c>
      <c r="C854" s="118" t="s">
        <v>205</v>
      </c>
      <c r="D854" s="123" t="s">
        <v>219</v>
      </c>
      <c r="E854" s="123" t="s">
        <v>91</v>
      </c>
      <c r="F854" s="117">
        <v>3094</v>
      </c>
    </row>
    <row r="855" spans="1:6" hidden="1" x14ac:dyDescent="0.3">
      <c r="A855" s="7" t="str">
        <f>_xlfn.XLOOKUP(ColombiaClientes6[[#This Row],[Client]],VpsClientes[Client],VpsClientes[VP],"",0)</f>
        <v>Moises Saavedra Garcia</v>
      </c>
      <c r="B855" s="116" t="s">
        <v>110</v>
      </c>
      <c r="C855" s="118" t="s">
        <v>205</v>
      </c>
      <c r="D855" s="123" t="s">
        <v>219</v>
      </c>
      <c r="E855" s="123" t="s">
        <v>91</v>
      </c>
      <c r="F855" s="117">
        <v>2585</v>
      </c>
    </row>
    <row r="856" spans="1:6" x14ac:dyDescent="0.3">
      <c r="A856" s="7">
        <f>_xlfn.XLOOKUP(ColombiaClientes6[[#This Row],[Client]],VpsClientes[Client],VpsClientes[VP],"",0)</f>
        <v>0</v>
      </c>
      <c r="B856" s="116" t="s">
        <v>241</v>
      </c>
      <c r="C856" s="118" t="s">
        <v>192</v>
      </c>
      <c r="D856" s="123" t="s">
        <v>219</v>
      </c>
      <c r="E856" s="123" t="s">
        <v>206</v>
      </c>
      <c r="F856" s="117">
        <v>787</v>
      </c>
    </row>
    <row r="857" spans="1:6" hidden="1" x14ac:dyDescent="0.3">
      <c r="A857" s="7" t="str">
        <f>_xlfn.XLOOKUP(ColombiaClientes6[[#This Row],[Client]],VpsClientes[Client],VpsClientes[VP],"",0)</f>
        <v>Juan Granados Castillo</v>
      </c>
      <c r="B857" s="116" t="s">
        <v>134</v>
      </c>
      <c r="C857" s="118" t="s">
        <v>205</v>
      </c>
      <c r="D857" s="123" t="s">
        <v>219</v>
      </c>
      <c r="E857" s="123" t="s">
        <v>91</v>
      </c>
      <c r="F857" s="117">
        <v>2334</v>
      </c>
    </row>
    <row r="858" spans="1:6" x14ac:dyDescent="0.3">
      <c r="A858" s="7">
        <f>_xlfn.XLOOKUP(ColombiaClientes6[[#This Row],[Client]],VpsClientes[Client],VpsClientes[VP],"",0)</f>
        <v>0</v>
      </c>
      <c r="B858" s="116" t="s">
        <v>241</v>
      </c>
      <c r="C858" s="118" t="s">
        <v>194</v>
      </c>
      <c r="D858" s="123" t="s">
        <v>219</v>
      </c>
      <c r="E858" s="123" t="s">
        <v>206</v>
      </c>
      <c r="F858" s="117">
        <v>450</v>
      </c>
    </row>
    <row r="859" spans="1:6" x14ac:dyDescent="0.3">
      <c r="A859" s="7">
        <f>_xlfn.XLOOKUP(ColombiaClientes6[[#This Row],[Client]],VpsClientes[Client],VpsClientes[VP],"",0)</f>
        <v>0</v>
      </c>
      <c r="B859" s="116" t="s">
        <v>241</v>
      </c>
      <c r="C859" s="118" t="s">
        <v>202</v>
      </c>
      <c r="D859" s="123" t="s">
        <v>219</v>
      </c>
      <c r="E859" s="123" t="s">
        <v>206</v>
      </c>
      <c r="F859" s="117">
        <v>136</v>
      </c>
    </row>
    <row r="860" spans="1:6" x14ac:dyDescent="0.3">
      <c r="A860" s="7">
        <f>_xlfn.XLOOKUP(ColombiaClientes6[[#This Row],[Client]],VpsClientes[Client],VpsClientes[VP],"",0)</f>
        <v>0</v>
      </c>
      <c r="B860" s="116" t="s">
        <v>241</v>
      </c>
      <c r="C860" s="118" t="s">
        <v>203</v>
      </c>
      <c r="D860" s="123" t="s">
        <v>219</v>
      </c>
      <c r="E860" s="123" t="s">
        <v>206</v>
      </c>
      <c r="F860" s="117">
        <v>134</v>
      </c>
    </row>
    <row r="861" spans="1:6" x14ac:dyDescent="0.3">
      <c r="A861" s="7">
        <f>_xlfn.XLOOKUP(ColombiaClientes6[[#This Row],[Client]],VpsClientes[Client],VpsClientes[VP],"",0)</f>
        <v>0</v>
      </c>
      <c r="B861" s="116" t="s">
        <v>241</v>
      </c>
      <c r="C861" s="118" t="s">
        <v>205</v>
      </c>
      <c r="D861" s="123" t="s">
        <v>219</v>
      </c>
      <c r="E861" s="123" t="s">
        <v>206</v>
      </c>
      <c r="F861" s="117">
        <v>174</v>
      </c>
    </row>
    <row r="862" spans="1:6" hidden="1" x14ac:dyDescent="0.3">
      <c r="A862" s="7" t="str">
        <f>_xlfn.XLOOKUP(ColombiaClientes6[[#This Row],[Client]],VpsClientes[Client],VpsClientes[VP],"",0)</f>
        <v>Sandra Romero Zuluaga</v>
      </c>
      <c r="B862" s="116" t="s">
        <v>113</v>
      </c>
      <c r="C862" s="118" t="s">
        <v>205</v>
      </c>
      <c r="D862" s="123" t="s">
        <v>219</v>
      </c>
      <c r="E862" s="123" t="s">
        <v>91</v>
      </c>
      <c r="F862" s="117">
        <v>1308</v>
      </c>
    </row>
    <row r="863" spans="1:6" hidden="1" x14ac:dyDescent="0.3">
      <c r="A863" s="7" t="str">
        <f>_xlfn.XLOOKUP(ColombiaClientes6[[#This Row],[Client]],VpsClientes[Client],VpsClientes[VP],"",0)</f>
        <v>Hector Muraira Garza</v>
      </c>
      <c r="B863" s="116" t="s">
        <v>140</v>
      </c>
      <c r="C863" s="118" t="s">
        <v>205</v>
      </c>
      <c r="D863" s="123" t="s">
        <v>219</v>
      </c>
      <c r="E863" s="123" t="s">
        <v>91</v>
      </c>
      <c r="F863" s="117">
        <v>1237</v>
      </c>
    </row>
    <row r="864" spans="1:6" x14ac:dyDescent="0.3">
      <c r="A864" s="7">
        <f>_xlfn.XLOOKUP(ColombiaClientes6[[#This Row],[Client]],VpsClientes[Client],VpsClientes[VP],"",0)</f>
        <v>0</v>
      </c>
      <c r="B864" s="116" t="s">
        <v>241</v>
      </c>
      <c r="C864" s="118" t="s">
        <v>237</v>
      </c>
      <c r="D864" s="123" t="s">
        <v>219</v>
      </c>
      <c r="E864" s="123" t="s">
        <v>206</v>
      </c>
      <c r="F864" s="117">
        <v>33</v>
      </c>
    </row>
    <row r="865" spans="1:6" x14ac:dyDescent="0.3">
      <c r="A865" s="7" t="str">
        <f>_xlfn.XLOOKUP(ColombiaClientes6[[#This Row],[Client]],VpsClientes[Client],VpsClientes[VP],"",0)</f>
        <v>Angelica Tarantino Pavia</v>
      </c>
      <c r="B865" s="116" t="s">
        <v>243</v>
      </c>
      <c r="C865" s="118" t="s">
        <v>92</v>
      </c>
      <c r="D865" s="123" t="s">
        <v>90</v>
      </c>
      <c r="E865" s="123" t="s">
        <v>91</v>
      </c>
      <c r="F865" s="117">
        <v>1156</v>
      </c>
    </row>
    <row r="866" spans="1:6" hidden="1" x14ac:dyDescent="0.3">
      <c r="A866" s="7" t="str">
        <f>_xlfn.XLOOKUP(ColombiaClientes6[[#This Row],[Client]],VpsClientes[Client],VpsClientes[VP],"",0)</f>
        <v>Hector Muraira Garza</v>
      </c>
      <c r="B866" s="116" t="s">
        <v>132</v>
      </c>
      <c r="C866" s="118" t="s">
        <v>205</v>
      </c>
      <c r="D866" s="123" t="s">
        <v>219</v>
      </c>
      <c r="E866" s="123" t="s">
        <v>91</v>
      </c>
      <c r="F866" s="117">
        <v>809</v>
      </c>
    </row>
    <row r="867" spans="1:6" x14ac:dyDescent="0.3">
      <c r="A867" s="7" t="str">
        <f>_xlfn.XLOOKUP(ColombiaClientes6[[#This Row],[Client]],VpsClientes[Client],VpsClientes[VP],"",0)</f>
        <v>Angelica Tarantino Pavia</v>
      </c>
      <c r="B867" s="116" t="s">
        <v>243</v>
      </c>
      <c r="C867" s="118" t="s">
        <v>191</v>
      </c>
      <c r="D867" s="123" t="s">
        <v>90</v>
      </c>
      <c r="E867" s="123" t="s">
        <v>91</v>
      </c>
      <c r="F867" s="117">
        <v>647</v>
      </c>
    </row>
    <row r="868" spans="1:6" x14ac:dyDescent="0.3">
      <c r="A868" s="7" t="str">
        <f>_xlfn.XLOOKUP(ColombiaClientes6[[#This Row],[Client]],VpsClientes[Client],VpsClientes[VP],"",0)</f>
        <v>Angelica Tarantino Pavia</v>
      </c>
      <c r="B868" s="116" t="s">
        <v>243</v>
      </c>
      <c r="C868" s="118" t="s">
        <v>192</v>
      </c>
      <c r="D868" s="123" t="s">
        <v>90</v>
      </c>
      <c r="E868" s="123" t="s">
        <v>91</v>
      </c>
      <c r="F868" s="117">
        <v>922</v>
      </c>
    </row>
    <row r="869" spans="1:6" hidden="1" x14ac:dyDescent="0.3">
      <c r="A869" s="7" t="str">
        <f>_xlfn.XLOOKUP(ColombiaClientes6[[#This Row],[Client]],VpsClientes[Client],VpsClientes[VP],"",0)</f>
        <v>Jhonatan Izquierdo Rico</v>
      </c>
      <c r="B869" s="116" t="s">
        <v>157</v>
      </c>
      <c r="C869" s="118" t="s">
        <v>205</v>
      </c>
      <c r="D869" s="123" t="s">
        <v>219</v>
      </c>
      <c r="E869" s="123" t="s">
        <v>91</v>
      </c>
      <c r="F869" s="117">
        <v>521</v>
      </c>
    </row>
    <row r="870" spans="1:6" x14ac:dyDescent="0.3">
      <c r="A870" s="7" t="str">
        <f>_xlfn.XLOOKUP(ColombiaClientes6[[#This Row],[Client]],VpsClientes[Client],VpsClientes[VP],"",0)</f>
        <v>Angelica Tarantino Pavia</v>
      </c>
      <c r="B870" s="116" t="s">
        <v>243</v>
      </c>
      <c r="C870" s="118" t="s">
        <v>194</v>
      </c>
      <c r="D870" s="123" t="s">
        <v>90</v>
      </c>
      <c r="E870" s="123" t="s">
        <v>91</v>
      </c>
      <c r="F870" s="117">
        <v>1165</v>
      </c>
    </row>
    <row r="871" spans="1:6" hidden="1" x14ac:dyDescent="0.3">
      <c r="A871" s="7" t="str">
        <f>_xlfn.XLOOKUP(ColombiaClientes6[[#This Row],[Client]],VpsClientes[Client],VpsClientes[VP],"",0)</f>
        <v>Jhonatan Izquierdo Rico</v>
      </c>
      <c r="B871" s="116" t="s">
        <v>104</v>
      </c>
      <c r="C871" s="118" t="s">
        <v>205</v>
      </c>
      <c r="D871" s="123" t="s">
        <v>219</v>
      </c>
      <c r="E871" s="123" t="s">
        <v>91</v>
      </c>
      <c r="F871" s="117">
        <v>491</v>
      </c>
    </row>
    <row r="872" spans="1:6" x14ac:dyDescent="0.3">
      <c r="A872" s="7" t="str">
        <f>_xlfn.XLOOKUP(ColombiaClientes6[[#This Row],[Client]],VpsClientes[Client],VpsClientes[VP],"",0)</f>
        <v>Angelica Tarantino Pavia</v>
      </c>
      <c r="B872" s="116" t="s">
        <v>243</v>
      </c>
      <c r="C872" s="118" t="s">
        <v>92</v>
      </c>
      <c r="D872" s="123" t="s">
        <v>90</v>
      </c>
      <c r="E872" s="123" t="s">
        <v>206</v>
      </c>
      <c r="F872" s="117">
        <v>1280</v>
      </c>
    </row>
    <row r="873" spans="1:6" hidden="1" x14ac:dyDescent="0.3">
      <c r="A873" s="7" t="str">
        <f>_xlfn.XLOOKUP(ColombiaClientes6[[#This Row],[Client]],VpsClientes[Client],VpsClientes[VP],"",0)</f>
        <v>Moises Saavedra Garcia</v>
      </c>
      <c r="B873" s="116" t="s">
        <v>201</v>
      </c>
      <c r="C873" s="118" t="s">
        <v>205</v>
      </c>
      <c r="D873" s="123" t="s">
        <v>219</v>
      </c>
      <c r="E873" s="123" t="s">
        <v>91</v>
      </c>
      <c r="F873" s="117">
        <v>431</v>
      </c>
    </row>
    <row r="874" spans="1:6" x14ac:dyDescent="0.3">
      <c r="A874" s="7" t="str">
        <f>_xlfn.XLOOKUP(ColombiaClientes6[[#This Row],[Client]],VpsClientes[Client],VpsClientes[VP],"",0)</f>
        <v>Angelica Tarantino Pavia</v>
      </c>
      <c r="B874" s="116" t="s">
        <v>243</v>
      </c>
      <c r="C874" s="118" t="s">
        <v>191</v>
      </c>
      <c r="D874" s="123" t="s">
        <v>90</v>
      </c>
      <c r="E874" s="123" t="s">
        <v>206</v>
      </c>
      <c r="F874" s="117">
        <v>663</v>
      </c>
    </row>
    <row r="875" spans="1:6" x14ac:dyDescent="0.3">
      <c r="A875" s="7" t="str">
        <f>_xlfn.XLOOKUP(ColombiaClientes6[[#This Row],[Client]],VpsClientes[Client],VpsClientes[VP],"",0)</f>
        <v>Angelica Tarantino Pavia</v>
      </c>
      <c r="B875" s="116" t="s">
        <v>243</v>
      </c>
      <c r="C875" s="118" t="s">
        <v>192</v>
      </c>
      <c r="D875" s="123" t="s">
        <v>90</v>
      </c>
      <c r="E875" s="123" t="s">
        <v>206</v>
      </c>
      <c r="F875" s="117">
        <v>776</v>
      </c>
    </row>
    <row r="876" spans="1:6" hidden="1" x14ac:dyDescent="0.3">
      <c r="A876" s="7" t="str">
        <f>_xlfn.XLOOKUP(ColombiaClientes6[[#This Row],[Client]],VpsClientes[Client],VpsClientes[VP],"",0)</f>
        <v>Hector Muraira Garza</v>
      </c>
      <c r="B876" s="116" t="s">
        <v>167</v>
      </c>
      <c r="C876" s="118" t="s">
        <v>205</v>
      </c>
      <c r="D876" s="123" t="s">
        <v>219</v>
      </c>
      <c r="E876" s="123" t="s">
        <v>91</v>
      </c>
      <c r="F876" s="117">
        <v>255</v>
      </c>
    </row>
    <row r="877" spans="1:6" x14ac:dyDescent="0.3">
      <c r="A877" s="7" t="str">
        <f>_xlfn.XLOOKUP(ColombiaClientes6[[#This Row],[Client]],VpsClientes[Client],VpsClientes[VP],"",0)</f>
        <v>Angelica Tarantino Pavia</v>
      </c>
      <c r="B877" s="116" t="s">
        <v>243</v>
      </c>
      <c r="C877" s="118" t="s">
        <v>194</v>
      </c>
      <c r="D877" s="123" t="s">
        <v>90</v>
      </c>
      <c r="E877" s="123" t="s">
        <v>206</v>
      </c>
      <c r="F877" s="117">
        <v>1110</v>
      </c>
    </row>
    <row r="878" spans="1:6" x14ac:dyDescent="0.3">
      <c r="A878" s="7" t="str">
        <f>_xlfn.XLOOKUP(ColombiaClientes6[[#This Row],[Client]],VpsClientes[Client],VpsClientes[VP],"",0)</f>
        <v>Angelica Tarantino Pavia</v>
      </c>
      <c r="B878" s="116" t="s">
        <v>243</v>
      </c>
      <c r="C878" s="118" t="s">
        <v>92</v>
      </c>
      <c r="D878" s="123" t="s">
        <v>219</v>
      </c>
      <c r="E878" s="123" t="s">
        <v>91</v>
      </c>
      <c r="F878" s="117">
        <v>847</v>
      </c>
    </row>
    <row r="879" spans="1:6" x14ac:dyDescent="0.3">
      <c r="A879" s="7" t="str">
        <f>_xlfn.XLOOKUP(ColombiaClientes6[[#This Row],[Client]],VpsClientes[Client],VpsClientes[VP],"",0)</f>
        <v>Angelica Tarantino Pavia</v>
      </c>
      <c r="B879" s="116" t="s">
        <v>243</v>
      </c>
      <c r="C879" s="118" t="s">
        <v>191</v>
      </c>
      <c r="D879" s="123" t="s">
        <v>219</v>
      </c>
      <c r="E879" s="123" t="s">
        <v>91</v>
      </c>
      <c r="F879" s="117">
        <v>553</v>
      </c>
    </row>
    <row r="880" spans="1:6" x14ac:dyDescent="0.3">
      <c r="A880" s="7" t="str">
        <f>_xlfn.XLOOKUP(ColombiaClientes6[[#This Row],[Client]],VpsClientes[Client],VpsClientes[VP],"",0)</f>
        <v>Angelica Tarantino Pavia</v>
      </c>
      <c r="B880" s="116" t="s">
        <v>243</v>
      </c>
      <c r="C880" s="118" t="s">
        <v>192</v>
      </c>
      <c r="D880" s="123" t="s">
        <v>219</v>
      </c>
      <c r="E880" s="123" t="s">
        <v>91</v>
      </c>
      <c r="F880" s="117">
        <v>698</v>
      </c>
    </row>
    <row r="881" spans="1:6" hidden="1" x14ac:dyDescent="0.3">
      <c r="A881" s="7" t="str">
        <f>_xlfn.XLOOKUP(ColombiaClientes6[[#This Row],[Client]],VpsClientes[Client],VpsClientes[VP],"",0)</f>
        <v>Javier Orjuela Sarmiento</v>
      </c>
      <c r="B881" s="116" t="s">
        <v>133</v>
      </c>
      <c r="C881" s="118" t="s">
        <v>205</v>
      </c>
      <c r="D881" s="123" t="s">
        <v>219</v>
      </c>
      <c r="E881" s="123" t="s">
        <v>91</v>
      </c>
      <c r="F881" s="117">
        <v>108</v>
      </c>
    </row>
    <row r="882" spans="1:6" x14ac:dyDescent="0.3">
      <c r="A882" s="7" t="str">
        <f>_xlfn.XLOOKUP(ColombiaClientes6[[#This Row],[Client]],VpsClientes[Client],VpsClientes[VP],"",0)</f>
        <v>Angelica Tarantino Pavia</v>
      </c>
      <c r="B882" s="116" t="s">
        <v>243</v>
      </c>
      <c r="C882" s="118" t="s">
        <v>194</v>
      </c>
      <c r="D882" s="123" t="s">
        <v>219</v>
      </c>
      <c r="E882" s="123" t="s">
        <v>91</v>
      </c>
      <c r="F882" s="117">
        <v>375</v>
      </c>
    </row>
    <row r="883" spans="1:6" x14ac:dyDescent="0.3">
      <c r="A883" s="7" t="str">
        <f>_xlfn.XLOOKUP(ColombiaClientes6[[#This Row],[Client]],VpsClientes[Client],VpsClientes[VP],"",0)</f>
        <v>Angelica Tarantino Pavia</v>
      </c>
      <c r="B883" s="116" t="s">
        <v>243</v>
      </c>
      <c r="C883" s="118" t="s">
        <v>92</v>
      </c>
      <c r="D883" s="123" t="s">
        <v>219</v>
      </c>
      <c r="E883" s="123" t="s">
        <v>206</v>
      </c>
      <c r="F883" s="117">
        <v>254</v>
      </c>
    </row>
    <row r="884" spans="1:6" x14ac:dyDescent="0.3">
      <c r="A884" s="7" t="str">
        <f>_xlfn.XLOOKUP(ColombiaClientes6[[#This Row],[Client]],VpsClientes[Client],VpsClientes[VP],"",0)</f>
        <v>Angelica Tarantino Pavia</v>
      </c>
      <c r="B884" s="116" t="s">
        <v>243</v>
      </c>
      <c r="C884" s="118" t="s">
        <v>191</v>
      </c>
      <c r="D884" s="123" t="s">
        <v>219</v>
      </c>
      <c r="E884" s="123" t="s">
        <v>206</v>
      </c>
      <c r="F884" s="117">
        <v>166</v>
      </c>
    </row>
    <row r="885" spans="1:6" x14ac:dyDescent="0.3">
      <c r="A885" s="7" t="str">
        <f>_xlfn.XLOOKUP(ColombiaClientes6[[#This Row],[Client]],VpsClientes[Client],VpsClientes[VP],"",0)</f>
        <v>Angelica Tarantino Pavia</v>
      </c>
      <c r="B885" s="116" t="s">
        <v>243</v>
      </c>
      <c r="C885" s="118" t="s">
        <v>192</v>
      </c>
      <c r="D885" s="123" t="s">
        <v>219</v>
      </c>
      <c r="E885" s="123" t="s">
        <v>206</v>
      </c>
      <c r="F885" s="117">
        <v>63</v>
      </c>
    </row>
    <row r="886" spans="1:6" x14ac:dyDescent="0.3">
      <c r="A886" s="7" t="str">
        <f>_xlfn.XLOOKUP(ColombiaClientes6[[#This Row],[Client]],VpsClientes[Client],VpsClientes[VP],"",0)</f>
        <v>Angelica Tarantino Pavia</v>
      </c>
      <c r="B886" s="116" t="s">
        <v>243</v>
      </c>
      <c r="C886" s="118" t="s">
        <v>194</v>
      </c>
      <c r="D886" s="123" t="s">
        <v>219</v>
      </c>
      <c r="E886" s="123" t="s">
        <v>206</v>
      </c>
      <c r="F886" s="117">
        <v>54</v>
      </c>
    </row>
    <row r="887" spans="1:6" hidden="1" x14ac:dyDescent="0.3">
      <c r="A887" s="7" t="str">
        <f>_xlfn.XLOOKUP(ColombiaClientes6[[#This Row],[Client]],VpsClientes[Client],VpsClientes[VP],"",0)</f>
        <v>Carlos Castillo Figueroa</v>
      </c>
      <c r="B887" s="116" t="s">
        <v>105</v>
      </c>
      <c r="C887" s="118" t="s">
        <v>205</v>
      </c>
      <c r="D887" s="123" t="s">
        <v>219</v>
      </c>
      <c r="E887" s="123" t="s">
        <v>91</v>
      </c>
      <c r="F887" s="117">
        <v>44</v>
      </c>
    </row>
    <row r="888" spans="1:6" x14ac:dyDescent="0.3">
      <c r="A888" s="7">
        <f>_xlfn.XLOOKUP(ColombiaClientes6[[#This Row],[Client]],VpsClientes[Client],VpsClientes[VP],"",0)</f>
        <v>0</v>
      </c>
      <c r="B888" s="116" t="s">
        <v>250</v>
      </c>
      <c r="C888" s="118" t="s">
        <v>92</v>
      </c>
      <c r="D888" s="123" t="s">
        <v>90</v>
      </c>
      <c r="E888" s="123" t="s">
        <v>91</v>
      </c>
      <c r="F888" s="117">
        <v>336</v>
      </c>
    </row>
    <row r="889" spans="1:6" x14ac:dyDescent="0.3">
      <c r="A889" s="7">
        <f>_xlfn.XLOOKUP(ColombiaClientes6[[#This Row],[Client]],VpsClientes[Client],VpsClientes[VP],"",0)</f>
        <v>0</v>
      </c>
      <c r="B889" s="116" t="s">
        <v>250</v>
      </c>
      <c r="C889" s="118" t="s">
        <v>192</v>
      </c>
      <c r="D889" s="123" t="s">
        <v>90</v>
      </c>
      <c r="E889" s="123" t="s">
        <v>91</v>
      </c>
      <c r="F889" s="117">
        <v>225</v>
      </c>
    </row>
    <row r="890" spans="1:6" hidden="1" x14ac:dyDescent="0.3">
      <c r="A890" s="7" t="str">
        <f>_xlfn.XLOOKUP(ColombiaClientes6[[#This Row],[Client]],VpsClientes[Client],VpsClientes[VP],"",0)</f>
        <v>Hector Muraira Garza</v>
      </c>
      <c r="B890" s="116" t="s">
        <v>130</v>
      </c>
      <c r="C890" s="118" t="s">
        <v>205</v>
      </c>
      <c r="D890" s="123" t="s">
        <v>219</v>
      </c>
      <c r="E890" s="123" t="s">
        <v>91</v>
      </c>
      <c r="F890" s="117">
        <v>1</v>
      </c>
    </row>
    <row r="891" spans="1:6" hidden="1" x14ac:dyDescent="0.3">
      <c r="A891" s="7" t="str">
        <f>_xlfn.XLOOKUP(ColombiaClientes6[[#This Row],[Client]],VpsClientes[Client],VpsClientes[VP],"",0)</f>
        <v>Carlos Beltran Hernandez</v>
      </c>
      <c r="B891" s="120" t="s">
        <v>93</v>
      </c>
      <c r="C891" s="10" t="s">
        <v>237</v>
      </c>
      <c r="D891" s="123" t="s">
        <v>219</v>
      </c>
      <c r="E891" s="123" t="s">
        <v>91</v>
      </c>
      <c r="F891" s="122">
        <v>1347</v>
      </c>
    </row>
    <row r="892" spans="1:6" x14ac:dyDescent="0.3">
      <c r="A892" s="7">
        <f>_xlfn.XLOOKUP(ColombiaClientes6[[#This Row],[Client]],VpsClientes[Client],VpsClientes[VP],"",0)</f>
        <v>0</v>
      </c>
      <c r="B892" s="120" t="s">
        <v>250</v>
      </c>
      <c r="C892" s="121" t="s">
        <v>194</v>
      </c>
      <c r="D892" s="123" t="s">
        <v>90</v>
      </c>
      <c r="E892" s="123" t="s">
        <v>91</v>
      </c>
      <c r="F892" s="122">
        <v>112</v>
      </c>
    </row>
    <row r="893" spans="1:6" hidden="1" x14ac:dyDescent="0.3">
      <c r="A893" s="7" t="str">
        <f>_xlfn.XLOOKUP(ColombiaClientes6[[#This Row],[Client]],VpsClientes[Client],VpsClientes[VP],"",0)</f>
        <v>Ludy Torres Benitez</v>
      </c>
      <c r="B893" s="120" t="s">
        <v>95</v>
      </c>
      <c r="C893" s="121" t="s">
        <v>237</v>
      </c>
      <c r="D893" s="123" t="s">
        <v>219</v>
      </c>
      <c r="E893" s="123" t="s">
        <v>91</v>
      </c>
      <c r="F893" s="122">
        <v>624</v>
      </c>
    </row>
    <row r="894" spans="1:6" hidden="1" x14ac:dyDescent="0.3">
      <c r="A894" s="7" t="str">
        <f>_xlfn.XLOOKUP(ColombiaClientes6[[#This Row],[Client]],VpsClientes[Client],VpsClientes[VP],"",0)</f>
        <v>Hector Muraira Garza</v>
      </c>
      <c r="B894" s="120" t="s">
        <v>164</v>
      </c>
      <c r="C894" s="121" t="s">
        <v>237</v>
      </c>
      <c r="D894" s="123" t="s">
        <v>219</v>
      </c>
      <c r="E894" s="123" t="s">
        <v>91</v>
      </c>
      <c r="F894" s="122">
        <v>559</v>
      </c>
    </row>
    <row r="895" spans="1:6" hidden="1" x14ac:dyDescent="0.3">
      <c r="A895" s="7" t="str">
        <f>_xlfn.XLOOKUP(ColombiaClientes6[[#This Row],[Client]],VpsClientes[Client],VpsClientes[VP],"",0)</f>
        <v>Moises Saavedra Garcia</v>
      </c>
      <c r="B895" s="120" t="s">
        <v>110</v>
      </c>
      <c r="C895" s="121" t="s">
        <v>237</v>
      </c>
      <c r="D895" s="123" t="s">
        <v>219</v>
      </c>
      <c r="E895" s="123" t="s">
        <v>91</v>
      </c>
      <c r="F895" s="122">
        <v>520</v>
      </c>
    </row>
    <row r="896" spans="1:6" x14ac:dyDescent="0.3">
      <c r="A896" s="7">
        <f>_xlfn.XLOOKUP(ColombiaClientes6[[#This Row],[Client]],VpsClientes[Client],VpsClientes[VP],"",0)</f>
        <v>0</v>
      </c>
      <c r="B896" s="120" t="s">
        <v>250</v>
      </c>
      <c r="C896" s="121" t="s">
        <v>202</v>
      </c>
      <c r="D896" s="123" t="s">
        <v>90</v>
      </c>
      <c r="E896" s="123" t="s">
        <v>91</v>
      </c>
      <c r="F896" s="122">
        <v>195</v>
      </c>
    </row>
    <row r="897" spans="1:6" x14ac:dyDescent="0.3">
      <c r="A897" s="7">
        <f>_xlfn.XLOOKUP(ColombiaClientes6[[#This Row],[Client]],VpsClientes[Client],VpsClientes[VP],"",0)</f>
        <v>0</v>
      </c>
      <c r="B897" s="120" t="s">
        <v>250</v>
      </c>
      <c r="C897" s="121" t="s">
        <v>203</v>
      </c>
      <c r="D897" s="123" t="s">
        <v>90</v>
      </c>
      <c r="E897" s="123" t="s">
        <v>91</v>
      </c>
      <c r="F897" s="122">
        <v>655</v>
      </c>
    </row>
    <row r="898" spans="1:6" x14ac:dyDescent="0.3">
      <c r="A898" s="7">
        <f>_xlfn.XLOOKUP(ColombiaClientes6[[#This Row],[Client]],VpsClientes[Client],VpsClientes[VP],"",0)</f>
        <v>0</v>
      </c>
      <c r="B898" s="120" t="s">
        <v>250</v>
      </c>
      <c r="C898" s="121" t="s">
        <v>191</v>
      </c>
      <c r="D898" s="123" t="s">
        <v>90</v>
      </c>
      <c r="E898" s="123" t="s">
        <v>206</v>
      </c>
      <c r="F898" s="122">
        <v>72</v>
      </c>
    </row>
    <row r="899" spans="1:6" hidden="1" x14ac:dyDescent="0.3">
      <c r="A899" s="7" t="str">
        <f>_xlfn.XLOOKUP(ColombiaClientes6[[#This Row],[Client]],VpsClientes[Client],VpsClientes[VP],"",0)</f>
        <v>Martha Guzman Arango</v>
      </c>
      <c r="B899" s="120" t="s">
        <v>199</v>
      </c>
      <c r="C899" s="121" t="s">
        <v>237</v>
      </c>
      <c r="D899" s="123" t="s">
        <v>219</v>
      </c>
      <c r="E899" s="123" t="s">
        <v>91</v>
      </c>
      <c r="F899" s="122">
        <v>361</v>
      </c>
    </row>
    <row r="900" spans="1:6" x14ac:dyDescent="0.3">
      <c r="A900" s="7">
        <f>_xlfn.XLOOKUP(ColombiaClientes6[[#This Row],[Client]],VpsClientes[Client],VpsClientes[VP],"",0)</f>
        <v>0</v>
      </c>
      <c r="B900" s="120" t="s">
        <v>250</v>
      </c>
      <c r="C900" s="121" t="s">
        <v>192</v>
      </c>
      <c r="D900" s="123" t="s">
        <v>90</v>
      </c>
      <c r="E900" s="123" t="s">
        <v>206</v>
      </c>
      <c r="F900" s="122">
        <v>41</v>
      </c>
    </row>
    <row r="901" spans="1:6" x14ac:dyDescent="0.3">
      <c r="A901" s="7">
        <f>_xlfn.XLOOKUP(ColombiaClientes6[[#This Row],[Client]],VpsClientes[Client],VpsClientes[VP],"",0)</f>
        <v>0</v>
      </c>
      <c r="B901" s="120" t="s">
        <v>250</v>
      </c>
      <c r="C901" s="121" t="s">
        <v>194</v>
      </c>
      <c r="D901" s="123" t="s">
        <v>90</v>
      </c>
      <c r="E901" s="123" t="s">
        <v>206</v>
      </c>
      <c r="F901" s="122">
        <v>314</v>
      </c>
    </row>
    <row r="902" spans="1:6" hidden="1" x14ac:dyDescent="0.3">
      <c r="A902" s="7" t="str">
        <f>_xlfn.XLOOKUP(ColombiaClientes6[[#This Row],[Client]],VpsClientes[Client],VpsClientes[VP],"",0)</f>
        <v>Sandra Romero Zuluaga</v>
      </c>
      <c r="B902" s="120" t="s">
        <v>113</v>
      </c>
      <c r="C902" s="121" t="s">
        <v>237</v>
      </c>
      <c r="D902" s="123" t="s">
        <v>219</v>
      </c>
      <c r="E902" s="123" t="s">
        <v>91</v>
      </c>
      <c r="F902" s="122">
        <v>263</v>
      </c>
    </row>
    <row r="903" spans="1:6" x14ac:dyDescent="0.3">
      <c r="A903" s="7">
        <f>_xlfn.XLOOKUP(ColombiaClientes6[[#This Row],[Client]],VpsClientes[Client],VpsClientes[VP],"",0)</f>
        <v>0</v>
      </c>
      <c r="B903" s="120" t="s">
        <v>250</v>
      </c>
      <c r="C903" s="121" t="s">
        <v>202</v>
      </c>
      <c r="D903" s="123" t="s">
        <v>90</v>
      </c>
      <c r="E903" s="123" t="s">
        <v>206</v>
      </c>
      <c r="F903" s="122">
        <v>232</v>
      </c>
    </row>
    <row r="904" spans="1:6" hidden="1" x14ac:dyDescent="0.3">
      <c r="A904" s="7" t="str">
        <f>_xlfn.XLOOKUP(ColombiaClientes6[[#This Row],[Client]],VpsClientes[Client],VpsClientes[VP],"",0)</f>
        <v>Hector Muraira Garza</v>
      </c>
      <c r="B904" s="120" t="s">
        <v>140</v>
      </c>
      <c r="C904" s="121" t="s">
        <v>237</v>
      </c>
      <c r="D904" s="123" t="s">
        <v>219</v>
      </c>
      <c r="E904" s="123" t="s">
        <v>91</v>
      </c>
      <c r="F904" s="122">
        <v>208</v>
      </c>
    </row>
    <row r="905" spans="1:6" hidden="1" x14ac:dyDescent="0.3">
      <c r="A905" s="7" t="str">
        <f>_xlfn.XLOOKUP(ColombiaClientes6[[#This Row],[Client]],VpsClientes[Client],VpsClientes[VP],"",0)</f>
        <v>Juan Granados Castillo</v>
      </c>
      <c r="B905" s="120" t="s">
        <v>134</v>
      </c>
      <c r="C905" s="121" t="s">
        <v>237</v>
      </c>
      <c r="D905" s="123" t="s">
        <v>219</v>
      </c>
      <c r="E905" s="123" t="s">
        <v>91</v>
      </c>
      <c r="F905" s="122">
        <v>205</v>
      </c>
    </row>
    <row r="906" spans="1:6" x14ac:dyDescent="0.3">
      <c r="A906" s="7">
        <f>_xlfn.XLOOKUP(ColombiaClientes6[[#This Row],[Client]],VpsClientes[Client],VpsClientes[VP],"",0)</f>
        <v>0</v>
      </c>
      <c r="B906" s="120" t="s">
        <v>250</v>
      </c>
      <c r="C906" s="121" t="s">
        <v>203</v>
      </c>
      <c r="D906" s="123" t="s">
        <v>90</v>
      </c>
      <c r="E906" s="123" t="s">
        <v>206</v>
      </c>
      <c r="F906" s="122">
        <v>63</v>
      </c>
    </row>
    <row r="907" spans="1:6" x14ac:dyDescent="0.3">
      <c r="A907" s="7">
        <f>_xlfn.XLOOKUP(ColombiaClientes6[[#This Row],[Client]],VpsClientes[Client],VpsClientes[VP],"",0)</f>
        <v>0</v>
      </c>
      <c r="B907" s="120" t="s">
        <v>250</v>
      </c>
      <c r="C907" s="121" t="s">
        <v>192</v>
      </c>
      <c r="D907" s="123" t="s">
        <v>219</v>
      </c>
      <c r="E907" s="123" t="s">
        <v>91</v>
      </c>
      <c r="F907" s="122">
        <v>8</v>
      </c>
    </row>
    <row r="908" spans="1:6" hidden="1" x14ac:dyDescent="0.3">
      <c r="A908" s="7" t="str">
        <f>_xlfn.XLOOKUP(ColombiaClientes6[[#This Row],[Client]],VpsClientes[Client],VpsClientes[VP],"",0)</f>
        <v>Jhonatan Izquierdo Rico</v>
      </c>
      <c r="B908" s="120" t="s">
        <v>104</v>
      </c>
      <c r="C908" s="121" t="s">
        <v>237</v>
      </c>
      <c r="D908" s="123" t="s">
        <v>219</v>
      </c>
      <c r="E908" s="123" t="s">
        <v>91</v>
      </c>
      <c r="F908" s="122">
        <v>99</v>
      </c>
    </row>
    <row r="909" spans="1:6" x14ac:dyDescent="0.3">
      <c r="A909" s="7">
        <f>_xlfn.XLOOKUP(ColombiaClientes6[[#This Row],[Client]],VpsClientes[Client],VpsClientes[VP],"",0)</f>
        <v>0</v>
      </c>
      <c r="B909" s="120" t="s">
        <v>250</v>
      </c>
      <c r="C909" s="121" t="s">
        <v>194</v>
      </c>
      <c r="D909" s="123" t="s">
        <v>219</v>
      </c>
      <c r="E909" s="123" t="s">
        <v>91</v>
      </c>
      <c r="F909" s="122">
        <v>29</v>
      </c>
    </row>
    <row r="910" spans="1:6" x14ac:dyDescent="0.3">
      <c r="A910" s="7">
        <f>_xlfn.XLOOKUP(ColombiaClientes6[[#This Row],[Client]],VpsClientes[Client],VpsClientes[VP],"",0)</f>
        <v>0</v>
      </c>
      <c r="B910" s="120" t="s">
        <v>250</v>
      </c>
      <c r="C910" s="121" t="s">
        <v>202</v>
      </c>
      <c r="D910" s="123" t="s">
        <v>219</v>
      </c>
      <c r="E910" s="123" t="s">
        <v>91</v>
      </c>
      <c r="F910" s="122">
        <v>46</v>
      </c>
    </row>
    <row r="911" spans="1:6" hidden="1" x14ac:dyDescent="0.3">
      <c r="A911" s="7" t="str">
        <f>_xlfn.XLOOKUP(ColombiaClientes6[[#This Row],[Client]],VpsClientes[Client],VpsClientes[VP],"",0)</f>
        <v>Moises Saavedra Garcia</v>
      </c>
      <c r="B911" s="120" t="s">
        <v>201</v>
      </c>
      <c r="C911" s="121" t="s">
        <v>237</v>
      </c>
      <c r="D911" s="123" t="s">
        <v>219</v>
      </c>
      <c r="E911" s="123" t="s">
        <v>91</v>
      </c>
      <c r="F911" s="122">
        <v>49</v>
      </c>
    </row>
    <row r="912" spans="1:6" hidden="1" x14ac:dyDescent="0.3">
      <c r="A912" s="7" t="str">
        <f>_xlfn.XLOOKUP(ColombiaClientes6[[#This Row],[Client]],VpsClientes[Client],VpsClientes[VP],"",0)</f>
        <v>Jhonatan Izquierdo Rico</v>
      </c>
      <c r="B912" s="120" t="s">
        <v>157</v>
      </c>
      <c r="C912" s="121" t="s">
        <v>237</v>
      </c>
      <c r="D912" s="123" t="s">
        <v>219</v>
      </c>
      <c r="E912" s="123" t="s">
        <v>91</v>
      </c>
      <c r="F912" s="122">
        <v>49</v>
      </c>
    </row>
    <row r="913" spans="1:6" x14ac:dyDescent="0.3">
      <c r="A913" s="7">
        <f>_xlfn.XLOOKUP(ColombiaClientes6[[#This Row],[Client]],VpsClientes[Client],VpsClientes[VP],"",0)</f>
        <v>0</v>
      </c>
      <c r="B913" s="120" t="s">
        <v>250</v>
      </c>
      <c r="C913" s="121" t="s">
        <v>203</v>
      </c>
      <c r="D913" s="123" t="s">
        <v>219</v>
      </c>
      <c r="E913" s="123" t="s">
        <v>91</v>
      </c>
      <c r="F913" s="122">
        <v>32</v>
      </c>
    </row>
    <row r="914" spans="1:6" x14ac:dyDescent="0.3">
      <c r="A914" s="7">
        <f>_xlfn.XLOOKUP(ColombiaClientes6[[#This Row],[Client]],VpsClientes[Client],VpsClientes[VP],"",0)</f>
        <v>0</v>
      </c>
      <c r="B914" s="120" t="s">
        <v>250</v>
      </c>
      <c r="C914" s="121" t="s">
        <v>192</v>
      </c>
      <c r="D914" s="123" t="s">
        <v>219</v>
      </c>
      <c r="E914" s="123" t="s">
        <v>206</v>
      </c>
      <c r="F914" s="122">
        <v>0</v>
      </c>
    </row>
    <row r="915" spans="1:6" hidden="1" x14ac:dyDescent="0.3">
      <c r="A915" s="7" t="str">
        <f>_xlfn.XLOOKUP(ColombiaClientes6[[#This Row],[Client]],VpsClientes[Client],VpsClientes[VP],"",0)</f>
        <v>Hector Muraira Garza</v>
      </c>
      <c r="B915" s="120" t="s">
        <v>132</v>
      </c>
      <c r="C915" s="121" t="s">
        <v>237</v>
      </c>
      <c r="D915" s="123" t="s">
        <v>219</v>
      </c>
      <c r="E915" s="123" t="s">
        <v>91</v>
      </c>
      <c r="F915" s="122">
        <v>40</v>
      </c>
    </row>
    <row r="916" spans="1:6" x14ac:dyDescent="0.3">
      <c r="A916" s="7">
        <f>_xlfn.XLOOKUP(ColombiaClientes6[[#This Row],[Client]],VpsClientes[Client],VpsClientes[VP],"",0)</f>
        <v>0</v>
      </c>
      <c r="B916" s="120" t="s">
        <v>250</v>
      </c>
      <c r="C916" s="121" t="s">
        <v>202</v>
      </c>
      <c r="D916" s="123" t="s">
        <v>219</v>
      </c>
      <c r="E916" s="123" t="s">
        <v>206</v>
      </c>
      <c r="F916" s="122">
        <v>0</v>
      </c>
    </row>
    <row r="917" spans="1:6" hidden="1" x14ac:dyDescent="0.3">
      <c r="A917" s="7" t="str">
        <f>_xlfn.XLOOKUP(ColombiaClientes6[[#This Row],[Client]],VpsClientes[Client],VpsClientes[VP],"",0)</f>
        <v>Javier Orjuela Sarmiento</v>
      </c>
      <c r="B917" s="120" t="s">
        <v>133</v>
      </c>
      <c r="C917" s="121" t="s">
        <v>237</v>
      </c>
      <c r="D917" s="123" t="s">
        <v>219</v>
      </c>
      <c r="E917" s="123" t="s">
        <v>91</v>
      </c>
      <c r="F917" s="122">
        <v>29</v>
      </c>
    </row>
    <row r="918" spans="1:6" x14ac:dyDescent="0.3">
      <c r="A918" s="7">
        <f>_xlfn.XLOOKUP(ColombiaClientes6[[#This Row],[Client]],VpsClientes[Client],VpsClientes[VP],"",0)</f>
        <v>0</v>
      </c>
      <c r="B918" s="120" t="s">
        <v>250</v>
      </c>
      <c r="C918" s="121" t="s">
        <v>203</v>
      </c>
      <c r="D918" s="123" t="s">
        <v>219</v>
      </c>
      <c r="E918" s="123" t="s">
        <v>206</v>
      </c>
      <c r="F918" s="122">
        <v>0</v>
      </c>
    </row>
    <row r="919" spans="1:6" x14ac:dyDescent="0.3">
      <c r="A919" s="7" t="str">
        <f>_xlfn.XLOOKUP(ColombiaClientes6[[#This Row],[Client]],VpsClientes[Client],VpsClientes[VP],"",0)</f>
        <v>Ander Penate Nunez</v>
      </c>
      <c r="B919" s="120" t="s">
        <v>254</v>
      </c>
      <c r="C919" s="121" t="s">
        <v>92</v>
      </c>
      <c r="D919" s="123" t="s">
        <v>90</v>
      </c>
      <c r="E919" s="123" t="s">
        <v>91</v>
      </c>
      <c r="F919" s="122">
        <v>232</v>
      </c>
    </row>
    <row r="920" spans="1:6" x14ac:dyDescent="0.3">
      <c r="A920" s="7" t="str">
        <f>_xlfn.XLOOKUP(ColombiaClientes6[[#This Row],[Client]],VpsClientes[Client],VpsClientes[VP],"",0)</f>
        <v>Ander Penate Nunez</v>
      </c>
      <c r="B920" s="120" t="s">
        <v>254</v>
      </c>
      <c r="C920" s="121" t="s">
        <v>191</v>
      </c>
      <c r="D920" s="123" t="s">
        <v>90</v>
      </c>
      <c r="E920" s="123" t="s">
        <v>91</v>
      </c>
      <c r="F920" s="122">
        <v>127</v>
      </c>
    </row>
    <row r="921" spans="1:6" hidden="1" x14ac:dyDescent="0.3">
      <c r="A921" s="7" t="str">
        <f>_xlfn.XLOOKUP(ColombiaClientes6[[#This Row],[Client]],VpsClientes[Client],VpsClientes[VP],"",0)</f>
        <v>Hector Muraira Garza</v>
      </c>
      <c r="B921" s="120" t="s">
        <v>167</v>
      </c>
      <c r="C921" s="121" t="s">
        <v>237</v>
      </c>
      <c r="D921" s="123" t="s">
        <v>219</v>
      </c>
      <c r="E921" s="123" t="s">
        <v>91</v>
      </c>
      <c r="F921" s="122">
        <v>24</v>
      </c>
    </row>
    <row r="922" spans="1:6" x14ac:dyDescent="0.3">
      <c r="A922" s="7" t="str">
        <f>_xlfn.XLOOKUP(ColombiaClientes6[[#This Row],[Client]],VpsClientes[Client],VpsClientes[VP],"",0)</f>
        <v>Ander Penate Nunez</v>
      </c>
      <c r="B922" s="120" t="s">
        <v>254</v>
      </c>
      <c r="C922" s="121" t="s">
        <v>192</v>
      </c>
      <c r="D922" s="123" t="s">
        <v>90</v>
      </c>
      <c r="E922" s="123" t="s">
        <v>91</v>
      </c>
      <c r="F922" s="122">
        <v>193</v>
      </c>
    </row>
    <row r="923" spans="1:6" hidden="1" x14ac:dyDescent="0.3">
      <c r="A923" s="7" t="str">
        <f>_xlfn.XLOOKUP(ColombiaClientes6[[#This Row],[Client]],VpsClientes[Client],VpsClientes[VP],"",0)</f>
        <v>Jhonatan Izquierdo Rico</v>
      </c>
      <c r="B923" s="120" t="s">
        <v>107</v>
      </c>
      <c r="C923" s="121" t="s">
        <v>237</v>
      </c>
      <c r="D923" s="123" t="s">
        <v>219</v>
      </c>
      <c r="E923" s="123" t="s">
        <v>91</v>
      </c>
      <c r="F923" s="122">
        <v>13</v>
      </c>
    </row>
    <row r="924" spans="1:6" x14ac:dyDescent="0.3">
      <c r="A924" s="7" t="str">
        <f>_xlfn.XLOOKUP(ColombiaClientes6[[#This Row],[Client]],VpsClientes[Client],VpsClientes[VP],"",0)</f>
        <v>Ander Penate Nunez</v>
      </c>
      <c r="B924" s="120" t="s">
        <v>254</v>
      </c>
      <c r="C924" s="121" t="s">
        <v>194</v>
      </c>
      <c r="D924" s="123" t="s">
        <v>90</v>
      </c>
      <c r="E924" s="123" t="s">
        <v>91</v>
      </c>
      <c r="F924" s="122">
        <v>159</v>
      </c>
    </row>
    <row r="925" spans="1:6" hidden="1" x14ac:dyDescent="0.3">
      <c r="A925" s="7" t="str">
        <f>_xlfn.XLOOKUP(ColombiaClientes6[[#This Row],[Client]],VpsClientes[Client],VpsClientes[VP],"",0)</f>
        <v>Carlos Castillo Figueroa</v>
      </c>
      <c r="B925" s="120" t="s">
        <v>105</v>
      </c>
      <c r="C925" s="121" t="s">
        <v>237</v>
      </c>
      <c r="D925" s="123" t="s">
        <v>219</v>
      </c>
      <c r="E925" s="123" t="s">
        <v>91</v>
      </c>
      <c r="F925" s="122">
        <v>9</v>
      </c>
    </row>
    <row r="926" spans="1:6" x14ac:dyDescent="0.3">
      <c r="A926" s="7" t="str">
        <f>_xlfn.XLOOKUP(ColombiaClientes6[[#This Row],[Client]],VpsClientes[Client],VpsClientes[VP],"",0)</f>
        <v>Ander Penate Nunez</v>
      </c>
      <c r="B926" s="120" t="s">
        <v>254</v>
      </c>
      <c r="C926" s="121" t="s">
        <v>202</v>
      </c>
      <c r="D926" s="123" t="s">
        <v>90</v>
      </c>
      <c r="E926" s="123" t="s">
        <v>91</v>
      </c>
      <c r="F926" s="122">
        <v>206</v>
      </c>
    </row>
    <row r="927" spans="1:6" x14ac:dyDescent="0.3">
      <c r="A927" s="7" t="str">
        <f>_xlfn.XLOOKUP(ColombiaClientes6[[#This Row],[Client]],VpsClientes[Client],VpsClientes[VP],"",0)</f>
        <v>Ander Penate Nunez</v>
      </c>
      <c r="B927" s="120" t="s">
        <v>254</v>
      </c>
      <c r="C927" s="121" t="s">
        <v>203</v>
      </c>
      <c r="D927" s="123" t="s">
        <v>90</v>
      </c>
      <c r="E927" s="123" t="s">
        <v>91</v>
      </c>
      <c r="F927" s="122">
        <v>314</v>
      </c>
    </row>
    <row r="928" spans="1:6" x14ac:dyDescent="0.3">
      <c r="A928" s="7" t="str">
        <f>_xlfn.XLOOKUP(ColombiaClientes6[[#This Row],[Client]],VpsClientes[Client],VpsClientes[VP],"",0)</f>
        <v>Ander Penate Nunez</v>
      </c>
      <c r="B928" s="120" t="s">
        <v>254</v>
      </c>
      <c r="C928" s="121" t="s">
        <v>205</v>
      </c>
      <c r="D928" s="123" t="s">
        <v>90</v>
      </c>
      <c r="E928" s="123" t="s">
        <v>91</v>
      </c>
      <c r="F928" s="122">
        <v>242</v>
      </c>
    </row>
    <row r="929" spans="1:6" x14ac:dyDescent="0.3">
      <c r="A929" s="7" t="str">
        <f>_xlfn.XLOOKUP(ColombiaClientes6[[#This Row],[Client]],VpsClientes[Client],VpsClientes[VP],"",0)</f>
        <v>Ander Penate Nunez</v>
      </c>
      <c r="B929" s="120" t="s">
        <v>254</v>
      </c>
      <c r="C929" s="121" t="s">
        <v>237</v>
      </c>
      <c r="D929" s="123" t="s">
        <v>90</v>
      </c>
      <c r="E929" s="123" t="s">
        <v>91</v>
      </c>
      <c r="F929" s="122">
        <v>2</v>
      </c>
    </row>
    <row r="930" spans="1:6" hidden="1" x14ac:dyDescent="0.3">
      <c r="A930" s="7" t="str">
        <f>_xlfn.XLOOKUP(ColombiaClientes6[[#This Row],[Client]],VpsClientes[Client],VpsClientes[VP],"",0)</f>
        <v>Hector Muraira Garza</v>
      </c>
      <c r="B930" s="120" t="s">
        <v>130</v>
      </c>
      <c r="C930" s="121" t="s">
        <v>237</v>
      </c>
      <c r="D930" s="123" t="s">
        <v>219</v>
      </c>
      <c r="E930" s="123" t="s">
        <v>91</v>
      </c>
      <c r="F930" s="122">
        <v>0</v>
      </c>
    </row>
    <row r="931" spans="1:6" x14ac:dyDescent="0.3">
      <c r="A931" s="7" t="str">
        <f>_xlfn.XLOOKUP(ColombiaClientes6[[#This Row],[Client]],VpsClientes[Client],VpsClientes[VP],"",0)</f>
        <v>Ander Penate Nunez</v>
      </c>
      <c r="B931" s="120" t="s">
        <v>254</v>
      </c>
      <c r="C931" s="121" t="s">
        <v>92</v>
      </c>
      <c r="D931" s="123" t="s">
        <v>90</v>
      </c>
      <c r="E931" s="123" t="s">
        <v>206</v>
      </c>
      <c r="F931" s="122">
        <v>692</v>
      </c>
    </row>
    <row r="932" spans="1:6" hidden="1" x14ac:dyDescent="0.3">
      <c r="A932" s="7" t="str">
        <f>_xlfn.XLOOKUP(ColombiaClientes6[[#This Row],[Client]],VpsClientes[Client],VpsClientes[VP],"",0)</f>
        <v>Javier Orjuela Sarmiento</v>
      </c>
      <c r="B932" s="123" t="s">
        <v>133</v>
      </c>
      <c r="C932" s="10" t="s">
        <v>92</v>
      </c>
      <c r="D932" s="10" t="s">
        <v>219</v>
      </c>
      <c r="E932" s="10" t="s">
        <v>206</v>
      </c>
      <c r="F932" s="125">
        <v>24700</v>
      </c>
    </row>
    <row r="933" spans="1:6" hidden="1" x14ac:dyDescent="0.3">
      <c r="A933" s="7" t="str">
        <f>_xlfn.XLOOKUP(ColombiaClientes6[[#This Row],[Client]],VpsClientes[Client],VpsClientes[VP],"",0)</f>
        <v>Hector Muraira Garza</v>
      </c>
      <c r="B933" s="123" t="s">
        <v>140</v>
      </c>
      <c r="C933" s="124" t="s">
        <v>92</v>
      </c>
      <c r="D933" s="163" t="s">
        <v>219</v>
      </c>
      <c r="E933" s="163" t="s">
        <v>206</v>
      </c>
      <c r="F933" s="125">
        <v>7231</v>
      </c>
    </row>
    <row r="934" spans="1:6" hidden="1" x14ac:dyDescent="0.3">
      <c r="A934" s="7" t="str">
        <f>_xlfn.XLOOKUP(ColombiaClientes6[[#This Row],[Client]],VpsClientes[Client],VpsClientes[VP],"",0)</f>
        <v>Hector Muraira Garza</v>
      </c>
      <c r="B934" s="123" t="s">
        <v>164</v>
      </c>
      <c r="C934" s="124" t="s">
        <v>92</v>
      </c>
      <c r="D934" s="163" t="s">
        <v>219</v>
      </c>
      <c r="E934" s="163" t="s">
        <v>206</v>
      </c>
      <c r="F934" s="125">
        <v>3749</v>
      </c>
    </row>
    <row r="935" spans="1:6" hidden="1" x14ac:dyDescent="0.3">
      <c r="A935" s="7" t="str">
        <f>_xlfn.XLOOKUP(ColombiaClientes6[[#This Row],[Client]],VpsClientes[Client],VpsClientes[VP],"",0)</f>
        <v>Sandra Romero Zuluaga</v>
      </c>
      <c r="B935" s="123" t="s">
        <v>113</v>
      </c>
      <c r="C935" s="124" t="s">
        <v>92</v>
      </c>
      <c r="D935" s="163" t="s">
        <v>219</v>
      </c>
      <c r="E935" s="163" t="s">
        <v>206</v>
      </c>
      <c r="F935" s="125">
        <v>1015</v>
      </c>
    </row>
    <row r="936" spans="1:6" hidden="1" x14ac:dyDescent="0.3">
      <c r="A936" s="7" t="str">
        <f>_xlfn.XLOOKUP(ColombiaClientes6[[#This Row],[Client]],VpsClientes[Client],VpsClientes[VP],"",0)</f>
        <v>Moises Saavedra Garcia</v>
      </c>
      <c r="B936" s="123" t="s">
        <v>110</v>
      </c>
      <c r="C936" s="124" t="s">
        <v>92</v>
      </c>
      <c r="D936" s="163" t="s">
        <v>219</v>
      </c>
      <c r="E936" s="163" t="s">
        <v>206</v>
      </c>
      <c r="F936" s="125">
        <v>944</v>
      </c>
    </row>
    <row r="937" spans="1:6" x14ac:dyDescent="0.3">
      <c r="A937" s="7" t="str">
        <f>_xlfn.XLOOKUP(ColombiaClientes6[[#This Row],[Client]],VpsClientes[Client],VpsClientes[VP],"",0)</f>
        <v>Ander Penate Nunez</v>
      </c>
      <c r="B937" s="123" t="s">
        <v>254</v>
      </c>
      <c r="C937" s="124" t="s">
        <v>191</v>
      </c>
      <c r="D937" s="163" t="s">
        <v>90</v>
      </c>
      <c r="E937" s="163" t="s">
        <v>206</v>
      </c>
      <c r="F937" s="125">
        <v>538</v>
      </c>
    </row>
    <row r="938" spans="1:6" x14ac:dyDescent="0.3">
      <c r="A938" s="7" t="str">
        <f>_xlfn.XLOOKUP(ColombiaClientes6[[#This Row],[Client]],VpsClientes[Client],VpsClientes[VP],"",0)</f>
        <v>Ander Penate Nunez</v>
      </c>
      <c r="B938" s="123" t="s">
        <v>254</v>
      </c>
      <c r="C938" s="124" t="s">
        <v>192</v>
      </c>
      <c r="D938" s="163" t="s">
        <v>90</v>
      </c>
      <c r="E938" s="163" t="s">
        <v>206</v>
      </c>
      <c r="F938" s="125">
        <v>452</v>
      </c>
    </row>
    <row r="939" spans="1:6" hidden="1" x14ac:dyDescent="0.3">
      <c r="A939" s="7" t="str">
        <f>_xlfn.XLOOKUP(ColombiaClientes6[[#This Row],[Client]],VpsClientes[Client],VpsClientes[VP],"",0)</f>
        <v>Carlos Beltran Hernandez</v>
      </c>
      <c r="B939" s="123" t="s">
        <v>93</v>
      </c>
      <c r="C939" s="124" t="s">
        <v>92</v>
      </c>
      <c r="D939" s="163" t="s">
        <v>219</v>
      </c>
      <c r="E939" s="163" t="s">
        <v>206</v>
      </c>
      <c r="F939" s="125">
        <v>535</v>
      </c>
    </row>
    <row r="940" spans="1:6" hidden="1" x14ac:dyDescent="0.3">
      <c r="A940" s="7" t="str">
        <f>_xlfn.XLOOKUP(ColombiaClientes6[[#This Row],[Client]],VpsClientes[Client],VpsClientes[VP],"",0)</f>
        <v>Jhonatan Izquierdo Rico</v>
      </c>
      <c r="B940" s="123" t="s">
        <v>157</v>
      </c>
      <c r="C940" s="124" t="s">
        <v>92</v>
      </c>
      <c r="D940" s="163" t="s">
        <v>219</v>
      </c>
      <c r="E940" s="163" t="s">
        <v>206</v>
      </c>
      <c r="F940" s="125">
        <v>372</v>
      </c>
    </row>
    <row r="941" spans="1:6" x14ac:dyDescent="0.3">
      <c r="A941" s="7" t="str">
        <f>_xlfn.XLOOKUP(ColombiaClientes6[[#This Row],[Client]],VpsClientes[Client],VpsClientes[VP],"",0)</f>
        <v>Ander Penate Nunez</v>
      </c>
      <c r="B941" s="123" t="s">
        <v>254</v>
      </c>
      <c r="C941" s="124" t="s">
        <v>194</v>
      </c>
      <c r="D941" s="163" t="s">
        <v>90</v>
      </c>
      <c r="E941" s="163" t="s">
        <v>206</v>
      </c>
      <c r="F941" s="125">
        <v>478</v>
      </c>
    </row>
    <row r="942" spans="1:6" x14ac:dyDescent="0.3">
      <c r="A942" s="7" t="str">
        <f>_xlfn.XLOOKUP(ColombiaClientes6[[#This Row],[Client]],VpsClientes[Client],VpsClientes[VP],"",0)</f>
        <v>Ander Penate Nunez</v>
      </c>
      <c r="B942" s="123" t="s">
        <v>254</v>
      </c>
      <c r="C942" s="124" t="s">
        <v>202</v>
      </c>
      <c r="D942" s="163" t="s">
        <v>90</v>
      </c>
      <c r="E942" s="163" t="s">
        <v>206</v>
      </c>
      <c r="F942" s="125">
        <v>565</v>
      </c>
    </row>
    <row r="943" spans="1:6" x14ac:dyDescent="0.3">
      <c r="A943" s="7" t="str">
        <f>_xlfn.XLOOKUP(ColombiaClientes6[[#This Row],[Client]],VpsClientes[Client],VpsClientes[VP],"",0)</f>
        <v>Ander Penate Nunez</v>
      </c>
      <c r="B943" s="123" t="s">
        <v>254</v>
      </c>
      <c r="C943" s="124" t="s">
        <v>203</v>
      </c>
      <c r="D943" s="163" t="s">
        <v>90</v>
      </c>
      <c r="E943" s="163" t="s">
        <v>206</v>
      </c>
      <c r="F943" s="125">
        <v>444</v>
      </c>
    </row>
    <row r="944" spans="1:6" hidden="1" x14ac:dyDescent="0.3">
      <c r="A944" s="7" t="str">
        <f>_xlfn.XLOOKUP(ColombiaClientes6[[#This Row],[Client]],VpsClientes[Client],VpsClientes[VP],"",0)</f>
        <v>Ludy Torres Benitez</v>
      </c>
      <c r="B944" s="123" t="s">
        <v>95</v>
      </c>
      <c r="C944" s="124" t="s">
        <v>92</v>
      </c>
      <c r="D944" s="163" t="s">
        <v>219</v>
      </c>
      <c r="E944" s="163" t="s">
        <v>206</v>
      </c>
      <c r="F944" s="125">
        <v>249</v>
      </c>
    </row>
    <row r="945" spans="1:6" x14ac:dyDescent="0.3">
      <c r="A945" s="7" t="str">
        <f>_xlfn.XLOOKUP(ColombiaClientes6[[#This Row],[Client]],VpsClientes[Client],VpsClientes[VP],"",0)</f>
        <v>Ander Penate Nunez</v>
      </c>
      <c r="B945" s="123" t="s">
        <v>254</v>
      </c>
      <c r="C945" s="124" t="s">
        <v>205</v>
      </c>
      <c r="D945" s="163" t="s">
        <v>90</v>
      </c>
      <c r="E945" s="163" t="s">
        <v>206</v>
      </c>
      <c r="F945" s="125">
        <v>481</v>
      </c>
    </row>
    <row r="946" spans="1:6" x14ac:dyDescent="0.3">
      <c r="A946" s="7" t="str">
        <f>_xlfn.XLOOKUP(ColombiaClientes6[[#This Row],[Client]],VpsClientes[Client],VpsClientes[VP],"",0)</f>
        <v>Ander Penate Nunez</v>
      </c>
      <c r="B946" s="123" t="s">
        <v>254</v>
      </c>
      <c r="C946" s="124" t="s">
        <v>237</v>
      </c>
      <c r="D946" s="163" t="s">
        <v>90</v>
      </c>
      <c r="E946" s="163" t="s">
        <v>206</v>
      </c>
      <c r="F946" s="125">
        <v>80</v>
      </c>
    </row>
    <row r="947" spans="1:6" hidden="1" x14ac:dyDescent="0.3">
      <c r="A947" s="7" t="str">
        <f>_xlfn.XLOOKUP(ColombiaClientes6[[#This Row],[Client]],VpsClientes[Client],VpsClientes[VP],"",0)</f>
        <v>Hector Muraira Garza</v>
      </c>
      <c r="B947" s="123" t="s">
        <v>132</v>
      </c>
      <c r="C947" s="124" t="s">
        <v>92</v>
      </c>
      <c r="D947" s="163" t="s">
        <v>219</v>
      </c>
      <c r="E947" s="163" t="s">
        <v>206</v>
      </c>
      <c r="F947" s="125">
        <v>226</v>
      </c>
    </row>
    <row r="948" spans="1:6" x14ac:dyDescent="0.3">
      <c r="A948" s="7" t="str">
        <f>_xlfn.XLOOKUP(ColombiaClientes6[[#This Row],[Client]],VpsClientes[Client],VpsClientes[VP],"",0)</f>
        <v>Ander Penate Nunez</v>
      </c>
      <c r="B948" s="123" t="s">
        <v>254</v>
      </c>
      <c r="C948" s="124" t="s">
        <v>92</v>
      </c>
      <c r="D948" s="163" t="s">
        <v>219</v>
      </c>
      <c r="E948" s="163" t="s">
        <v>91</v>
      </c>
      <c r="F948" s="125">
        <v>156</v>
      </c>
    </row>
    <row r="949" spans="1:6" x14ac:dyDescent="0.3">
      <c r="A949" s="7" t="str">
        <f>_xlfn.XLOOKUP(ColombiaClientes6[[#This Row],[Client]],VpsClientes[Client],VpsClientes[VP],"",0)</f>
        <v>Ander Penate Nunez</v>
      </c>
      <c r="B949" s="123" t="s">
        <v>254</v>
      </c>
      <c r="C949" s="124" t="s">
        <v>191</v>
      </c>
      <c r="D949" s="163" t="s">
        <v>219</v>
      </c>
      <c r="E949" s="163" t="s">
        <v>91</v>
      </c>
      <c r="F949" s="125">
        <v>165</v>
      </c>
    </row>
    <row r="950" spans="1:6" x14ac:dyDescent="0.3">
      <c r="A950" s="7" t="str">
        <f>_xlfn.XLOOKUP(ColombiaClientes6[[#This Row],[Client]],VpsClientes[Client],VpsClientes[VP],"",0)</f>
        <v>Ander Penate Nunez</v>
      </c>
      <c r="B950" s="123" t="s">
        <v>254</v>
      </c>
      <c r="C950" s="124" t="s">
        <v>192</v>
      </c>
      <c r="D950" s="163" t="s">
        <v>219</v>
      </c>
      <c r="E950" s="163" t="s">
        <v>91</v>
      </c>
      <c r="F950" s="125">
        <v>113</v>
      </c>
    </row>
    <row r="951" spans="1:6" x14ac:dyDescent="0.3">
      <c r="A951" s="7" t="str">
        <f>_xlfn.XLOOKUP(ColombiaClientes6[[#This Row],[Client]],VpsClientes[Client],VpsClientes[VP],"",0)</f>
        <v>Ander Penate Nunez</v>
      </c>
      <c r="B951" s="123" t="s">
        <v>254</v>
      </c>
      <c r="C951" s="124" t="s">
        <v>194</v>
      </c>
      <c r="D951" s="163" t="s">
        <v>219</v>
      </c>
      <c r="E951" s="163" t="s">
        <v>91</v>
      </c>
      <c r="F951" s="125">
        <v>99</v>
      </c>
    </row>
    <row r="952" spans="1:6" hidden="1" x14ac:dyDescent="0.3">
      <c r="A952" s="7" t="str">
        <f>_xlfn.XLOOKUP(ColombiaClientes6[[#This Row],[Client]],VpsClientes[Client],VpsClientes[VP],"",0)</f>
        <v>Juan Granados Castillo</v>
      </c>
      <c r="B952" s="123" t="s">
        <v>134</v>
      </c>
      <c r="C952" s="124" t="s">
        <v>92</v>
      </c>
      <c r="D952" s="163" t="s">
        <v>219</v>
      </c>
      <c r="E952" s="163" t="s">
        <v>206</v>
      </c>
      <c r="F952" s="125">
        <v>37</v>
      </c>
    </row>
    <row r="953" spans="1:6" x14ac:dyDescent="0.3">
      <c r="A953" s="7" t="str">
        <f>_xlfn.XLOOKUP(ColombiaClientes6[[#This Row],[Client]],VpsClientes[Client],VpsClientes[VP],"",0)</f>
        <v>Ander Penate Nunez</v>
      </c>
      <c r="B953" s="123" t="s">
        <v>254</v>
      </c>
      <c r="C953" s="124" t="s">
        <v>202</v>
      </c>
      <c r="D953" s="163" t="s">
        <v>219</v>
      </c>
      <c r="E953" s="163" t="s">
        <v>91</v>
      </c>
      <c r="F953" s="125">
        <v>113</v>
      </c>
    </row>
    <row r="954" spans="1:6" x14ac:dyDescent="0.3">
      <c r="A954" s="7" t="str">
        <f>_xlfn.XLOOKUP(ColombiaClientes6[[#This Row],[Client]],VpsClientes[Client],VpsClientes[VP],"",0)</f>
        <v>Ander Penate Nunez</v>
      </c>
      <c r="B954" s="123" t="s">
        <v>254</v>
      </c>
      <c r="C954" s="124" t="s">
        <v>203</v>
      </c>
      <c r="D954" s="163" t="s">
        <v>219</v>
      </c>
      <c r="E954" s="163" t="s">
        <v>91</v>
      </c>
      <c r="F954" s="125">
        <v>119</v>
      </c>
    </row>
    <row r="955" spans="1:6" x14ac:dyDescent="0.3">
      <c r="A955" s="7" t="str">
        <f>_xlfn.XLOOKUP(ColombiaClientes6[[#This Row],[Client]],VpsClientes[Client],VpsClientes[VP],"",0)</f>
        <v>Ander Penate Nunez</v>
      </c>
      <c r="B955" s="123" t="s">
        <v>254</v>
      </c>
      <c r="C955" s="124" t="s">
        <v>205</v>
      </c>
      <c r="D955" s="163" t="s">
        <v>219</v>
      </c>
      <c r="E955" s="163" t="s">
        <v>91</v>
      </c>
      <c r="F955" s="125">
        <v>296</v>
      </c>
    </row>
    <row r="956" spans="1:6" x14ac:dyDescent="0.3">
      <c r="A956" s="7" t="str">
        <f>_xlfn.XLOOKUP(ColombiaClientes6[[#This Row],[Client]],VpsClientes[Client],VpsClientes[VP],"",0)</f>
        <v>Ander Penate Nunez</v>
      </c>
      <c r="B956" s="123" t="s">
        <v>254</v>
      </c>
      <c r="C956" s="124" t="s">
        <v>237</v>
      </c>
      <c r="D956" s="163" t="s">
        <v>219</v>
      </c>
      <c r="E956" s="163" t="s">
        <v>91</v>
      </c>
      <c r="F956" s="125">
        <v>11</v>
      </c>
    </row>
    <row r="957" spans="1:6" x14ac:dyDescent="0.3">
      <c r="A957" s="7" t="str">
        <f>_xlfn.XLOOKUP(ColombiaClientes6[[#This Row],[Client]],VpsClientes[Client],VpsClientes[VP],"",0)</f>
        <v>Ander Penate Nunez</v>
      </c>
      <c r="B957" s="123" t="s">
        <v>254</v>
      </c>
      <c r="C957" s="124" t="s">
        <v>92</v>
      </c>
      <c r="D957" s="163" t="s">
        <v>219</v>
      </c>
      <c r="E957" s="163" t="s">
        <v>206</v>
      </c>
      <c r="F957" s="125">
        <v>27</v>
      </c>
    </row>
    <row r="958" spans="1:6" x14ac:dyDescent="0.3">
      <c r="A958" s="7" t="str">
        <f>_xlfn.XLOOKUP(ColombiaClientes6[[#This Row],[Client]],VpsClientes[Client],VpsClientes[VP],"",0)</f>
        <v>Ander Penate Nunez</v>
      </c>
      <c r="B958" s="123" t="s">
        <v>254</v>
      </c>
      <c r="C958" s="124" t="s">
        <v>191</v>
      </c>
      <c r="D958" s="163" t="s">
        <v>219</v>
      </c>
      <c r="E958" s="163" t="s">
        <v>206</v>
      </c>
      <c r="F958" s="125">
        <v>48</v>
      </c>
    </row>
    <row r="959" spans="1:6" x14ac:dyDescent="0.3">
      <c r="A959" s="7" t="str">
        <f>_xlfn.XLOOKUP(ColombiaClientes6[[#This Row],[Client]],VpsClientes[Client],VpsClientes[VP],"",0)</f>
        <v>Ander Penate Nunez</v>
      </c>
      <c r="B959" s="123" t="s">
        <v>254</v>
      </c>
      <c r="C959" s="124" t="s">
        <v>192</v>
      </c>
      <c r="D959" s="163" t="s">
        <v>219</v>
      </c>
      <c r="E959" s="163" t="s">
        <v>206</v>
      </c>
      <c r="F959" s="125">
        <v>17</v>
      </c>
    </row>
    <row r="960" spans="1:6" hidden="1" x14ac:dyDescent="0.3">
      <c r="A960" s="7" t="str">
        <f>_xlfn.XLOOKUP(ColombiaClientes6[[#This Row],[Client]],VpsClientes[Client],VpsClientes[VP],"",0)</f>
        <v>Jhonatan Izquierdo Rico</v>
      </c>
      <c r="B960" s="123" t="s">
        <v>104</v>
      </c>
      <c r="C960" s="124" t="s">
        <v>92</v>
      </c>
      <c r="D960" s="163" t="s">
        <v>219</v>
      </c>
      <c r="E960" s="163" t="s">
        <v>206</v>
      </c>
      <c r="F960" s="125">
        <v>6</v>
      </c>
    </row>
    <row r="961" spans="1:6" x14ac:dyDescent="0.3">
      <c r="A961" s="7" t="str">
        <f>_xlfn.XLOOKUP(ColombiaClientes6[[#This Row],[Client]],VpsClientes[Client],VpsClientes[VP],"",0)</f>
        <v>Ander Penate Nunez</v>
      </c>
      <c r="B961" s="123" t="s">
        <v>254</v>
      </c>
      <c r="C961" s="124" t="s">
        <v>194</v>
      </c>
      <c r="D961" s="163" t="s">
        <v>219</v>
      </c>
      <c r="E961" s="163" t="s">
        <v>206</v>
      </c>
      <c r="F961" s="125">
        <v>15</v>
      </c>
    </row>
    <row r="962" spans="1:6" hidden="1" x14ac:dyDescent="0.3">
      <c r="A962" s="7" t="str">
        <f>_xlfn.XLOOKUP(ColombiaClientes6[[#This Row],[Client]],VpsClientes[Client],VpsClientes[VP],"",0)</f>
        <v>Hector Muraira Garza</v>
      </c>
      <c r="B962" s="123" t="s">
        <v>167</v>
      </c>
      <c r="C962" s="124" t="s">
        <v>92</v>
      </c>
      <c r="D962" s="163" t="s">
        <v>219</v>
      </c>
      <c r="E962" s="163" t="s">
        <v>206</v>
      </c>
      <c r="F962" s="125">
        <v>3</v>
      </c>
    </row>
    <row r="963" spans="1:6" x14ac:dyDescent="0.3">
      <c r="A963" s="7" t="str">
        <f>_xlfn.XLOOKUP(ColombiaClientes6[[#This Row],[Client]],VpsClientes[Client],VpsClientes[VP],"",0)</f>
        <v>Ander Penate Nunez</v>
      </c>
      <c r="B963" s="123" t="s">
        <v>254</v>
      </c>
      <c r="C963" s="124" t="s">
        <v>202</v>
      </c>
      <c r="D963" s="163" t="s">
        <v>219</v>
      </c>
      <c r="E963" s="163" t="s">
        <v>206</v>
      </c>
      <c r="F963" s="125">
        <v>114</v>
      </c>
    </row>
    <row r="964" spans="1:6" x14ac:dyDescent="0.3">
      <c r="A964" s="7" t="str">
        <f>_xlfn.XLOOKUP(ColombiaClientes6[[#This Row],[Client]],VpsClientes[Client],VpsClientes[VP],"",0)</f>
        <v>Ander Penate Nunez</v>
      </c>
      <c r="B964" s="123" t="s">
        <v>254</v>
      </c>
      <c r="C964" s="124" t="s">
        <v>203</v>
      </c>
      <c r="D964" s="163" t="s">
        <v>219</v>
      </c>
      <c r="E964" s="163" t="s">
        <v>206</v>
      </c>
      <c r="F964" s="125">
        <v>171</v>
      </c>
    </row>
    <row r="965" spans="1:6" x14ac:dyDescent="0.3">
      <c r="A965" s="7" t="str">
        <f>_xlfn.XLOOKUP(ColombiaClientes6[[#This Row],[Client]],VpsClientes[Client],VpsClientes[VP],"",0)</f>
        <v>Ander Penate Nunez</v>
      </c>
      <c r="B965" s="123" t="s">
        <v>254</v>
      </c>
      <c r="C965" s="124" t="s">
        <v>205</v>
      </c>
      <c r="D965" s="163" t="s">
        <v>219</v>
      </c>
      <c r="E965" s="163" t="s">
        <v>206</v>
      </c>
      <c r="F965" s="125">
        <v>17</v>
      </c>
    </row>
    <row r="966" spans="1:6" hidden="1" x14ac:dyDescent="0.3">
      <c r="A966" s="7" t="str">
        <f>_xlfn.XLOOKUP(ColombiaClientes6[[#This Row],[Client]],VpsClientes[Client],VpsClientes[VP],"",0)</f>
        <v>Javier Orjuela Sarmiento</v>
      </c>
      <c r="B966" s="128" t="s">
        <v>133</v>
      </c>
      <c r="C966" s="10" t="s">
        <v>191</v>
      </c>
      <c r="D966" s="163" t="s">
        <v>219</v>
      </c>
      <c r="E966" s="163" t="s">
        <v>206</v>
      </c>
      <c r="F966" s="130">
        <v>11106</v>
      </c>
    </row>
    <row r="967" spans="1:6" hidden="1" x14ac:dyDescent="0.3">
      <c r="A967" s="7" t="str">
        <f>_xlfn.XLOOKUP(ColombiaClientes6[[#This Row],[Client]],VpsClientes[Client],VpsClientes[VP],"",0)</f>
        <v>Hector Muraira Garza</v>
      </c>
      <c r="B967" s="128" t="s">
        <v>140</v>
      </c>
      <c r="C967" s="129" t="s">
        <v>191</v>
      </c>
      <c r="D967" s="163" t="s">
        <v>219</v>
      </c>
      <c r="E967" s="163" t="s">
        <v>206</v>
      </c>
      <c r="F967" s="130">
        <v>6924</v>
      </c>
    </row>
    <row r="968" spans="1:6" hidden="1" x14ac:dyDescent="0.3">
      <c r="A968" s="7" t="str">
        <f>_xlfn.XLOOKUP(ColombiaClientes6[[#This Row],[Client]],VpsClientes[Client],VpsClientes[VP],"",0)</f>
        <v>Hector Muraira Garza</v>
      </c>
      <c r="B968" s="128" t="s">
        <v>164</v>
      </c>
      <c r="C968" s="129" t="s">
        <v>191</v>
      </c>
      <c r="D968" s="163" t="s">
        <v>219</v>
      </c>
      <c r="E968" s="163" t="s">
        <v>206</v>
      </c>
      <c r="F968" s="130">
        <v>3533</v>
      </c>
    </row>
    <row r="969" spans="1:6" hidden="1" x14ac:dyDescent="0.3">
      <c r="A969" s="7" t="str">
        <f>_xlfn.XLOOKUP(ColombiaClientes6[[#This Row],[Client]],VpsClientes[Client],VpsClientes[VP],"",0)</f>
        <v>Sandra Romero Zuluaga</v>
      </c>
      <c r="B969" s="128" t="s">
        <v>113</v>
      </c>
      <c r="C969" s="129" t="s">
        <v>191</v>
      </c>
      <c r="D969" s="163" t="s">
        <v>219</v>
      </c>
      <c r="E969" s="163" t="s">
        <v>206</v>
      </c>
      <c r="F969" s="130">
        <v>1840</v>
      </c>
    </row>
    <row r="970" spans="1:6" hidden="1" x14ac:dyDescent="0.3">
      <c r="A970" s="7" t="str">
        <f>_xlfn.XLOOKUP(ColombiaClientes6[[#This Row],[Client]],VpsClientes[Client],VpsClientes[VP],"",0)</f>
        <v>Carlos Beltran Hernandez</v>
      </c>
      <c r="B970" s="128" t="s">
        <v>93</v>
      </c>
      <c r="C970" s="129" t="s">
        <v>191</v>
      </c>
      <c r="D970" s="163" t="s">
        <v>219</v>
      </c>
      <c r="E970" s="163" t="s">
        <v>206</v>
      </c>
      <c r="F970" s="130">
        <v>668</v>
      </c>
    </row>
    <row r="971" spans="1:6" x14ac:dyDescent="0.3">
      <c r="A971" s="7">
        <f>_xlfn.XLOOKUP(ColombiaClientes6[[#This Row],[Client]],VpsClientes[Client],VpsClientes[VP],"",0)</f>
        <v>0</v>
      </c>
      <c r="B971" s="128" t="s">
        <v>246</v>
      </c>
      <c r="C971" s="129" t="s">
        <v>92</v>
      </c>
      <c r="D971" s="163" t="s">
        <v>90</v>
      </c>
      <c r="E971" s="163" t="s">
        <v>91</v>
      </c>
      <c r="F971" s="130">
        <v>679</v>
      </c>
    </row>
    <row r="972" spans="1:6" x14ac:dyDescent="0.3">
      <c r="A972" s="7">
        <f>_xlfn.XLOOKUP(ColombiaClientes6[[#This Row],[Client]],VpsClientes[Client],VpsClientes[VP],"",0)</f>
        <v>0</v>
      </c>
      <c r="B972" s="128" t="s">
        <v>246</v>
      </c>
      <c r="C972" s="129" t="s">
        <v>191</v>
      </c>
      <c r="D972" s="163" t="s">
        <v>90</v>
      </c>
      <c r="E972" s="163" t="s">
        <v>91</v>
      </c>
      <c r="F972" s="130">
        <v>1001</v>
      </c>
    </row>
    <row r="973" spans="1:6" x14ac:dyDescent="0.3">
      <c r="A973" s="7">
        <f>_xlfn.XLOOKUP(ColombiaClientes6[[#This Row],[Client]],VpsClientes[Client],VpsClientes[VP],"",0)</f>
        <v>0</v>
      </c>
      <c r="B973" s="128" t="s">
        <v>246</v>
      </c>
      <c r="C973" s="129" t="s">
        <v>192</v>
      </c>
      <c r="D973" s="163" t="s">
        <v>90</v>
      </c>
      <c r="E973" s="163" t="s">
        <v>91</v>
      </c>
      <c r="F973" s="130">
        <v>589</v>
      </c>
    </row>
    <row r="974" spans="1:6" hidden="1" x14ac:dyDescent="0.3">
      <c r="A974" s="7" t="str">
        <f>_xlfn.XLOOKUP(ColombiaClientes6[[#This Row],[Client]],VpsClientes[Client],VpsClientes[VP],"",0)</f>
        <v>Ludy Torres Benitez</v>
      </c>
      <c r="B974" s="128" t="s">
        <v>95</v>
      </c>
      <c r="C974" s="129" t="s">
        <v>191</v>
      </c>
      <c r="D974" s="163" t="s">
        <v>219</v>
      </c>
      <c r="E974" s="163" t="s">
        <v>206</v>
      </c>
      <c r="F974" s="130">
        <v>320</v>
      </c>
    </row>
    <row r="975" spans="1:6" hidden="1" x14ac:dyDescent="0.3">
      <c r="A975" s="7" t="str">
        <f>_xlfn.XLOOKUP(ColombiaClientes6[[#This Row],[Client]],VpsClientes[Client],VpsClientes[VP],"",0)</f>
        <v>Hector Muraira Garza</v>
      </c>
      <c r="B975" s="128" t="s">
        <v>132</v>
      </c>
      <c r="C975" s="129" t="s">
        <v>191</v>
      </c>
      <c r="D975" s="163" t="s">
        <v>219</v>
      </c>
      <c r="E975" s="163" t="s">
        <v>206</v>
      </c>
      <c r="F975" s="130">
        <v>304</v>
      </c>
    </row>
    <row r="976" spans="1:6" x14ac:dyDescent="0.3">
      <c r="A976" s="7">
        <f>_xlfn.XLOOKUP(ColombiaClientes6[[#This Row],[Client]],VpsClientes[Client],VpsClientes[VP],"",0)</f>
        <v>0</v>
      </c>
      <c r="B976" s="128" t="s">
        <v>246</v>
      </c>
      <c r="C976" s="129" t="s">
        <v>194</v>
      </c>
      <c r="D976" s="163" t="s">
        <v>90</v>
      </c>
      <c r="E976" s="163" t="s">
        <v>91</v>
      </c>
      <c r="F976" s="130">
        <v>356</v>
      </c>
    </row>
    <row r="977" spans="1:6" x14ac:dyDescent="0.3">
      <c r="A977" s="7">
        <f>_xlfn.XLOOKUP(ColombiaClientes6[[#This Row],[Client]],VpsClientes[Client],VpsClientes[VP],"",0)</f>
        <v>0</v>
      </c>
      <c r="B977" s="128" t="s">
        <v>246</v>
      </c>
      <c r="C977" s="129" t="s">
        <v>202</v>
      </c>
      <c r="D977" s="163" t="s">
        <v>90</v>
      </c>
      <c r="E977" s="163" t="s">
        <v>91</v>
      </c>
      <c r="F977" s="130">
        <v>490</v>
      </c>
    </row>
    <row r="978" spans="1:6" x14ac:dyDescent="0.3">
      <c r="A978" s="7">
        <f>_xlfn.XLOOKUP(ColombiaClientes6[[#This Row],[Client]],VpsClientes[Client],VpsClientes[VP],"",0)</f>
        <v>0</v>
      </c>
      <c r="B978" s="128" t="s">
        <v>246</v>
      </c>
      <c r="C978" s="129" t="s">
        <v>203</v>
      </c>
      <c r="D978" s="163" t="s">
        <v>90</v>
      </c>
      <c r="E978" s="163" t="s">
        <v>91</v>
      </c>
      <c r="F978" s="130">
        <v>298</v>
      </c>
    </row>
    <row r="979" spans="1:6" x14ac:dyDescent="0.3">
      <c r="A979" s="7">
        <f>_xlfn.XLOOKUP(ColombiaClientes6[[#This Row],[Client]],VpsClientes[Client],VpsClientes[VP],"",0)</f>
        <v>0</v>
      </c>
      <c r="B979" s="128" t="s">
        <v>246</v>
      </c>
      <c r="C979" s="129" t="s">
        <v>205</v>
      </c>
      <c r="D979" s="163" t="s">
        <v>90</v>
      </c>
      <c r="E979" s="163" t="s">
        <v>91</v>
      </c>
      <c r="F979" s="130">
        <v>211</v>
      </c>
    </row>
    <row r="980" spans="1:6" x14ac:dyDescent="0.3">
      <c r="A980" s="7">
        <f>_xlfn.XLOOKUP(ColombiaClientes6[[#This Row],[Client]],VpsClientes[Client],VpsClientes[VP],"",0)</f>
        <v>0</v>
      </c>
      <c r="B980" s="128" t="s">
        <v>246</v>
      </c>
      <c r="C980" s="129" t="s">
        <v>237</v>
      </c>
      <c r="D980" s="163" t="s">
        <v>90</v>
      </c>
      <c r="E980" s="163" t="s">
        <v>91</v>
      </c>
      <c r="F980" s="130">
        <v>18</v>
      </c>
    </row>
    <row r="981" spans="1:6" x14ac:dyDescent="0.3">
      <c r="A981" s="7">
        <f>_xlfn.XLOOKUP(ColombiaClientes6[[#This Row],[Client]],VpsClientes[Client],VpsClientes[VP],"",0)</f>
        <v>0</v>
      </c>
      <c r="B981" s="128" t="s">
        <v>246</v>
      </c>
      <c r="C981" s="129" t="s">
        <v>92</v>
      </c>
      <c r="D981" s="163" t="s">
        <v>90</v>
      </c>
      <c r="E981" s="163" t="s">
        <v>206</v>
      </c>
      <c r="F981" s="130">
        <v>802</v>
      </c>
    </row>
    <row r="982" spans="1:6" x14ac:dyDescent="0.3">
      <c r="A982" s="7">
        <f>_xlfn.XLOOKUP(ColombiaClientes6[[#This Row],[Client]],VpsClientes[Client],VpsClientes[VP],"",0)</f>
        <v>0</v>
      </c>
      <c r="B982" s="128" t="s">
        <v>246</v>
      </c>
      <c r="C982" s="129" t="s">
        <v>191</v>
      </c>
      <c r="D982" s="163" t="s">
        <v>90</v>
      </c>
      <c r="E982" s="163" t="s">
        <v>206</v>
      </c>
      <c r="F982" s="130">
        <v>1189</v>
      </c>
    </row>
    <row r="983" spans="1:6" hidden="1" x14ac:dyDescent="0.3">
      <c r="A983" s="7" t="str">
        <f>_xlfn.XLOOKUP(ColombiaClientes6[[#This Row],[Client]],VpsClientes[Client],VpsClientes[VP],"",0)</f>
        <v>Martha Guzman Arango</v>
      </c>
      <c r="B983" s="128" t="s">
        <v>199</v>
      </c>
      <c r="C983" s="129" t="s">
        <v>191</v>
      </c>
      <c r="D983" s="163" t="s">
        <v>219</v>
      </c>
      <c r="E983" s="163" t="s">
        <v>206</v>
      </c>
      <c r="F983" s="130">
        <v>67</v>
      </c>
    </row>
    <row r="984" spans="1:6" hidden="1" x14ac:dyDescent="0.3">
      <c r="A984" s="7" t="str">
        <f>_xlfn.XLOOKUP(ColombiaClientes6[[#This Row],[Client]],VpsClientes[Client],VpsClientes[VP],"",0)</f>
        <v>Moises Saavedra Garcia</v>
      </c>
      <c r="B984" s="128" t="s">
        <v>110</v>
      </c>
      <c r="C984" s="129" t="s">
        <v>191</v>
      </c>
      <c r="D984" s="163" t="s">
        <v>219</v>
      </c>
      <c r="E984" s="163" t="s">
        <v>206</v>
      </c>
      <c r="F984" s="130">
        <v>55</v>
      </c>
    </row>
    <row r="985" spans="1:6" hidden="1" x14ac:dyDescent="0.3">
      <c r="A985" s="7" t="str">
        <f>_xlfn.XLOOKUP(ColombiaClientes6[[#This Row],[Client]],VpsClientes[Client],VpsClientes[VP],"",0)</f>
        <v>Jhonatan Izquierdo Rico</v>
      </c>
      <c r="B985" s="128" t="s">
        <v>157</v>
      </c>
      <c r="C985" s="129" t="s">
        <v>191</v>
      </c>
      <c r="D985" s="163" t="s">
        <v>219</v>
      </c>
      <c r="E985" s="163" t="s">
        <v>206</v>
      </c>
      <c r="F985" s="130">
        <v>50</v>
      </c>
    </row>
    <row r="986" spans="1:6" x14ac:dyDescent="0.3">
      <c r="A986" s="7">
        <f>_xlfn.XLOOKUP(ColombiaClientes6[[#This Row],[Client]],VpsClientes[Client],VpsClientes[VP],"",0)</f>
        <v>0</v>
      </c>
      <c r="B986" s="128" t="s">
        <v>246</v>
      </c>
      <c r="C986" s="129" t="s">
        <v>192</v>
      </c>
      <c r="D986" s="163" t="s">
        <v>90</v>
      </c>
      <c r="E986" s="163" t="s">
        <v>206</v>
      </c>
      <c r="F986" s="130">
        <v>656</v>
      </c>
    </row>
    <row r="987" spans="1:6" hidden="1" x14ac:dyDescent="0.3">
      <c r="A987" s="7" t="str">
        <f>_xlfn.XLOOKUP(ColombiaClientes6[[#This Row],[Client]],VpsClientes[Client],VpsClientes[VP],"",0)</f>
        <v>Hector Muraira Garza</v>
      </c>
      <c r="B987" s="128" t="s">
        <v>167</v>
      </c>
      <c r="C987" s="129" t="s">
        <v>191</v>
      </c>
      <c r="D987" s="163" t="s">
        <v>219</v>
      </c>
      <c r="E987" s="163" t="s">
        <v>206</v>
      </c>
      <c r="F987" s="130">
        <v>36</v>
      </c>
    </row>
    <row r="988" spans="1:6" x14ac:dyDescent="0.3">
      <c r="A988" s="7">
        <f>_xlfn.XLOOKUP(ColombiaClientes6[[#This Row],[Client]],VpsClientes[Client],VpsClientes[VP],"",0)</f>
        <v>0</v>
      </c>
      <c r="B988" s="128" t="s">
        <v>246</v>
      </c>
      <c r="C988" s="129" t="s">
        <v>194</v>
      </c>
      <c r="D988" s="163" t="s">
        <v>90</v>
      </c>
      <c r="E988" s="163" t="s">
        <v>206</v>
      </c>
      <c r="F988" s="130">
        <v>341</v>
      </c>
    </row>
    <row r="989" spans="1:6" x14ac:dyDescent="0.3">
      <c r="A989" s="7">
        <f>_xlfn.XLOOKUP(ColombiaClientes6[[#This Row],[Client]],VpsClientes[Client],VpsClientes[VP],"",0)</f>
        <v>0</v>
      </c>
      <c r="B989" s="128" t="s">
        <v>246</v>
      </c>
      <c r="C989" s="129" t="s">
        <v>202</v>
      </c>
      <c r="D989" s="163" t="s">
        <v>90</v>
      </c>
      <c r="E989" s="163" t="s">
        <v>206</v>
      </c>
      <c r="F989" s="130">
        <v>212</v>
      </c>
    </row>
    <row r="990" spans="1:6" x14ac:dyDescent="0.3">
      <c r="A990" s="7">
        <f>_xlfn.XLOOKUP(ColombiaClientes6[[#This Row],[Client]],VpsClientes[Client],VpsClientes[VP],"",0)</f>
        <v>0</v>
      </c>
      <c r="B990" s="128" t="s">
        <v>246</v>
      </c>
      <c r="C990" s="129" t="s">
        <v>203</v>
      </c>
      <c r="D990" s="163" t="s">
        <v>90</v>
      </c>
      <c r="E990" s="163" t="s">
        <v>206</v>
      </c>
      <c r="F990" s="130">
        <v>259</v>
      </c>
    </row>
    <row r="991" spans="1:6" x14ac:dyDescent="0.3">
      <c r="A991" s="7">
        <f>_xlfn.XLOOKUP(ColombiaClientes6[[#This Row],[Client]],VpsClientes[Client],VpsClientes[VP],"",0)</f>
        <v>0</v>
      </c>
      <c r="B991" s="128" t="s">
        <v>246</v>
      </c>
      <c r="C991" s="129" t="s">
        <v>205</v>
      </c>
      <c r="D991" s="163" t="s">
        <v>90</v>
      </c>
      <c r="E991" s="163" t="s">
        <v>206</v>
      </c>
      <c r="F991" s="130">
        <v>196</v>
      </c>
    </row>
    <row r="992" spans="1:6" x14ac:dyDescent="0.3">
      <c r="A992" s="7">
        <f>_xlfn.XLOOKUP(ColombiaClientes6[[#This Row],[Client]],VpsClientes[Client],VpsClientes[VP],"",0)</f>
        <v>0</v>
      </c>
      <c r="B992" s="128" t="s">
        <v>246</v>
      </c>
      <c r="C992" s="129" t="s">
        <v>237</v>
      </c>
      <c r="D992" s="163" t="s">
        <v>90</v>
      </c>
      <c r="E992" s="163" t="s">
        <v>206</v>
      </c>
      <c r="F992" s="130">
        <v>57</v>
      </c>
    </row>
    <row r="993" spans="1:6" x14ac:dyDescent="0.3">
      <c r="A993" s="7">
        <f>_xlfn.XLOOKUP(ColombiaClientes6[[#This Row],[Client]],VpsClientes[Client],VpsClientes[VP],"",0)</f>
        <v>0</v>
      </c>
      <c r="B993" s="128" t="s">
        <v>246</v>
      </c>
      <c r="C993" s="129" t="s">
        <v>92</v>
      </c>
      <c r="D993" s="163" t="s">
        <v>219</v>
      </c>
      <c r="E993" s="163" t="s">
        <v>91</v>
      </c>
      <c r="F993" s="130">
        <v>216</v>
      </c>
    </row>
    <row r="994" spans="1:6" x14ac:dyDescent="0.3">
      <c r="A994" s="7">
        <f>_xlfn.XLOOKUP(ColombiaClientes6[[#This Row],[Client]],VpsClientes[Client],VpsClientes[VP],"",0)</f>
        <v>0</v>
      </c>
      <c r="B994" s="128" t="s">
        <v>246</v>
      </c>
      <c r="C994" s="129" t="s">
        <v>191</v>
      </c>
      <c r="D994" s="163" t="s">
        <v>219</v>
      </c>
      <c r="E994" s="163" t="s">
        <v>91</v>
      </c>
      <c r="F994" s="130">
        <v>174</v>
      </c>
    </row>
    <row r="995" spans="1:6" x14ac:dyDescent="0.3">
      <c r="A995" s="7">
        <f>_xlfn.XLOOKUP(ColombiaClientes6[[#This Row],[Client]],VpsClientes[Client],VpsClientes[VP],"",0)</f>
        <v>0</v>
      </c>
      <c r="B995" s="128" t="s">
        <v>246</v>
      </c>
      <c r="C995" s="129" t="s">
        <v>192</v>
      </c>
      <c r="D995" s="163" t="s">
        <v>219</v>
      </c>
      <c r="E995" s="163" t="s">
        <v>91</v>
      </c>
      <c r="F995" s="130">
        <v>135</v>
      </c>
    </row>
    <row r="996" spans="1:6" x14ac:dyDescent="0.3">
      <c r="A996" s="7">
        <f>_xlfn.XLOOKUP(ColombiaClientes6[[#This Row],[Client]],VpsClientes[Client],VpsClientes[VP],"",0)</f>
        <v>0</v>
      </c>
      <c r="B996" s="128" t="s">
        <v>246</v>
      </c>
      <c r="C996" s="129" t="s">
        <v>194</v>
      </c>
      <c r="D996" s="163" t="s">
        <v>219</v>
      </c>
      <c r="E996" s="163" t="s">
        <v>91</v>
      </c>
      <c r="F996" s="130">
        <v>121</v>
      </c>
    </row>
    <row r="997" spans="1:6" hidden="1" x14ac:dyDescent="0.3">
      <c r="A997" s="7" t="str">
        <f>_xlfn.XLOOKUP(ColombiaClientes6[[#This Row],[Client]],VpsClientes[Client],VpsClientes[VP],"",0)</f>
        <v>Juan Granados Castillo</v>
      </c>
      <c r="B997" s="128" t="s">
        <v>134</v>
      </c>
      <c r="C997" s="129" t="s">
        <v>191</v>
      </c>
      <c r="D997" s="163" t="s">
        <v>219</v>
      </c>
      <c r="E997" s="163" t="s">
        <v>206</v>
      </c>
      <c r="F997" s="130">
        <v>1</v>
      </c>
    </row>
    <row r="998" spans="1:6" x14ac:dyDescent="0.3">
      <c r="A998" s="7">
        <f>_xlfn.XLOOKUP(ColombiaClientes6[[#This Row],[Client]],VpsClientes[Client],VpsClientes[VP],"",0)</f>
        <v>0</v>
      </c>
      <c r="B998" s="128" t="s">
        <v>246</v>
      </c>
      <c r="C998" s="129" t="s">
        <v>202</v>
      </c>
      <c r="D998" s="163" t="s">
        <v>219</v>
      </c>
      <c r="E998" s="163" t="s">
        <v>91</v>
      </c>
      <c r="F998" s="130">
        <v>41</v>
      </c>
    </row>
    <row r="999" spans="1:6" x14ac:dyDescent="0.3">
      <c r="A999" s="7">
        <f>_xlfn.XLOOKUP(ColombiaClientes6[[#This Row],[Client]],VpsClientes[Client],VpsClientes[VP],"",0)</f>
        <v>0</v>
      </c>
      <c r="B999" s="128" t="s">
        <v>246</v>
      </c>
      <c r="C999" s="129" t="s">
        <v>203</v>
      </c>
      <c r="D999" s="163" t="s">
        <v>219</v>
      </c>
      <c r="E999" s="163" t="s">
        <v>91</v>
      </c>
      <c r="F999" s="130">
        <v>46</v>
      </c>
    </row>
    <row r="1000" spans="1:6" hidden="1" x14ac:dyDescent="0.3">
      <c r="A1000" s="7" t="str">
        <f>_xlfn.XLOOKUP(ColombiaClientes6[[#This Row],[Client]],VpsClientes[Client],VpsClientes[VP],"",0)</f>
        <v>Jhonatan Izquierdo Rico</v>
      </c>
      <c r="B1000" s="128" t="s">
        <v>104</v>
      </c>
      <c r="C1000" s="129" t="s">
        <v>191</v>
      </c>
      <c r="D1000" s="163" t="s">
        <v>219</v>
      </c>
      <c r="E1000" s="163" t="s">
        <v>206</v>
      </c>
      <c r="F1000" s="130">
        <v>0</v>
      </c>
    </row>
    <row r="1001" spans="1:6" hidden="1" x14ac:dyDescent="0.3">
      <c r="A1001" s="7" t="str">
        <f>_xlfn.XLOOKUP(ColombiaClientes6[[#This Row],[Client]],VpsClientes[Client],VpsClientes[VP],"",0)</f>
        <v>Hector Muraira Garza</v>
      </c>
      <c r="B1001" s="133" t="s">
        <v>140</v>
      </c>
      <c r="C1001" s="10" t="s">
        <v>192</v>
      </c>
      <c r="D1001" s="163" t="s">
        <v>219</v>
      </c>
      <c r="E1001" s="163" t="s">
        <v>206</v>
      </c>
      <c r="F1001" s="134">
        <v>7474</v>
      </c>
    </row>
    <row r="1002" spans="1:6" hidden="1" x14ac:dyDescent="0.3">
      <c r="A1002" s="7" t="str">
        <f>_xlfn.XLOOKUP(ColombiaClientes6[[#This Row],[Client]],VpsClientes[Client],VpsClientes[VP],"",0)</f>
        <v>Javier Orjuela Sarmiento</v>
      </c>
      <c r="B1002" s="133" t="s">
        <v>133</v>
      </c>
      <c r="C1002" s="137" t="s">
        <v>192</v>
      </c>
      <c r="D1002" s="163" t="s">
        <v>219</v>
      </c>
      <c r="E1002" s="163" t="s">
        <v>206</v>
      </c>
      <c r="F1002" s="134">
        <v>6380</v>
      </c>
    </row>
    <row r="1003" spans="1:6" hidden="1" x14ac:dyDescent="0.3">
      <c r="A1003" s="7" t="str">
        <f>_xlfn.XLOOKUP(ColombiaClientes6[[#This Row],[Client]],VpsClientes[Client],VpsClientes[VP],"",0)</f>
        <v>Hector Muraira Garza</v>
      </c>
      <c r="B1003" s="133" t="s">
        <v>164</v>
      </c>
      <c r="C1003" s="137" t="s">
        <v>192</v>
      </c>
      <c r="D1003" s="163" t="s">
        <v>219</v>
      </c>
      <c r="E1003" s="163" t="s">
        <v>206</v>
      </c>
      <c r="F1003" s="134">
        <v>4599</v>
      </c>
    </row>
    <row r="1004" spans="1:6" x14ac:dyDescent="0.3">
      <c r="A1004" s="7">
        <f>_xlfn.XLOOKUP(ColombiaClientes6[[#This Row],[Client]],VpsClientes[Client],VpsClientes[VP],"",0)</f>
        <v>0</v>
      </c>
      <c r="B1004" s="133" t="s">
        <v>246</v>
      </c>
      <c r="C1004" s="137" t="s">
        <v>205</v>
      </c>
      <c r="D1004" s="163" t="s">
        <v>219</v>
      </c>
      <c r="E1004" s="163" t="s">
        <v>91</v>
      </c>
      <c r="F1004" s="134">
        <v>64</v>
      </c>
    </row>
    <row r="1005" spans="1:6" x14ac:dyDescent="0.3">
      <c r="A1005" s="7">
        <f>_xlfn.XLOOKUP(ColombiaClientes6[[#This Row],[Client]],VpsClientes[Client],VpsClientes[VP],"",0)</f>
        <v>0</v>
      </c>
      <c r="B1005" s="133" t="s">
        <v>246</v>
      </c>
      <c r="C1005" s="137" t="s">
        <v>237</v>
      </c>
      <c r="D1005" s="163" t="s">
        <v>219</v>
      </c>
      <c r="E1005" s="163" t="s">
        <v>91</v>
      </c>
      <c r="F1005" s="134">
        <v>2</v>
      </c>
    </row>
    <row r="1006" spans="1:6" hidden="1" x14ac:dyDescent="0.3">
      <c r="A1006" s="7" t="str">
        <f>_xlfn.XLOOKUP(ColombiaClientes6[[#This Row],[Client]],VpsClientes[Client],VpsClientes[VP],"",0)</f>
        <v>Martha Guzman Arango</v>
      </c>
      <c r="B1006" s="133" t="s">
        <v>199</v>
      </c>
      <c r="C1006" s="137" t="s">
        <v>192</v>
      </c>
      <c r="D1006" s="163" t="s">
        <v>219</v>
      </c>
      <c r="E1006" s="163" t="s">
        <v>206</v>
      </c>
      <c r="F1006" s="134">
        <v>713</v>
      </c>
    </row>
    <row r="1007" spans="1:6" hidden="1" x14ac:dyDescent="0.3">
      <c r="A1007" s="7" t="str">
        <f>_xlfn.XLOOKUP(ColombiaClientes6[[#This Row],[Client]],VpsClientes[Client],VpsClientes[VP],"",0)</f>
        <v>Carlos Beltran Hernandez</v>
      </c>
      <c r="B1007" s="133" t="s">
        <v>93</v>
      </c>
      <c r="C1007" s="137" t="s">
        <v>192</v>
      </c>
      <c r="D1007" s="163" t="s">
        <v>219</v>
      </c>
      <c r="E1007" s="163" t="s">
        <v>206</v>
      </c>
      <c r="F1007" s="134">
        <v>638</v>
      </c>
    </row>
    <row r="1008" spans="1:6" x14ac:dyDescent="0.3">
      <c r="A1008" s="7">
        <f>_xlfn.XLOOKUP(ColombiaClientes6[[#This Row],[Client]],VpsClientes[Client],VpsClientes[VP],"",0)</f>
        <v>0</v>
      </c>
      <c r="B1008" s="133" t="s">
        <v>246</v>
      </c>
      <c r="C1008" s="137" t="s">
        <v>92</v>
      </c>
      <c r="D1008" s="163" t="s">
        <v>219</v>
      </c>
      <c r="E1008" s="163" t="s">
        <v>206</v>
      </c>
      <c r="F1008" s="134">
        <v>11</v>
      </c>
    </row>
    <row r="1009" spans="1:6" hidden="1" x14ac:dyDescent="0.3">
      <c r="A1009" s="7" t="str">
        <f>_xlfn.XLOOKUP(ColombiaClientes6[[#This Row],[Client]],VpsClientes[Client],VpsClientes[VP],"",0)</f>
        <v>Hector Muraira Garza</v>
      </c>
      <c r="B1009" s="133" t="s">
        <v>132</v>
      </c>
      <c r="C1009" s="137" t="s">
        <v>192</v>
      </c>
      <c r="D1009" s="163" t="s">
        <v>219</v>
      </c>
      <c r="E1009" s="163" t="s">
        <v>206</v>
      </c>
      <c r="F1009" s="134">
        <v>436</v>
      </c>
    </row>
    <row r="1010" spans="1:6" x14ac:dyDescent="0.3">
      <c r="A1010" s="7">
        <f>_xlfn.XLOOKUP(ColombiaClientes6[[#This Row],[Client]],VpsClientes[Client],VpsClientes[VP],"",0)</f>
        <v>0</v>
      </c>
      <c r="B1010" s="133" t="s">
        <v>246</v>
      </c>
      <c r="C1010" s="137" t="s">
        <v>191</v>
      </c>
      <c r="D1010" s="163" t="s">
        <v>219</v>
      </c>
      <c r="E1010" s="163" t="s">
        <v>206</v>
      </c>
      <c r="F1010" s="134">
        <v>2</v>
      </c>
    </row>
    <row r="1011" spans="1:6" hidden="1" x14ac:dyDescent="0.3">
      <c r="A1011" s="7" t="str">
        <f>_xlfn.XLOOKUP(ColombiaClientes6[[#This Row],[Client]],VpsClientes[Client],VpsClientes[VP],"",0)</f>
        <v>Ludy Torres Benitez</v>
      </c>
      <c r="B1011" s="133" t="s">
        <v>95</v>
      </c>
      <c r="C1011" s="137" t="s">
        <v>192</v>
      </c>
      <c r="D1011" s="163" t="s">
        <v>219</v>
      </c>
      <c r="E1011" s="163" t="s">
        <v>206</v>
      </c>
      <c r="F1011" s="134">
        <v>321</v>
      </c>
    </row>
    <row r="1012" spans="1:6" hidden="1" x14ac:dyDescent="0.3">
      <c r="A1012" s="7" t="str">
        <f>_xlfn.XLOOKUP(ColombiaClientes6[[#This Row],[Client]],VpsClientes[Client],VpsClientes[VP],"",0)</f>
        <v>Sandra Romero Zuluaga</v>
      </c>
      <c r="B1012" s="133" t="s">
        <v>113</v>
      </c>
      <c r="C1012" s="137" t="s">
        <v>192</v>
      </c>
      <c r="D1012" s="163" t="s">
        <v>219</v>
      </c>
      <c r="E1012" s="163" t="s">
        <v>206</v>
      </c>
      <c r="F1012" s="134">
        <v>284</v>
      </c>
    </row>
    <row r="1013" spans="1:6" x14ac:dyDescent="0.3">
      <c r="A1013" s="7">
        <f>_xlfn.XLOOKUP(ColombiaClientes6[[#This Row],[Client]],VpsClientes[Client],VpsClientes[VP],"",0)</f>
        <v>0</v>
      </c>
      <c r="B1013" s="133" t="s">
        <v>246</v>
      </c>
      <c r="C1013" s="137" t="s">
        <v>192</v>
      </c>
      <c r="D1013" s="163" t="s">
        <v>219</v>
      </c>
      <c r="E1013" s="163" t="s">
        <v>206</v>
      </c>
      <c r="F1013" s="134">
        <v>5</v>
      </c>
    </row>
    <row r="1014" spans="1:6" x14ac:dyDescent="0.3">
      <c r="A1014" s="7">
        <f>_xlfn.XLOOKUP(ColombiaClientes6[[#This Row],[Client]],VpsClientes[Client],VpsClientes[VP],"",0)</f>
        <v>0</v>
      </c>
      <c r="B1014" s="133" t="s">
        <v>246</v>
      </c>
      <c r="C1014" s="137" t="s">
        <v>194</v>
      </c>
      <c r="D1014" s="163" t="s">
        <v>219</v>
      </c>
      <c r="E1014" s="163" t="s">
        <v>206</v>
      </c>
      <c r="F1014" s="134">
        <v>9</v>
      </c>
    </row>
    <row r="1015" spans="1:6" x14ac:dyDescent="0.3">
      <c r="A1015" s="7">
        <f>_xlfn.XLOOKUP(ColombiaClientes6[[#This Row],[Client]],VpsClientes[Client],VpsClientes[VP],"",0)</f>
        <v>0</v>
      </c>
      <c r="B1015" s="133" t="s">
        <v>246</v>
      </c>
      <c r="C1015" s="137" t="s">
        <v>202</v>
      </c>
      <c r="D1015" s="163" t="s">
        <v>219</v>
      </c>
      <c r="E1015" s="163" t="s">
        <v>206</v>
      </c>
      <c r="F1015" s="134">
        <v>5</v>
      </c>
    </row>
    <row r="1016" spans="1:6" x14ac:dyDescent="0.3">
      <c r="A1016" s="7">
        <f>_xlfn.XLOOKUP(ColombiaClientes6[[#This Row],[Client]],VpsClientes[Client],VpsClientes[VP],"",0)</f>
        <v>0</v>
      </c>
      <c r="B1016" s="133" t="s">
        <v>246</v>
      </c>
      <c r="C1016" s="137" t="s">
        <v>203</v>
      </c>
      <c r="D1016" s="163" t="s">
        <v>219</v>
      </c>
      <c r="E1016" s="163" t="s">
        <v>206</v>
      </c>
      <c r="F1016" s="134">
        <v>0</v>
      </c>
    </row>
    <row r="1017" spans="1:6" x14ac:dyDescent="0.3">
      <c r="A1017" s="7">
        <f>_xlfn.XLOOKUP(ColombiaClientes6[[#This Row],[Client]],VpsClientes[Client],VpsClientes[VP],"",0)</f>
        <v>0</v>
      </c>
      <c r="B1017" s="133" t="s">
        <v>246</v>
      </c>
      <c r="C1017" s="137" t="s">
        <v>205</v>
      </c>
      <c r="D1017" s="163" t="s">
        <v>219</v>
      </c>
      <c r="E1017" s="163" t="s">
        <v>206</v>
      </c>
      <c r="F1017" s="134">
        <v>28</v>
      </c>
    </row>
    <row r="1018" spans="1:6" hidden="1" x14ac:dyDescent="0.3">
      <c r="A1018" s="7" t="str">
        <f>_xlfn.XLOOKUP(ColombiaClientes6[[#This Row],[Client]],VpsClientes[Client],VpsClientes[VP],"",0)</f>
        <v>Moises Saavedra Garcia</v>
      </c>
      <c r="B1018" s="133" t="s">
        <v>110</v>
      </c>
      <c r="C1018" s="137" t="s">
        <v>192</v>
      </c>
      <c r="D1018" s="163" t="s">
        <v>219</v>
      </c>
      <c r="E1018" s="163" t="s">
        <v>206</v>
      </c>
      <c r="F1018" s="134">
        <v>54</v>
      </c>
    </row>
    <row r="1019" spans="1:6" x14ac:dyDescent="0.3">
      <c r="A1019" s="7">
        <f>_xlfn.XLOOKUP(ColombiaClientes6[[#This Row],[Client]],VpsClientes[Client],VpsClientes[VP],"",0)</f>
        <v>0</v>
      </c>
      <c r="B1019" s="133" t="s">
        <v>246</v>
      </c>
      <c r="C1019" s="137" t="s">
        <v>237</v>
      </c>
      <c r="D1019" s="163" t="s">
        <v>219</v>
      </c>
      <c r="E1019" s="163" t="s">
        <v>206</v>
      </c>
      <c r="F1019" s="134">
        <v>0</v>
      </c>
    </row>
    <row r="1020" spans="1:6" x14ac:dyDescent="0.3">
      <c r="A1020" s="7" t="str">
        <f>_xlfn.XLOOKUP(ColombiaClientes6[[#This Row],[Client]],VpsClientes[Client],VpsClientes[VP],"",0)</f>
        <v>Juan Camilo Granados</v>
      </c>
      <c r="B1020" s="133" t="s">
        <v>247</v>
      </c>
      <c r="C1020" s="137" t="s">
        <v>92</v>
      </c>
      <c r="D1020" s="163" t="s">
        <v>90</v>
      </c>
      <c r="E1020" s="163" t="s">
        <v>91</v>
      </c>
      <c r="F1020" s="134">
        <v>360</v>
      </c>
    </row>
    <row r="1021" spans="1:6" x14ac:dyDescent="0.3">
      <c r="A1021" s="7" t="str">
        <f>_xlfn.XLOOKUP(ColombiaClientes6[[#This Row],[Client]],VpsClientes[Client],VpsClientes[VP],"",0)</f>
        <v>Juan Camilo Granados</v>
      </c>
      <c r="B1021" s="133" t="s">
        <v>247</v>
      </c>
      <c r="C1021" s="137" t="s">
        <v>191</v>
      </c>
      <c r="D1021" s="163" t="s">
        <v>90</v>
      </c>
      <c r="E1021" s="163" t="s">
        <v>91</v>
      </c>
      <c r="F1021" s="134">
        <v>460</v>
      </c>
    </row>
    <row r="1022" spans="1:6" hidden="1" x14ac:dyDescent="0.3">
      <c r="A1022" s="7" t="str">
        <f>_xlfn.XLOOKUP(ColombiaClientes6[[#This Row],[Client]],VpsClientes[Client],VpsClientes[VP],"",0)</f>
        <v>Juan Granados Castillo</v>
      </c>
      <c r="B1022" s="133" t="s">
        <v>134</v>
      </c>
      <c r="C1022" s="137" t="s">
        <v>192</v>
      </c>
      <c r="D1022" s="163" t="s">
        <v>219</v>
      </c>
      <c r="E1022" s="163" t="s">
        <v>206</v>
      </c>
      <c r="F1022" s="134">
        <v>39</v>
      </c>
    </row>
    <row r="1023" spans="1:6" hidden="1" x14ac:dyDescent="0.3">
      <c r="A1023" s="7" t="str">
        <f>_xlfn.XLOOKUP(ColombiaClientes6[[#This Row],[Client]],VpsClientes[Client],VpsClientes[VP],"",0)</f>
        <v>Jhonatan Izquierdo Rico</v>
      </c>
      <c r="B1023" s="133" t="s">
        <v>157</v>
      </c>
      <c r="C1023" s="137" t="s">
        <v>192</v>
      </c>
      <c r="D1023" s="163" t="s">
        <v>219</v>
      </c>
      <c r="E1023" s="163" t="s">
        <v>206</v>
      </c>
      <c r="F1023" s="134">
        <v>31</v>
      </c>
    </row>
    <row r="1024" spans="1:6" x14ac:dyDescent="0.3">
      <c r="A1024" s="7" t="str">
        <f>_xlfn.XLOOKUP(ColombiaClientes6[[#This Row],[Client]],VpsClientes[Client],VpsClientes[VP],"",0)</f>
        <v>Juan Camilo Granados</v>
      </c>
      <c r="B1024" s="133" t="s">
        <v>247</v>
      </c>
      <c r="C1024" s="137" t="s">
        <v>192</v>
      </c>
      <c r="D1024" s="163" t="s">
        <v>90</v>
      </c>
      <c r="E1024" s="163" t="s">
        <v>91</v>
      </c>
      <c r="F1024" s="134">
        <v>1046</v>
      </c>
    </row>
    <row r="1025" spans="1:6" x14ac:dyDescent="0.3">
      <c r="A1025" s="7" t="str">
        <f>_xlfn.XLOOKUP(ColombiaClientes6[[#This Row],[Client]],VpsClientes[Client],VpsClientes[VP],"",0)</f>
        <v>Juan Camilo Granados</v>
      </c>
      <c r="B1025" s="133" t="s">
        <v>247</v>
      </c>
      <c r="C1025" s="137" t="s">
        <v>194</v>
      </c>
      <c r="D1025" s="163" t="s">
        <v>90</v>
      </c>
      <c r="E1025" s="163" t="s">
        <v>91</v>
      </c>
      <c r="F1025" s="134">
        <v>884</v>
      </c>
    </row>
    <row r="1026" spans="1:6" hidden="1" x14ac:dyDescent="0.3">
      <c r="A1026" s="7" t="str">
        <f>_xlfn.XLOOKUP(ColombiaClientes6[[#This Row],[Client]],VpsClientes[Client],VpsClientes[VP],"",0)</f>
        <v>Hector Muraira Garza</v>
      </c>
      <c r="B1026" s="133" t="s">
        <v>167</v>
      </c>
      <c r="C1026" s="137" t="s">
        <v>192</v>
      </c>
      <c r="D1026" s="163" t="s">
        <v>219</v>
      </c>
      <c r="E1026" s="163" t="s">
        <v>206</v>
      </c>
      <c r="F1026" s="134">
        <v>16</v>
      </c>
    </row>
    <row r="1027" spans="1:6" hidden="1" x14ac:dyDescent="0.3">
      <c r="A1027" s="7" t="str">
        <f>_xlfn.XLOOKUP(ColombiaClientes6[[#This Row],[Client]],VpsClientes[Client],VpsClientes[VP],"",0)</f>
        <v>Moises Saavedra Garcia</v>
      </c>
      <c r="B1027" s="133" t="s">
        <v>201</v>
      </c>
      <c r="C1027" s="137" t="s">
        <v>192</v>
      </c>
      <c r="D1027" s="163" t="s">
        <v>219</v>
      </c>
      <c r="E1027" s="163" t="s">
        <v>206</v>
      </c>
      <c r="F1027" s="134">
        <v>14</v>
      </c>
    </row>
    <row r="1028" spans="1:6" x14ac:dyDescent="0.3">
      <c r="A1028" s="7" t="str">
        <f>_xlfn.XLOOKUP(ColombiaClientes6[[#This Row],[Client]],VpsClientes[Client],VpsClientes[VP],"",0)</f>
        <v>Juan Camilo Granados</v>
      </c>
      <c r="B1028" s="133" t="s">
        <v>247</v>
      </c>
      <c r="C1028" s="137" t="s">
        <v>202</v>
      </c>
      <c r="D1028" s="163" t="s">
        <v>90</v>
      </c>
      <c r="E1028" s="163" t="s">
        <v>91</v>
      </c>
      <c r="F1028" s="134">
        <v>566</v>
      </c>
    </row>
    <row r="1029" spans="1:6" x14ac:dyDescent="0.3">
      <c r="A1029" s="7" t="str">
        <f>_xlfn.XLOOKUP(ColombiaClientes6[[#This Row],[Client]],VpsClientes[Client],VpsClientes[VP],"",0)</f>
        <v>Juan Camilo Granados</v>
      </c>
      <c r="B1029" s="133" t="s">
        <v>247</v>
      </c>
      <c r="C1029" s="137" t="s">
        <v>203</v>
      </c>
      <c r="D1029" s="163" t="s">
        <v>90</v>
      </c>
      <c r="E1029" s="163" t="s">
        <v>91</v>
      </c>
      <c r="F1029" s="134">
        <v>524</v>
      </c>
    </row>
    <row r="1030" spans="1:6" x14ac:dyDescent="0.3">
      <c r="A1030" s="7" t="str">
        <f>_xlfn.XLOOKUP(ColombiaClientes6[[#This Row],[Client]],VpsClientes[Client],VpsClientes[VP],"",0)</f>
        <v>Juan Camilo Granados</v>
      </c>
      <c r="B1030" s="133" t="s">
        <v>247</v>
      </c>
      <c r="C1030" s="137" t="s">
        <v>205</v>
      </c>
      <c r="D1030" s="163" t="s">
        <v>90</v>
      </c>
      <c r="E1030" s="163" t="s">
        <v>91</v>
      </c>
      <c r="F1030" s="134">
        <v>417</v>
      </c>
    </row>
    <row r="1031" spans="1:6" x14ac:dyDescent="0.3">
      <c r="A1031" s="7" t="str">
        <f>_xlfn.XLOOKUP(ColombiaClientes6[[#This Row],[Client]],VpsClientes[Client],VpsClientes[VP],"",0)</f>
        <v>Juan Camilo Granados</v>
      </c>
      <c r="B1031" s="133" t="s">
        <v>247</v>
      </c>
      <c r="C1031" s="137" t="s">
        <v>237</v>
      </c>
      <c r="D1031" s="163" t="s">
        <v>90</v>
      </c>
      <c r="E1031" s="163" t="s">
        <v>91</v>
      </c>
      <c r="F1031" s="134">
        <v>36</v>
      </c>
    </row>
    <row r="1032" spans="1:6" x14ac:dyDescent="0.3">
      <c r="A1032" s="7" t="str">
        <f>_xlfn.XLOOKUP(ColombiaClientes6[[#This Row],[Client]],VpsClientes[Client],VpsClientes[VP],"",0)</f>
        <v>Juan Camilo Granados</v>
      </c>
      <c r="B1032" s="133" t="s">
        <v>247</v>
      </c>
      <c r="C1032" s="137" t="s">
        <v>92</v>
      </c>
      <c r="D1032" s="163" t="s">
        <v>90</v>
      </c>
      <c r="E1032" s="163" t="s">
        <v>206</v>
      </c>
      <c r="F1032" s="134">
        <v>2674</v>
      </c>
    </row>
    <row r="1033" spans="1:6" x14ac:dyDescent="0.3">
      <c r="A1033" s="7" t="str">
        <f>_xlfn.XLOOKUP(ColombiaClientes6[[#This Row],[Client]],VpsClientes[Client],VpsClientes[VP],"",0)</f>
        <v>Juan Camilo Granados</v>
      </c>
      <c r="B1033" s="133" t="s">
        <v>247</v>
      </c>
      <c r="C1033" s="137" t="s">
        <v>191</v>
      </c>
      <c r="D1033" s="163" t="s">
        <v>90</v>
      </c>
      <c r="E1033" s="163" t="s">
        <v>206</v>
      </c>
      <c r="F1033" s="134">
        <v>2360</v>
      </c>
    </row>
    <row r="1034" spans="1:6" x14ac:dyDescent="0.3">
      <c r="A1034" s="7" t="str">
        <f>_xlfn.XLOOKUP(ColombiaClientes6[[#This Row],[Client]],VpsClientes[Client],VpsClientes[VP],"",0)</f>
        <v>Juan Camilo Granados</v>
      </c>
      <c r="B1034" s="133" t="s">
        <v>247</v>
      </c>
      <c r="C1034" s="137" t="s">
        <v>192</v>
      </c>
      <c r="D1034" s="163" t="s">
        <v>90</v>
      </c>
      <c r="E1034" s="163" t="s">
        <v>206</v>
      </c>
      <c r="F1034" s="134">
        <v>2095</v>
      </c>
    </row>
    <row r="1035" spans="1:6" x14ac:dyDescent="0.3">
      <c r="A1035" s="7" t="str">
        <f>_xlfn.XLOOKUP(ColombiaClientes6[[#This Row],[Client]],VpsClientes[Client],VpsClientes[VP],"",0)</f>
        <v>Juan Camilo Granados</v>
      </c>
      <c r="B1035" s="133" t="s">
        <v>247</v>
      </c>
      <c r="C1035" s="137" t="s">
        <v>194</v>
      </c>
      <c r="D1035" s="163" t="s">
        <v>90</v>
      </c>
      <c r="E1035" s="163" t="s">
        <v>206</v>
      </c>
      <c r="F1035" s="134">
        <v>2199</v>
      </c>
    </row>
    <row r="1036" spans="1:6" x14ac:dyDescent="0.3">
      <c r="A1036" s="7" t="str">
        <f>_xlfn.XLOOKUP(ColombiaClientes6[[#This Row],[Client]],VpsClientes[Client],VpsClientes[VP],"",0)</f>
        <v>Juan Camilo Granados</v>
      </c>
      <c r="B1036" s="133" t="s">
        <v>247</v>
      </c>
      <c r="C1036" s="137" t="s">
        <v>202</v>
      </c>
      <c r="D1036" s="163" t="s">
        <v>90</v>
      </c>
      <c r="E1036" s="163" t="s">
        <v>206</v>
      </c>
      <c r="F1036" s="134">
        <v>1942</v>
      </c>
    </row>
    <row r="1037" spans="1:6" x14ac:dyDescent="0.3">
      <c r="A1037" s="7" t="str">
        <f>_xlfn.XLOOKUP(ColombiaClientes6[[#This Row],[Client]],VpsClientes[Client],VpsClientes[VP],"",0)</f>
        <v>Juan Camilo Granados</v>
      </c>
      <c r="B1037" s="133" t="s">
        <v>247</v>
      </c>
      <c r="C1037" s="137" t="s">
        <v>203</v>
      </c>
      <c r="D1037" s="163" t="s">
        <v>90</v>
      </c>
      <c r="E1037" s="163" t="s">
        <v>206</v>
      </c>
      <c r="F1037" s="134">
        <v>1530</v>
      </c>
    </row>
    <row r="1038" spans="1:6" hidden="1" x14ac:dyDescent="0.3">
      <c r="A1038" s="7" t="str">
        <f>_xlfn.XLOOKUP(ColombiaClientes6[[#This Row],[Client]],VpsClientes[Client],VpsClientes[VP],"",0)</f>
        <v>Jhonatan Izquierdo Rico</v>
      </c>
      <c r="B1038" s="133" t="s">
        <v>104</v>
      </c>
      <c r="C1038" s="137" t="s">
        <v>192</v>
      </c>
      <c r="D1038" s="163" t="s">
        <v>219</v>
      </c>
      <c r="E1038" s="163" t="s">
        <v>206</v>
      </c>
      <c r="F1038" s="134">
        <v>0</v>
      </c>
    </row>
    <row r="1039" spans="1:6" hidden="1" x14ac:dyDescent="0.3">
      <c r="A1039" s="7" t="str">
        <f>_xlfn.XLOOKUP(ColombiaClientes6[[#This Row],[Client]],VpsClientes[Client],VpsClientes[VP],"",0)</f>
        <v>Hector Muraira Garza</v>
      </c>
      <c r="B1039" s="139" t="s">
        <v>140</v>
      </c>
      <c r="C1039" s="10" t="s">
        <v>194</v>
      </c>
      <c r="D1039" s="163" t="s">
        <v>219</v>
      </c>
      <c r="E1039" s="163" t="s">
        <v>206</v>
      </c>
      <c r="F1039" s="141">
        <v>6952</v>
      </c>
    </row>
    <row r="1040" spans="1:6" hidden="1" x14ac:dyDescent="0.3">
      <c r="A1040" s="7" t="str">
        <f>_xlfn.XLOOKUP(ColombiaClientes6[[#This Row],[Client]],VpsClientes[Client],VpsClientes[VP],"",0)</f>
        <v>Javier Orjuela Sarmiento</v>
      </c>
      <c r="B1040" s="139" t="s">
        <v>133</v>
      </c>
      <c r="C1040" s="137" t="s">
        <v>194</v>
      </c>
      <c r="D1040" s="163" t="s">
        <v>219</v>
      </c>
      <c r="E1040" s="163" t="s">
        <v>206</v>
      </c>
      <c r="F1040" s="141">
        <v>2244</v>
      </c>
    </row>
    <row r="1041" spans="1:6" hidden="1" x14ac:dyDescent="0.3">
      <c r="A1041" s="7" t="str">
        <f>_xlfn.XLOOKUP(ColombiaClientes6[[#This Row],[Client]],VpsClientes[Client],VpsClientes[VP],"",0)</f>
        <v>Hector Muraira Garza</v>
      </c>
      <c r="B1041" s="139" t="s">
        <v>164</v>
      </c>
      <c r="C1041" s="137" t="s">
        <v>194</v>
      </c>
      <c r="D1041" s="163" t="s">
        <v>219</v>
      </c>
      <c r="E1041" s="163" t="s">
        <v>206</v>
      </c>
      <c r="F1041" s="141">
        <v>2009</v>
      </c>
    </row>
    <row r="1042" spans="1:6" hidden="1" x14ac:dyDescent="0.3">
      <c r="A1042" s="7" t="str">
        <f>_xlfn.XLOOKUP(ColombiaClientes6[[#This Row],[Client]],VpsClientes[Client],VpsClientes[VP],"",0)</f>
        <v>Martha Guzman Arango</v>
      </c>
      <c r="B1042" s="139" t="s">
        <v>199</v>
      </c>
      <c r="C1042" s="137" t="s">
        <v>194</v>
      </c>
      <c r="D1042" s="163" t="s">
        <v>219</v>
      </c>
      <c r="E1042" s="163" t="s">
        <v>206</v>
      </c>
      <c r="F1042" s="141">
        <v>1157</v>
      </c>
    </row>
    <row r="1043" spans="1:6" hidden="1" x14ac:dyDescent="0.3">
      <c r="A1043" s="7" t="str">
        <f>_xlfn.XLOOKUP(ColombiaClientes6[[#This Row],[Client]],VpsClientes[Client],VpsClientes[VP],"",0)</f>
        <v>Carlos Beltran Hernandez</v>
      </c>
      <c r="B1043" s="139" t="s">
        <v>93</v>
      </c>
      <c r="C1043" s="137" t="s">
        <v>194</v>
      </c>
      <c r="D1043" s="163" t="s">
        <v>219</v>
      </c>
      <c r="E1043" s="163" t="s">
        <v>206</v>
      </c>
      <c r="F1043" s="141">
        <v>878</v>
      </c>
    </row>
    <row r="1044" spans="1:6" x14ac:dyDescent="0.3">
      <c r="A1044" s="7" t="str">
        <f>_xlfn.XLOOKUP(ColombiaClientes6[[#This Row],[Client]],VpsClientes[Client],VpsClientes[VP],"",0)</f>
        <v>Juan Camilo Granados</v>
      </c>
      <c r="B1044" s="139" t="s">
        <v>247</v>
      </c>
      <c r="C1044" s="137" t="s">
        <v>205</v>
      </c>
      <c r="D1044" s="163" t="s">
        <v>90</v>
      </c>
      <c r="E1044" s="163" t="s">
        <v>206</v>
      </c>
      <c r="F1044" s="141">
        <v>1200</v>
      </c>
    </row>
    <row r="1045" spans="1:6" x14ac:dyDescent="0.3">
      <c r="A1045" s="7" t="str">
        <f>_xlfn.XLOOKUP(ColombiaClientes6[[#This Row],[Client]],VpsClientes[Client],VpsClientes[VP],"",0)</f>
        <v>Juan Camilo Granados</v>
      </c>
      <c r="B1045" s="139" t="s">
        <v>247</v>
      </c>
      <c r="C1045" s="137" t="s">
        <v>237</v>
      </c>
      <c r="D1045" s="163" t="s">
        <v>90</v>
      </c>
      <c r="E1045" s="163" t="s">
        <v>206</v>
      </c>
      <c r="F1045" s="141">
        <v>428</v>
      </c>
    </row>
    <row r="1046" spans="1:6" x14ac:dyDescent="0.3">
      <c r="A1046" s="7" t="str">
        <f>_xlfn.XLOOKUP(ColombiaClientes6[[#This Row],[Client]],VpsClientes[Client],VpsClientes[VP],"",0)</f>
        <v>Juan Camilo Granados</v>
      </c>
      <c r="B1046" s="139" t="s">
        <v>247</v>
      </c>
      <c r="C1046" s="137" t="s">
        <v>92</v>
      </c>
      <c r="D1046" s="163" t="s">
        <v>219</v>
      </c>
      <c r="E1046" s="163" t="s">
        <v>91</v>
      </c>
      <c r="F1046" s="141">
        <v>887</v>
      </c>
    </row>
    <row r="1047" spans="1:6" hidden="1" x14ac:dyDescent="0.3">
      <c r="A1047" s="7" t="str">
        <f>_xlfn.XLOOKUP(ColombiaClientes6[[#This Row],[Client]],VpsClientes[Client],VpsClientes[VP],"",0)</f>
        <v>Hector Muraira Garza</v>
      </c>
      <c r="B1047" s="139" t="s">
        <v>132</v>
      </c>
      <c r="C1047" s="137" t="s">
        <v>194</v>
      </c>
      <c r="D1047" s="163" t="s">
        <v>219</v>
      </c>
      <c r="E1047" s="163" t="s">
        <v>206</v>
      </c>
      <c r="F1047" s="141">
        <v>300</v>
      </c>
    </row>
    <row r="1048" spans="1:6" x14ac:dyDescent="0.3">
      <c r="A1048" s="7" t="str">
        <f>_xlfn.XLOOKUP(ColombiaClientes6[[#This Row],[Client]],VpsClientes[Client],VpsClientes[VP],"",0)</f>
        <v>Juan Camilo Granados</v>
      </c>
      <c r="B1048" s="139" t="s">
        <v>247</v>
      </c>
      <c r="C1048" s="137" t="s">
        <v>191</v>
      </c>
      <c r="D1048" s="163" t="s">
        <v>219</v>
      </c>
      <c r="E1048" s="163" t="s">
        <v>91</v>
      </c>
      <c r="F1048" s="141">
        <v>693</v>
      </c>
    </row>
    <row r="1049" spans="1:6" hidden="1" x14ac:dyDescent="0.3">
      <c r="A1049" s="7" t="str">
        <f>_xlfn.XLOOKUP(ColombiaClientes6[[#This Row],[Client]],VpsClientes[Client],VpsClientes[VP],"",0)</f>
        <v>Ludy Torres Benitez</v>
      </c>
      <c r="B1049" s="139" t="s">
        <v>95</v>
      </c>
      <c r="C1049" s="137" t="s">
        <v>194</v>
      </c>
      <c r="D1049" s="163" t="s">
        <v>219</v>
      </c>
      <c r="E1049" s="163" t="s">
        <v>206</v>
      </c>
      <c r="F1049" s="141">
        <v>252</v>
      </c>
    </row>
    <row r="1050" spans="1:6" x14ac:dyDescent="0.3">
      <c r="A1050" s="7" t="str">
        <f>_xlfn.XLOOKUP(ColombiaClientes6[[#This Row],[Client]],VpsClientes[Client],VpsClientes[VP],"",0)</f>
        <v>Juan Camilo Granados</v>
      </c>
      <c r="B1050" s="139" t="s">
        <v>247</v>
      </c>
      <c r="C1050" s="137" t="s">
        <v>192</v>
      </c>
      <c r="D1050" s="163" t="s">
        <v>219</v>
      </c>
      <c r="E1050" s="163" t="s">
        <v>91</v>
      </c>
      <c r="F1050" s="141">
        <v>575</v>
      </c>
    </row>
    <row r="1051" spans="1:6" x14ac:dyDescent="0.3">
      <c r="A1051" s="7" t="str">
        <f>_xlfn.XLOOKUP(ColombiaClientes6[[#This Row],[Client]],VpsClientes[Client],VpsClientes[VP],"",0)</f>
        <v>Juan Camilo Granados</v>
      </c>
      <c r="B1051" s="139" t="s">
        <v>247</v>
      </c>
      <c r="C1051" s="137" t="s">
        <v>194</v>
      </c>
      <c r="D1051" s="163" t="s">
        <v>219</v>
      </c>
      <c r="E1051" s="163" t="s">
        <v>91</v>
      </c>
      <c r="F1051" s="141">
        <v>634</v>
      </c>
    </row>
    <row r="1052" spans="1:6" x14ac:dyDescent="0.3">
      <c r="A1052" s="7" t="str">
        <f>_xlfn.XLOOKUP(ColombiaClientes6[[#This Row],[Client]],VpsClientes[Client],VpsClientes[VP],"",0)</f>
        <v>Juan Camilo Granados</v>
      </c>
      <c r="B1052" s="139" t="s">
        <v>247</v>
      </c>
      <c r="C1052" s="137" t="s">
        <v>202</v>
      </c>
      <c r="D1052" s="163" t="s">
        <v>219</v>
      </c>
      <c r="E1052" s="163" t="s">
        <v>91</v>
      </c>
      <c r="F1052" s="141">
        <v>534</v>
      </c>
    </row>
    <row r="1053" spans="1:6" hidden="1" x14ac:dyDescent="0.3">
      <c r="A1053" s="7" t="str">
        <f>_xlfn.XLOOKUP(ColombiaClientes6[[#This Row],[Client]],VpsClientes[Client],VpsClientes[VP],"",0)</f>
        <v>Sandra Romero Zuluaga</v>
      </c>
      <c r="B1053" s="139" t="s">
        <v>113</v>
      </c>
      <c r="C1053" s="137" t="s">
        <v>194</v>
      </c>
      <c r="D1053" s="163" t="s">
        <v>219</v>
      </c>
      <c r="E1053" s="163" t="s">
        <v>206</v>
      </c>
      <c r="F1053" s="141">
        <v>111</v>
      </c>
    </row>
    <row r="1054" spans="1:6" hidden="1" x14ac:dyDescent="0.3">
      <c r="A1054" s="7" t="str">
        <f>_xlfn.XLOOKUP(ColombiaClientes6[[#This Row],[Client]],VpsClientes[Client],VpsClientes[VP],"",0)</f>
        <v>Moises Saavedra Garcia</v>
      </c>
      <c r="B1054" s="139" t="s">
        <v>201</v>
      </c>
      <c r="C1054" s="137" t="s">
        <v>194</v>
      </c>
      <c r="D1054" s="163" t="s">
        <v>219</v>
      </c>
      <c r="E1054" s="163" t="s">
        <v>206</v>
      </c>
      <c r="F1054" s="141">
        <v>106</v>
      </c>
    </row>
    <row r="1055" spans="1:6" x14ac:dyDescent="0.3">
      <c r="A1055" s="7" t="str">
        <f>_xlfn.XLOOKUP(ColombiaClientes6[[#This Row],[Client]],VpsClientes[Client],VpsClientes[VP],"",0)</f>
        <v>Juan Camilo Granados</v>
      </c>
      <c r="B1055" s="139" t="s">
        <v>247</v>
      </c>
      <c r="C1055" s="137" t="s">
        <v>203</v>
      </c>
      <c r="D1055" s="163" t="s">
        <v>219</v>
      </c>
      <c r="E1055" s="163" t="s">
        <v>91</v>
      </c>
      <c r="F1055" s="141">
        <v>313</v>
      </c>
    </row>
    <row r="1056" spans="1:6" x14ac:dyDescent="0.3">
      <c r="A1056" s="7" t="str">
        <f>_xlfn.XLOOKUP(ColombiaClientes6[[#This Row],[Client]],VpsClientes[Client],VpsClientes[VP],"",0)</f>
        <v>Juan Camilo Granados</v>
      </c>
      <c r="B1056" s="139" t="s">
        <v>247</v>
      </c>
      <c r="C1056" s="137" t="s">
        <v>205</v>
      </c>
      <c r="D1056" s="163" t="s">
        <v>219</v>
      </c>
      <c r="E1056" s="163" t="s">
        <v>91</v>
      </c>
      <c r="F1056" s="141">
        <v>519</v>
      </c>
    </row>
    <row r="1057" spans="1:6" x14ac:dyDescent="0.3">
      <c r="A1057" s="7" t="str">
        <f>_xlfn.XLOOKUP(ColombiaClientes6[[#This Row],[Client]],VpsClientes[Client],VpsClientes[VP],"",0)</f>
        <v>Juan Camilo Granados</v>
      </c>
      <c r="B1057" s="139" t="s">
        <v>247</v>
      </c>
      <c r="C1057" s="137" t="s">
        <v>237</v>
      </c>
      <c r="D1057" s="163" t="s">
        <v>219</v>
      </c>
      <c r="E1057" s="163" t="s">
        <v>91</v>
      </c>
      <c r="F1057" s="141">
        <v>54</v>
      </c>
    </row>
    <row r="1058" spans="1:6" hidden="1" x14ac:dyDescent="0.3">
      <c r="A1058" s="7" t="str">
        <f>_xlfn.XLOOKUP(ColombiaClientes6[[#This Row],[Client]],VpsClientes[Client],VpsClientes[VP],"",0)</f>
        <v>Jhonatan Izquierdo Rico</v>
      </c>
      <c r="B1058" s="139" t="s">
        <v>157</v>
      </c>
      <c r="C1058" s="137" t="s">
        <v>194</v>
      </c>
      <c r="D1058" s="163" t="s">
        <v>219</v>
      </c>
      <c r="E1058" s="163" t="s">
        <v>206</v>
      </c>
      <c r="F1058" s="141">
        <v>65</v>
      </c>
    </row>
    <row r="1059" spans="1:6" x14ac:dyDescent="0.3">
      <c r="A1059" s="7" t="str">
        <f>_xlfn.XLOOKUP(ColombiaClientes6[[#This Row],[Client]],VpsClientes[Client],VpsClientes[VP],"",0)</f>
        <v>Juan Camilo Granados</v>
      </c>
      <c r="B1059" s="139" t="s">
        <v>247</v>
      </c>
      <c r="C1059" s="137" t="s">
        <v>92</v>
      </c>
      <c r="D1059" s="163" t="s">
        <v>219</v>
      </c>
      <c r="E1059" s="163" t="s">
        <v>206</v>
      </c>
      <c r="F1059" s="141">
        <v>539</v>
      </c>
    </row>
    <row r="1060" spans="1:6" x14ac:dyDescent="0.3">
      <c r="A1060" s="7" t="str">
        <f>_xlfn.XLOOKUP(ColombiaClientes6[[#This Row],[Client]],VpsClientes[Client],VpsClientes[VP],"",0)</f>
        <v>Juan Camilo Granados</v>
      </c>
      <c r="B1060" s="139" t="s">
        <v>247</v>
      </c>
      <c r="C1060" s="137" t="s">
        <v>191</v>
      </c>
      <c r="D1060" s="163" t="s">
        <v>219</v>
      </c>
      <c r="E1060" s="163" t="s">
        <v>206</v>
      </c>
      <c r="F1060" s="141">
        <v>456</v>
      </c>
    </row>
    <row r="1061" spans="1:6" x14ac:dyDescent="0.3">
      <c r="A1061" s="7" t="str">
        <f>_xlfn.XLOOKUP(ColombiaClientes6[[#This Row],[Client]],VpsClientes[Client],VpsClientes[VP],"",0)</f>
        <v>Juan Camilo Granados</v>
      </c>
      <c r="B1061" s="139" t="s">
        <v>247</v>
      </c>
      <c r="C1061" s="137" t="s">
        <v>192</v>
      </c>
      <c r="D1061" s="163" t="s">
        <v>219</v>
      </c>
      <c r="E1061" s="163" t="s">
        <v>206</v>
      </c>
      <c r="F1061" s="141">
        <v>787</v>
      </c>
    </row>
    <row r="1062" spans="1:6" hidden="1" x14ac:dyDescent="0.3">
      <c r="A1062" s="7" t="str">
        <f>_xlfn.XLOOKUP(ColombiaClientes6[[#This Row],[Client]],VpsClientes[Client],VpsClientes[VP],"",0)</f>
        <v>Moises Saavedra Garcia</v>
      </c>
      <c r="B1062" s="139" t="s">
        <v>110</v>
      </c>
      <c r="C1062" s="137" t="s">
        <v>194</v>
      </c>
      <c r="D1062" s="163" t="s">
        <v>219</v>
      </c>
      <c r="E1062" s="163" t="s">
        <v>206</v>
      </c>
      <c r="F1062" s="141">
        <v>37</v>
      </c>
    </row>
    <row r="1063" spans="1:6" x14ac:dyDescent="0.3">
      <c r="A1063" s="7" t="str">
        <f>_xlfn.XLOOKUP(ColombiaClientes6[[#This Row],[Client]],VpsClientes[Client],VpsClientes[VP],"",0)</f>
        <v>Juan Camilo Granados</v>
      </c>
      <c r="B1063" s="139" t="s">
        <v>247</v>
      </c>
      <c r="C1063" s="137" t="s">
        <v>194</v>
      </c>
      <c r="D1063" s="163" t="s">
        <v>219</v>
      </c>
      <c r="E1063" s="163" t="s">
        <v>206</v>
      </c>
      <c r="F1063" s="141">
        <v>452</v>
      </c>
    </row>
    <row r="1064" spans="1:6" hidden="1" x14ac:dyDescent="0.3">
      <c r="A1064" s="7" t="str">
        <f>_xlfn.XLOOKUP(ColombiaClientes6[[#This Row],[Client]],VpsClientes[Client],VpsClientes[VP],"",0)</f>
        <v>Hector Muraira Garza</v>
      </c>
      <c r="B1064" s="139" t="s">
        <v>167</v>
      </c>
      <c r="C1064" s="137" t="s">
        <v>194</v>
      </c>
      <c r="D1064" s="163" t="s">
        <v>219</v>
      </c>
      <c r="E1064" s="163" t="s">
        <v>206</v>
      </c>
      <c r="F1064" s="141">
        <v>27</v>
      </c>
    </row>
    <row r="1065" spans="1:6" x14ac:dyDescent="0.3">
      <c r="A1065" s="7" t="str">
        <f>_xlfn.XLOOKUP(ColombiaClientes6[[#This Row],[Client]],VpsClientes[Client],VpsClientes[VP],"",0)</f>
        <v>Juan Camilo Granados</v>
      </c>
      <c r="B1065" s="139" t="s">
        <v>247</v>
      </c>
      <c r="C1065" s="137" t="s">
        <v>202</v>
      </c>
      <c r="D1065" s="163" t="s">
        <v>219</v>
      </c>
      <c r="E1065" s="163" t="s">
        <v>206</v>
      </c>
      <c r="F1065" s="141">
        <v>218</v>
      </c>
    </row>
    <row r="1066" spans="1:6" x14ac:dyDescent="0.3">
      <c r="A1066" s="7" t="str">
        <f>_xlfn.XLOOKUP(ColombiaClientes6[[#This Row],[Client]],VpsClientes[Client],VpsClientes[VP],"",0)</f>
        <v>Juan Camilo Granados</v>
      </c>
      <c r="B1066" s="139" t="s">
        <v>247</v>
      </c>
      <c r="C1066" s="137" t="s">
        <v>203</v>
      </c>
      <c r="D1066" s="163" t="s">
        <v>219</v>
      </c>
      <c r="E1066" s="163" t="s">
        <v>206</v>
      </c>
      <c r="F1066" s="141">
        <v>214</v>
      </c>
    </row>
    <row r="1067" spans="1:6" x14ac:dyDescent="0.3">
      <c r="A1067" s="7" t="str">
        <f>_xlfn.XLOOKUP(ColombiaClientes6[[#This Row],[Client]],VpsClientes[Client],VpsClientes[VP],"",0)</f>
        <v>Juan Camilo Granados</v>
      </c>
      <c r="B1067" s="139" t="s">
        <v>247</v>
      </c>
      <c r="C1067" s="137" t="s">
        <v>205</v>
      </c>
      <c r="D1067" s="163" t="s">
        <v>219</v>
      </c>
      <c r="E1067" s="163" t="s">
        <v>206</v>
      </c>
      <c r="F1067" s="141">
        <v>152</v>
      </c>
    </row>
    <row r="1068" spans="1:6" x14ac:dyDescent="0.3">
      <c r="A1068" s="7" t="str">
        <f>_xlfn.XLOOKUP(ColombiaClientes6[[#This Row],[Client]],VpsClientes[Client],VpsClientes[VP],"",0)</f>
        <v>Juan Camilo Granados</v>
      </c>
      <c r="B1068" s="139" t="s">
        <v>247</v>
      </c>
      <c r="C1068" s="137" t="s">
        <v>237</v>
      </c>
      <c r="D1068" s="163" t="s">
        <v>219</v>
      </c>
      <c r="E1068" s="163" t="s">
        <v>206</v>
      </c>
      <c r="F1068" s="141">
        <v>8</v>
      </c>
    </row>
    <row r="1069" spans="1:6" x14ac:dyDescent="0.3">
      <c r="A1069" s="7">
        <f>_xlfn.XLOOKUP(ColombiaClientes6[[#This Row],[Client]],VpsClientes[Client],VpsClientes[VP],"",0)</f>
        <v>0</v>
      </c>
      <c r="B1069" s="139" t="s">
        <v>272</v>
      </c>
      <c r="C1069" s="137" t="s">
        <v>203</v>
      </c>
      <c r="D1069" s="163" t="s">
        <v>90</v>
      </c>
      <c r="E1069" s="163" t="s">
        <v>91</v>
      </c>
      <c r="F1069" s="141">
        <v>111</v>
      </c>
    </row>
    <row r="1070" spans="1:6" x14ac:dyDescent="0.3">
      <c r="A1070" s="7">
        <f>_xlfn.XLOOKUP(ColombiaClientes6[[#This Row],[Client]],VpsClientes[Client],VpsClientes[VP],"",0)</f>
        <v>0</v>
      </c>
      <c r="B1070" s="139" t="s">
        <v>272</v>
      </c>
      <c r="C1070" s="137" t="s">
        <v>205</v>
      </c>
      <c r="D1070" s="163" t="s">
        <v>90</v>
      </c>
      <c r="E1070" s="163" t="s">
        <v>91</v>
      </c>
      <c r="F1070" s="141">
        <v>26</v>
      </c>
    </row>
    <row r="1071" spans="1:6" hidden="1" x14ac:dyDescent="0.3">
      <c r="A1071" s="7" t="str">
        <f>_xlfn.XLOOKUP(ColombiaClientes6[[#This Row],[Client]],VpsClientes[Client],VpsClientes[VP],"",0)</f>
        <v>Carlos Castillo Figueroa</v>
      </c>
      <c r="B1071" s="139" t="s">
        <v>105</v>
      </c>
      <c r="C1071" s="137" t="s">
        <v>194</v>
      </c>
      <c r="D1071" s="163" t="s">
        <v>219</v>
      </c>
      <c r="E1071" s="163" t="s">
        <v>206</v>
      </c>
      <c r="F1071" s="141">
        <v>6</v>
      </c>
    </row>
    <row r="1072" spans="1:6" hidden="1" x14ac:dyDescent="0.3">
      <c r="A1072" s="7" t="str">
        <f>_xlfn.XLOOKUP(ColombiaClientes6[[#This Row],[Client]],VpsClientes[Client],VpsClientes[VP],"",0)</f>
        <v>Juan Granados Castillo</v>
      </c>
      <c r="B1072" s="139" t="s">
        <v>134</v>
      </c>
      <c r="C1072" s="137" t="s">
        <v>194</v>
      </c>
      <c r="D1072" s="163" t="s">
        <v>219</v>
      </c>
      <c r="E1072" s="163" t="s">
        <v>206</v>
      </c>
      <c r="F1072" s="141">
        <v>4</v>
      </c>
    </row>
    <row r="1073" spans="1:6" x14ac:dyDescent="0.3">
      <c r="A1073" s="7">
        <f>_xlfn.XLOOKUP(ColombiaClientes6[[#This Row],[Client]],VpsClientes[Client],VpsClientes[VP],"",0)</f>
        <v>0</v>
      </c>
      <c r="B1073" s="139" t="s">
        <v>272</v>
      </c>
      <c r="C1073" s="137" t="s">
        <v>203</v>
      </c>
      <c r="D1073" s="163" t="s">
        <v>90</v>
      </c>
      <c r="E1073" s="163" t="s">
        <v>206</v>
      </c>
      <c r="F1073" s="141">
        <v>40</v>
      </c>
    </row>
    <row r="1074" spans="1:6" x14ac:dyDescent="0.3">
      <c r="A1074" s="7">
        <f>_xlfn.XLOOKUP(ColombiaClientes6[[#This Row],[Client]],VpsClientes[Client],VpsClientes[VP],"",0)</f>
        <v>0</v>
      </c>
      <c r="B1074" s="139" t="s">
        <v>272</v>
      </c>
      <c r="C1074" s="137" t="s">
        <v>205</v>
      </c>
      <c r="D1074" s="163" t="s">
        <v>90</v>
      </c>
      <c r="E1074" s="163" t="s">
        <v>206</v>
      </c>
      <c r="F1074" s="141">
        <v>146</v>
      </c>
    </row>
    <row r="1075" spans="1:6" x14ac:dyDescent="0.3">
      <c r="A1075" s="7">
        <f>_xlfn.XLOOKUP(ColombiaClientes6[[#This Row],[Client]],VpsClientes[Client],VpsClientes[VP],"",0)</f>
        <v>0</v>
      </c>
      <c r="B1075" s="139" t="s">
        <v>272</v>
      </c>
      <c r="C1075" s="137" t="s">
        <v>237</v>
      </c>
      <c r="D1075" s="163" t="s">
        <v>90</v>
      </c>
      <c r="E1075" s="163" t="s">
        <v>206</v>
      </c>
      <c r="F1075" s="141">
        <v>16</v>
      </c>
    </row>
    <row r="1076" spans="1:6" hidden="1" x14ac:dyDescent="0.3">
      <c r="A1076" s="7" t="str">
        <f>_xlfn.XLOOKUP(ColombiaClientes6[[#This Row],[Client]],VpsClientes[Client],VpsClientes[VP],"",0)</f>
        <v>Jhonatan Izquierdo Rico</v>
      </c>
      <c r="B1076" s="139" t="s">
        <v>104</v>
      </c>
      <c r="C1076" s="137" t="s">
        <v>194</v>
      </c>
      <c r="D1076" s="163" t="s">
        <v>219</v>
      </c>
      <c r="E1076" s="163" t="s">
        <v>206</v>
      </c>
      <c r="F1076" s="141">
        <v>0</v>
      </c>
    </row>
    <row r="1077" spans="1:6" hidden="1" x14ac:dyDescent="0.3">
      <c r="A1077" s="7" t="str">
        <f>_xlfn.XLOOKUP(ColombiaClientes6[[#This Row],[Client]],VpsClientes[Client],VpsClientes[VP],"",0)</f>
        <v>Carlos Beltran Hernandez</v>
      </c>
      <c r="B1077" s="144" t="s">
        <v>93</v>
      </c>
      <c r="C1077" s="10" t="s">
        <v>202</v>
      </c>
      <c r="D1077" s="163" t="s">
        <v>219</v>
      </c>
      <c r="E1077" s="163" t="s">
        <v>206</v>
      </c>
      <c r="F1077" s="146">
        <v>9102</v>
      </c>
    </row>
    <row r="1078" spans="1:6" hidden="1" x14ac:dyDescent="0.3">
      <c r="A1078" s="7" t="str">
        <f>_xlfn.XLOOKUP(ColombiaClientes6[[#This Row],[Client]],VpsClientes[Client],VpsClientes[VP],"",0)</f>
        <v>Hector Muraira Garza</v>
      </c>
      <c r="B1078" s="144" t="s">
        <v>140</v>
      </c>
      <c r="C1078" s="138" t="s">
        <v>202</v>
      </c>
      <c r="D1078" s="163" t="s">
        <v>219</v>
      </c>
      <c r="E1078" s="163" t="s">
        <v>206</v>
      </c>
      <c r="F1078" s="146">
        <v>7025</v>
      </c>
    </row>
    <row r="1079" spans="1:6" hidden="1" x14ac:dyDescent="0.3">
      <c r="A1079" s="7" t="str">
        <f>_xlfn.XLOOKUP(ColombiaClientes6[[#This Row],[Client]],VpsClientes[Client],VpsClientes[VP],"",0)</f>
        <v>Hector Muraira Garza</v>
      </c>
      <c r="B1079" s="144" t="s">
        <v>164</v>
      </c>
      <c r="C1079" s="138" t="s">
        <v>202</v>
      </c>
      <c r="D1079" s="163" t="s">
        <v>219</v>
      </c>
      <c r="E1079" s="163" t="s">
        <v>206</v>
      </c>
      <c r="F1079" s="146">
        <v>2570</v>
      </c>
    </row>
    <row r="1080" spans="1:6" hidden="1" x14ac:dyDescent="0.3">
      <c r="A1080" s="7" t="str">
        <f>_xlfn.XLOOKUP(ColombiaClientes6[[#This Row],[Client]],VpsClientes[Client],VpsClientes[VP],"",0)</f>
        <v>Martha Guzman Arango</v>
      </c>
      <c r="B1080" s="144" t="s">
        <v>199</v>
      </c>
      <c r="C1080" s="138" t="s">
        <v>202</v>
      </c>
      <c r="D1080" s="163" t="s">
        <v>219</v>
      </c>
      <c r="E1080" s="163" t="s">
        <v>206</v>
      </c>
      <c r="F1080" s="146">
        <v>1780</v>
      </c>
    </row>
    <row r="1081" spans="1:6" hidden="1" x14ac:dyDescent="0.3">
      <c r="A1081" s="7" t="str">
        <f>_xlfn.XLOOKUP(ColombiaClientes6[[#This Row],[Client]],VpsClientes[Client],VpsClientes[VP],"",0)</f>
        <v>Javier Orjuela Sarmiento</v>
      </c>
      <c r="B1081" s="144" t="s">
        <v>133</v>
      </c>
      <c r="C1081" s="138" t="s">
        <v>202</v>
      </c>
      <c r="D1081" s="163" t="s">
        <v>219</v>
      </c>
      <c r="E1081" s="163" t="s">
        <v>206</v>
      </c>
      <c r="F1081" s="146">
        <v>1758</v>
      </c>
    </row>
    <row r="1082" spans="1:6" x14ac:dyDescent="0.3">
      <c r="A1082" s="7">
        <f>_xlfn.XLOOKUP(ColombiaClientes6[[#This Row],[Client]],VpsClientes[Client],VpsClientes[VP],"",0)</f>
        <v>0</v>
      </c>
      <c r="B1082" s="144" t="s">
        <v>272</v>
      </c>
      <c r="C1082" s="138" t="s">
        <v>203</v>
      </c>
      <c r="D1082" s="163" t="s">
        <v>219</v>
      </c>
      <c r="E1082" s="163" t="s">
        <v>91</v>
      </c>
      <c r="F1082" s="146">
        <v>19</v>
      </c>
    </row>
    <row r="1083" spans="1:6" x14ac:dyDescent="0.3">
      <c r="A1083" s="7">
        <f>_xlfn.XLOOKUP(ColombiaClientes6[[#This Row],[Client]],VpsClientes[Client],VpsClientes[VP],"",0)</f>
        <v>0</v>
      </c>
      <c r="B1083" s="144" t="s">
        <v>272</v>
      </c>
      <c r="C1083" s="138" t="s">
        <v>205</v>
      </c>
      <c r="D1083" s="163" t="s">
        <v>219</v>
      </c>
      <c r="E1083" s="163" t="s">
        <v>91</v>
      </c>
      <c r="F1083" s="146">
        <v>46</v>
      </c>
    </row>
    <row r="1084" spans="1:6" x14ac:dyDescent="0.3">
      <c r="A1084" s="7">
        <f>_xlfn.XLOOKUP(ColombiaClientes6[[#This Row],[Client]],VpsClientes[Client],VpsClientes[VP],"",0)</f>
        <v>0</v>
      </c>
      <c r="B1084" s="144" t="s">
        <v>272</v>
      </c>
      <c r="C1084" s="138" t="s">
        <v>237</v>
      </c>
      <c r="D1084" s="163" t="s">
        <v>219</v>
      </c>
      <c r="E1084" s="163" t="s">
        <v>91</v>
      </c>
      <c r="F1084" s="146">
        <v>0</v>
      </c>
    </row>
    <row r="1085" spans="1:6" hidden="1" x14ac:dyDescent="0.3">
      <c r="A1085" s="7" t="str">
        <f>_xlfn.XLOOKUP(ColombiaClientes6[[#This Row],[Client]],VpsClientes[Client],VpsClientes[VP],"",0)</f>
        <v>Sandra Romero Zuluaga</v>
      </c>
      <c r="B1085" s="144" t="s">
        <v>113</v>
      </c>
      <c r="C1085" s="138" t="s">
        <v>202</v>
      </c>
      <c r="D1085" s="163" t="s">
        <v>219</v>
      </c>
      <c r="E1085" s="163" t="s">
        <v>206</v>
      </c>
      <c r="F1085" s="146">
        <v>408</v>
      </c>
    </row>
    <row r="1086" spans="1:6" x14ac:dyDescent="0.3">
      <c r="A1086" s="7">
        <f>_xlfn.XLOOKUP(ColombiaClientes6[[#This Row],[Client]],VpsClientes[Client],VpsClientes[VP],"",0)</f>
        <v>0</v>
      </c>
      <c r="B1086" s="144" t="s">
        <v>272</v>
      </c>
      <c r="C1086" s="138" t="s">
        <v>205</v>
      </c>
      <c r="D1086" s="163" t="s">
        <v>219</v>
      </c>
      <c r="E1086" s="163" t="s">
        <v>206</v>
      </c>
      <c r="F1086" s="146">
        <v>10</v>
      </c>
    </row>
    <row r="1087" spans="1:6" x14ac:dyDescent="0.3">
      <c r="A1087" s="7" t="str">
        <f>_xlfn.XLOOKUP(ColombiaClientes6[[#This Row],[Client]],VpsClientes[Client],VpsClientes[VP],"",0)</f>
        <v>Moises Saavedra Garcia</v>
      </c>
      <c r="B1087" s="144" t="s">
        <v>256</v>
      </c>
      <c r="C1087" s="138" t="s">
        <v>92</v>
      </c>
      <c r="D1087" s="163" t="s">
        <v>90</v>
      </c>
      <c r="E1087" s="163" t="s">
        <v>91</v>
      </c>
      <c r="F1087" s="146">
        <v>160</v>
      </c>
    </row>
    <row r="1088" spans="1:6" x14ac:dyDescent="0.3">
      <c r="A1088" s="7" t="str">
        <f>_xlfn.XLOOKUP(ColombiaClientes6[[#This Row],[Client]],VpsClientes[Client],VpsClientes[VP],"",0)</f>
        <v>Moises Saavedra Garcia</v>
      </c>
      <c r="B1088" s="144" t="s">
        <v>256</v>
      </c>
      <c r="C1088" s="138" t="s">
        <v>191</v>
      </c>
      <c r="D1088" s="163" t="s">
        <v>90</v>
      </c>
      <c r="E1088" s="163" t="s">
        <v>91</v>
      </c>
      <c r="F1088" s="146">
        <v>36</v>
      </c>
    </row>
    <row r="1089" spans="1:6" x14ac:dyDescent="0.3">
      <c r="A1089" s="7" t="str">
        <f>_xlfn.XLOOKUP(ColombiaClientes6[[#This Row],[Client]],VpsClientes[Client],VpsClientes[VP],"",0)</f>
        <v>Moises Saavedra Garcia</v>
      </c>
      <c r="B1089" s="144" t="s">
        <v>256</v>
      </c>
      <c r="C1089" s="138" t="s">
        <v>192</v>
      </c>
      <c r="D1089" s="163" t="s">
        <v>90</v>
      </c>
      <c r="E1089" s="163" t="s">
        <v>91</v>
      </c>
      <c r="F1089" s="146">
        <v>11</v>
      </c>
    </row>
    <row r="1090" spans="1:6" hidden="1" x14ac:dyDescent="0.3">
      <c r="A1090" s="7" t="str">
        <f>_xlfn.XLOOKUP(ColombiaClientes6[[#This Row],[Client]],VpsClientes[Client],VpsClientes[VP],"",0)</f>
        <v>Ludy Torres Benitez</v>
      </c>
      <c r="B1090" s="144" t="s">
        <v>95</v>
      </c>
      <c r="C1090" s="138" t="s">
        <v>202</v>
      </c>
      <c r="D1090" s="163" t="s">
        <v>219</v>
      </c>
      <c r="E1090" s="163" t="s">
        <v>206</v>
      </c>
      <c r="F1090" s="146">
        <v>272</v>
      </c>
    </row>
    <row r="1091" spans="1:6" hidden="1" x14ac:dyDescent="0.3">
      <c r="A1091" s="7" t="str">
        <f>_xlfn.XLOOKUP(ColombiaClientes6[[#This Row],[Client]],VpsClientes[Client],VpsClientes[VP],"",0)</f>
        <v>Hector Muraira Garza</v>
      </c>
      <c r="B1091" s="144" t="s">
        <v>132</v>
      </c>
      <c r="C1091" s="138" t="s">
        <v>202</v>
      </c>
      <c r="D1091" s="163" t="s">
        <v>219</v>
      </c>
      <c r="E1091" s="163" t="s">
        <v>206</v>
      </c>
      <c r="F1091" s="146">
        <v>226</v>
      </c>
    </row>
    <row r="1092" spans="1:6" x14ac:dyDescent="0.3">
      <c r="A1092" s="7" t="str">
        <f>_xlfn.XLOOKUP(ColombiaClientes6[[#This Row],[Client]],VpsClientes[Client],VpsClientes[VP],"",0)</f>
        <v>Moises Saavedra Garcia</v>
      </c>
      <c r="B1092" s="144" t="s">
        <v>256</v>
      </c>
      <c r="C1092" s="138" t="s">
        <v>194</v>
      </c>
      <c r="D1092" s="163" t="s">
        <v>90</v>
      </c>
      <c r="E1092" s="163" t="s">
        <v>91</v>
      </c>
      <c r="F1092" s="146">
        <v>51</v>
      </c>
    </row>
    <row r="1093" spans="1:6" x14ac:dyDescent="0.3">
      <c r="A1093" s="7" t="str">
        <f>_xlfn.XLOOKUP(ColombiaClientes6[[#This Row],[Client]],VpsClientes[Client],VpsClientes[VP],"",0)</f>
        <v>Moises Saavedra Garcia</v>
      </c>
      <c r="B1093" s="144" t="s">
        <v>256</v>
      </c>
      <c r="C1093" s="138" t="s">
        <v>202</v>
      </c>
      <c r="D1093" s="163" t="s">
        <v>90</v>
      </c>
      <c r="E1093" s="163" t="s">
        <v>91</v>
      </c>
      <c r="F1093" s="146">
        <v>47</v>
      </c>
    </row>
    <row r="1094" spans="1:6" x14ac:dyDescent="0.3">
      <c r="A1094" s="7" t="str">
        <f>_xlfn.XLOOKUP(ColombiaClientes6[[#This Row],[Client]],VpsClientes[Client],VpsClientes[VP],"",0)</f>
        <v>Moises Saavedra Garcia</v>
      </c>
      <c r="B1094" s="144" t="s">
        <v>256</v>
      </c>
      <c r="C1094" s="138" t="s">
        <v>203</v>
      </c>
      <c r="D1094" s="163" t="s">
        <v>90</v>
      </c>
      <c r="E1094" s="163" t="s">
        <v>91</v>
      </c>
      <c r="F1094" s="146">
        <v>17</v>
      </c>
    </row>
    <row r="1095" spans="1:6" x14ac:dyDescent="0.3">
      <c r="A1095" s="7" t="str">
        <f>_xlfn.XLOOKUP(ColombiaClientes6[[#This Row],[Client]],VpsClientes[Client],VpsClientes[VP],"",0)</f>
        <v>Moises Saavedra Garcia</v>
      </c>
      <c r="B1095" s="144" t="s">
        <v>256</v>
      </c>
      <c r="C1095" s="138" t="s">
        <v>205</v>
      </c>
      <c r="D1095" s="163" t="s">
        <v>90</v>
      </c>
      <c r="E1095" s="163" t="s">
        <v>91</v>
      </c>
      <c r="F1095" s="146">
        <v>9</v>
      </c>
    </row>
    <row r="1096" spans="1:6" hidden="1" x14ac:dyDescent="0.3">
      <c r="A1096" s="7" t="str">
        <f>_xlfn.XLOOKUP(ColombiaClientes6[[#This Row],[Client]],VpsClientes[Client],VpsClientes[VP],"",0)</f>
        <v>Moises Saavedra Garcia</v>
      </c>
      <c r="B1096" s="144" t="s">
        <v>110</v>
      </c>
      <c r="C1096" s="138" t="s">
        <v>202</v>
      </c>
      <c r="D1096" s="163" t="s">
        <v>219</v>
      </c>
      <c r="E1096" s="163" t="s">
        <v>206</v>
      </c>
      <c r="F1096" s="146">
        <v>69</v>
      </c>
    </row>
    <row r="1097" spans="1:6" x14ac:dyDescent="0.3">
      <c r="A1097" s="7" t="str">
        <f>_xlfn.XLOOKUP(ColombiaClientes6[[#This Row],[Client]],VpsClientes[Client],VpsClientes[VP],"",0)</f>
        <v>Moises Saavedra Garcia</v>
      </c>
      <c r="B1097" s="144" t="s">
        <v>256</v>
      </c>
      <c r="C1097" s="138" t="s">
        <v>237</v>
      </c>
      <c r="D1097" s="163" t="s">
        <v>90</v>
      </c>
      <c r="E1097" s="163" t="s">
        <v>91</v>
      </c>
      <c r="F1097" s="146">
        <v>0</v>
      </c>
    </row>
    <row r="1098" spans="1:6" x14ac:dyDescent="0.3">
      <c r="A1098" s="7" t="str">
        <f>_xlfn.XLOOKUP(ColombiaClientes6[[#This Row],[Client]],VpsClientes[Client],VpsClientes[VP],"",0)</f>
        <v>Moises Saavedra Garcia</v>
      </c>
      <c r="B1098" s="144" t="s">
        <v>256</v>
      </c>
      <c r="C1098" s="138" t="s">
        <v>92</v>
      </c>
      <c r="D1098" s="163" t="s">
        <v>90</v>
      </c>
      <c r="E1098" s="163" t="s">
        <v>206</v>
      </c>
      <c r="F1098" s="146">
        <v>240</v>
      </c>
    </row>
    <row r="1099" spans="1:6" hidden="1" x14ac:dyDescent="0.3">
      <c r="A1099" s="7" t="str">
        <f>_xlfn.XLOOKUP(ColombiaClientes6[[#This Row],[Client]],VpsClientes[Client],VpsClientes[VP],"",0)</f>
        <v>Jhonatan Izquierdo Rico</v>
      </c>
      <c r="B1099" s="144" t="s">
        <v>157</v>
      </c>
      <c r="C1099" s="138" t="s">
        <v>202</v>
      </c>
      <c r="D1099" s="163" t="s">
        <v>219</v>
      </c>
      <c r="E1099" s="163" t="s">
        <v>206</v>
      </c>
      <c r="F1099" s="146">
        <v>44</v>
      </c>
    </row>
    <row r="1100" spans="1:6" x14ac:dyDescent="0.3">
      <c r="A1100" s="7" t="str">
        <f>_xlfn.XLOOKUP(ColombiaClientes6[[#This Row],[Client]],VpsClientes[Client],VpsClientes[VP],"",0)</f>
        <v>Moises Saavedra Garcia</v>
      </c>
      <c r="B1100" s="144" t="s">
        <v>256</v>
      </c>
      <c r="C1100" s="138" t="s">
        <v>191</v>
      </c>
      <c r="D1100" s="163" t="s">
        <v>90</v>
      </c>
      <c r="E1100" s="163" t="s">
        <v>206</v>
      </c>
      <c r="F1100" s="146">
        <v>119</v>
      </c>
    </row>
    <row r="1101" spans="1:6" x14ac:dyDescent="0.3">
      <c r="A1101" s="7" t="str">
        <f>_xlfn.XLOOKUP(ColombiaClientes6[[#This Row],[Client]],VpsClientes[Client],VpsClientes[VP],"",0)</f>
        <v>Moises Saavedra Garcia</v>
      </c>
      <c r="B1101" s="144" t="s">
        <v>256</v>
      </c>
      <c r="C1101" s="138" t="s">
        <v>192</v>
      </c>
      <c r="D1101" s="163" t="s">
        <v>90</v>
      </c>
      <c r="E1101" s="163" t="s">
        <v>206</v>
      </c>
      <c r="F1101" s="146">
        <v>281</v>
      </c>
    </row>
    <row r="1102" spans="1:6" hidden="1" x14ac:dyDescent="0.3">
      <c r="A1102" s="7" t="str">
        <f>_xlfn.XLOOKUP(ColombiaClientes6[[#This Row],[Client]],VpsClientes[Client],VpsClientes[VP],"",0)</f>
        <v>Juan Granados Castillo</v>
      </c>
      <c r="B1102" s="144" t="s">
        <v>134</v>
      </c>
      <c r="C1102" s="138" t="s">
        <v>202</v>
      </c>
      <c r="D1102" s="163" t="s">
        <v>219</v>
      </c>
      <c r="E1102" s="163" t="s">
        <v>206</v>
      </c>
      <c r="F1102" s="146">
        <v>37</v>
      </c>
    </row>
    <row r="1103" spans="1:6" hidden="1" x14ac:dyDescent="0.3">
      <c r="A1103" s="7" t="str">
        <f>_xlfn.XLOOKUP(ColombiaClientes6[[#This Row],[Client]],VpsClientes[Client],VpsClientes[VP],"",0)</f>
        <v>Carlos Castillo Figueroa</v>
      </c>
      <c r="B1103" s="144" t="s">
        <v>105</v>
      </c>
      <c r="C1103" s="138" t="s">
        <v>202</v>
      </c>
      <c r="D1103" s="163" t="s">
        <v>219</v>
      </c>
      <c r="E1103" s="163" t="s">
        <v>206</v>
      </c>
      <c r="F1103" s="146">
        <v>33</v>
      </c>
    </row>
    <row r="1104" spans="1:6" hidden="1" x14ac:dyDescent="0.3">
      <c r="A1104" s="7" t="str">
        <f>_xlfn.XLOOKUP(ColombiaClientes6[[#This Row],[Client]],VpsClientes[Client],VpsClientes[VP],"",0)</f>
        <v>Hector Muraira Garza</v>
      </c>
      <c r="B1104" s="144" t="s">
        <v>167</v>
      </c>
      <c r="C1104" s="138" t="s">
        <v>202</v>
      </c>
      <c r="D1104" s="163" t="s">
        <v>219</v>
      </c>
      <c r="E1104" s="163" t="s">
        <v>206</v>
      </c>
      <c r="F1104" s="146">
        <v>24</v>
      </c>
    </row>
    <row r="1105" spans="1:6" x14ac:dyDescent="0.3">
      <c r="A1105" s="7" t="str">
        <f>_xlfn.XLOOKUP(ColombiaClientes6[[#This Row],[Client]],VpsClientes[Client],VpsClientes[VP],"",0)</f>
        <v>Moises Saavedra Garcia</v>
      </c>
      <c r="B1105" s="144" t="s">
        <v>256</v>
      </c>
      <c r="C1105" s="138" t="s">
        <v>194</v>
      </c>
      <c r="D1105" s="163" t="s">
        <v>90</v>
      </c>
      <c r="E1105" s="163" t="s">
        <v>206</v>
      </c>
      <c r="F1105" s="146">
        <v>110</v>
      </c>
    </row>
    <row r="1106" spans="1:6" x14ac:dyDescent="0.3">
      <c r="A1106" s="7" t="str">
        <f>_xlfn.XLOOKUP(ColombiaClientes6[[#This Row],[Client]],VpsClientes[Client],VpsClientes[VP],"",0)</f>
        <v>Moises Saavedra Garcia</v>
      </c>
      <c r="B1106" s="144" t="s">
        <v>256</v>
      </c>
      <c r="C1106" s="138" t="s">
        <v>202</v>
      </c>
      <c r="D1106" s="163" t="s">
        <v>90</v>
      </c>
      <c r="E1106" s="163" t="s">
        <v>206</v>
      </c>
      <c r="F1106" s="146">
        <v>134</v>
      </c>
    </row>
    <row r="1107" spans="1:6" x14ac:dyDescent="0.3">
      <c r="A1107" s="7" t="str">
        <f>_xlfn.XLOOKUP(ColombiaClientes6[[#This Row],[Client]],VpsClientes[Client],VpsClientes[VP],"",0)</f>
        <v>Moises Saavedra Garcia</v>
      </c>
      <c r="B1107" s="144" t="s">
        <v>256</v>
      </c>
      <c r="C1107" s="138" t="s">
        <v>203</v>
      </c>
      <c r="D1107" s="163" t="s">
        <v>90</v>
      </c>
      <c r="E1107" s="163" t="s">
        <v>206</v>
      </c>
      <c r="F1107" s="146">
        <v>109</v>
      </c>
    </row>
    <row r="1108" spans="1:6" x14ac:dyDescent="0.3">
      <c r="A1108" s="7" t="str">
        <f>_xlfn.XLOOKUP(ColombiaClientes6[[#This Row],[Client]],VpsClientes[Client],VpsClientes[VP],"",0)</f>
        <v>Moises Saavedra Garcia</v>
      </c>
      <c r="B1108" s="144" t="s">
        <v>256</v>
      </c>
      <c r="C1108" s="138" t="s">
        <v>205</v>
      </c>
      <c r="D1108" s="163" t="s">
        <v>90</v>
      </c>
      <c r="E1108" s="163" t="s">
        <v>206</v>
      </c>
      <c r="F1108" s="146">
        <v>124</v>
      </c>
    </row>
    <row r="1109" spans="1:6" x14ac:dyDescent="0.3">
      <c r="A1109" s="7" t="str">
        <f>_xlfn.XLOOKUP(ColombiaClientes6[[#This Row],[Client]],VpsClientes[Client],VpsClientes[VP],"",0)</f>
        <v>Moises Saavedra Garcia</v>
      </c>
      <c r="B1109" s="144" t="s">
        <v>256</v>
      </c>
      <c r="C1109" s="138" t="s">
        <v>237</v>
      </c>
      <c r="D1109" s="163" t="s">
        <v>90</v>
      </c>
      <c r="E1109" s="163" t="s">
        <v>206</v>
      </c>
      <c r="F1109" s="146">
        <v>12</v>
      </c>
    </row>
    <row r="1110" spans="1:6" x14ac:dyDescent="0.3">
      <c r="A1110" s="7" t="str">
        <f>_xlfn.XLOOKUP(ColombiaClientes6[[#This Row],[Client]],VpsClientes[Client],VpsClientes[VP],"",0)</f>
        <v>Moises Saavedra Garcia</v>
      </c>
      <c r="B1110" s="144" t="s">
        <v>256</v>
      </c>
      <c r="C1110" s="138" t="s">
        <v>92</v>
      </c>
      <c r="D1110" s="163" t="s">
        <v>219</v>
      </c>
      <c r="E1110" s="163" t="s">
        <v>91</v>
      </c>
      <c r="F1110" s="146">
        <v>14</v>
      </c>
    </row>
    <row r="1111" spans="1:6" x14ac:dyDescent="0.3">
      <c r="A1111" s="7" t="str">
        <f>_xlfn.XLOOKUP(ColombiaClientes6[[#This Row],[Client]],VpsClientes[Client],VpsClientes[VP],"",0)</f>
        <v>Moises Saavedra Garcia</v>
      </c>
      <c r="B1111" s="144" t="s">
        <v>256</v>
      </c>
      <c r="C1111" s="138" t="s">
        <v>191</v>
      </c>
      <c r="D1111" s="163" t="s">
        <v>219</v>
      </c>
      <c r="E1111" s="163" t="s">
        <v>91</v>
      </c>
      <c r="F1111" s="146">
        <v>14</v>
      </c>
    </row>
    <row r="1112" spans="1:6" hidden="1" x14ac:dyDescent="0.3">
      <c r="A1112" s="7" t="str">
        <f>_xlfn.XLOOKUP(ColombiaClientes6[[#This Row],[Client]],VpsClientes[Client],VpsClientes[VP],"",0)</f>
        <v>Moises Saavedra Garcia</v>
      </c>
      <c r="B1112" s="144" t="s">
        <v>201</v>
      </c>
      <c r="C1112" s="138" t="s">
        <v>202</v>
      </c>
      <c r="D1112" s="163" t="s">
        <v>219</v>
      </c>
      <c r="E1112" s="163" t="s">
        <v>206</v>
      </c>
      <c r="F1112" s="146">
        <v>4</v>
      </c>
    </row>
    <row r="1113" spans="1:6" x14ac:dyDescent="0.3">
      <c r="A1113" s="7" t="str">
        <f>_xlfn.XLOOKUP(ColombiaClientes6[[#This Row],[Client]],VpsClientes[Client],VpsClientes[VP],"",0)</f>
        <v>Moises Saavedra Garcia</v>
      </c>
      <c r="B1113" s="144" t="s">
        <v>256</v>
      </c>
      <c r="C1113" s="138" t="s">
        <v>192</v>
      </c>
      <c r="D1113" s="163" t="s">
        <v>219</v>
      </c>
      <c r="E1113" s="163" t="s">
        <v>91</v>
      </c>
      <c r="F1113" s="146">
        <v>17</v>
      </c>
    </row>
    <row r="1114" spans="1:6" x14ac:dyDescent="0.3">
      <c r="A1114" s="7" t="str">
        <f>_xlfn.XLOOKUP(ColombiaClientes6[[#This Row],[Client]],VpsClientes[Client],VpsClientes[VP],"",0)</f>
        <v>Moises Saavedra Garcia</v>
      </c>
      <c r="B1114" s="144" t="s">
        <v>256</v>
      </c>
      <c r="C1114" s="138" t="s">
        <v>194</v>
      </c>
      <c r="D1114" s="163" t="s">
        <v>219</v>
      </c>
      <c r="E1114" s="163" t="s">
        <v>91</v>
      </c>
      <c r="F1114" s="146">
        <v>36</v>
      </c>
    </row>
    <row r="1115" spans="1:6" x14ac:dyDescent="0.3">
      <c r="A1115" s="7" t="str">
        <f>_xlfn.XLOOKUP(ColombiaClientes6[[#This Row],[Client]],VpsClientes[Client],VpsClientes[VP],"",0)</f>
        <v>Moises Saavedra Garcia</v>
      </c>
      <c r="B1115" s="144" t="s">
        <v>256</v>
      </c>
      <c r="C1115" s="138" t="s">
        <v>202</v>
      </c>
      <c r="D1115" s="163" t="s">
        <v>219</v>
      </c>
      <c r="E1115" s="163" t="s">
        <v>91</v>
      </c>
      <c r="F1115" s="146">
        <v>26</v>
      </c>
    </row>
    <row r="1116" spans="1:6" hidden="1" x14ac:dyDescent="0.3">
      <c r="A1116" s="7" t="str">
        <f>_xlfn.XLOOKUP(ColombiaClientes6[[#This Row],[Client]],VpsClientes[Client],VpsClientes[VP],"",0)</f>
        <v>Carlos Beltran Hernandez</v>
      </c>
      <c r="B1116" s="149" t="s">
        <v>93</v>
      </c>
      <c r="C1116" s="10" t="s">
        <v>203</v>
      </c>
      <c r="D1116" s="163" t="s">
        <v>219</v>
      </c>
      <c r="E1116" s="163" t="s">
        <v>206</v>
      </c>
      <c r="F1116" s="151">
        <v>15697</v>
      </c>
    </row>
    <row r="1117" spans="1:6" hidden="1" x14ac:dyDescent="0.3">
      <c r="A1117" s="7" t="str">
        <f>_xlfn.XLOOKUP(ColombiaClientes6[[#This Row],[Client]],VpsClientes[Client],VpsClientes[VP],"",0)</f>
        <v>Hector Muraira Garza</v>
      </c>
      <c r="B1117" s="149" t="s">
        <v>140</v>
      </c>
      <c r="C1117" s="149" t="s">
        <v>203</v>
      </c>
      <c r="D1117" s="163" t="s">
        <v>219</v>
      </c>
      <c r="E1117" s="163" t="s">
        <v>206</v>
      </c>
      <c r="F1117" s="151">
        <v>5983</v>
      </c>
    </row>
    <row r="1118" spans="1:6" hidden="1" x14ac:dyDescent="0.3">
      <c r="A1118" s="7" t="str">
        <f>_xlfn.XLOOKUP(ColombiaClientes6[[#This Row],[Client]],VpsClientes[Client],VpsClientes[VP],"",0)</f>
        <v>Hector Muraira Garza</v>
      </c>
      <c r="B1118" s="149" t="s">
        <v>164</v>
      </c>
      <c r="C1118" s="149" t="s">
        <v>203</v>
      </c>
      <c r="D1118" s="163" t="s">
        <v>219</v>
      </c>
      <c r="E1118" s="163" t="s">
        <v>206</v>
      </c>
      <c r="F1118" s="151">
        <v>2743</v>
      </c>
    </row>
    <row r="1119" spans="1:6" x14ac:dyDescent="0.3">
      <c r="A1119" s="7" t="str">
        <f>_xlfn.XLOOKUP(ColombiaClientes6[[#This Row],[Client]],VpsClientes[Client],VpsClientes[VP],"",0)</f>
        <v>Moises Saavedra Garcia</v>
      </c>
      <c r="B1119" s="149" t="s">
        <v>256</v>
      </c>
      <c r="C1119" s="149" t="s">
        <v>203</v>
      </c>
      <c r="D1119" s="163" t="s">
        <v>219</v>
      </c>
      <c r="E1119" s="163" t="s">
        <v>91</v>
      </c>
      <c r="F1119" s="151">
        <v>37</v>
      </c>
    </row>
    <row r="1120" spans="1:6" hidden="1" x14ac:dyDescent="0.3">
      <c r="A1120" s="7" t="str">
        <f>_xlfn.XLOOKUP(ColombiaClientes6[[#This Row],[Client]],VpsClientes[Client],VpsClientes[VP],"",0)</f>
        <v>Javier Orjuela Sarmiento</v>
      </c>
      <c r="B1120" s="149" t="s">
        <v>133</v>
      </c>
      <c r="C1120" s="149" t="s">
        <v>203</v>
      </c>
      <c r="D1120" s="163" t="s">
        <v>219</v>
      </c>
      <c r="E1120" s="163" t="s">
        <v>206</v>
      </c>
      <c r="F1120" s="151">
        <v>772</v>
      </c>
    </row>
    <row r="1121" spans="1:6" x14ac:dyDescent="0.3">
      <c r="A1121" s="7" t="str">
        <f>_xlfn.XLOOKUP(ColombiaClientes6[[#This Row],[Client]],VpsClientes[Client],VpsClientes[VP],"",0)</f>
        <v>Moises Saavedra Garcia</v>
      </c>
      <c r="B1121" s="149" t="s">
        <v>256</v>
      </c>
      <c r="C1121" s="149" t="s">
        <v>205</v>
      </c>
      <c r="D1121" s="163" t="s">
        <v>219</v>
      </c>
      <c r="E1121" s="163" t="s">
        <v>91</v>
      </c>
      <c r="F1121" s="151">
        <v>129</v>
      </c>
    </row>
    <row r="1122" spans="1:6" x14ac:dyDescent="0.3">
      <c r="A1122" s="7" t="str">
        <f>_xlfn.XLOOKUP(ColombiaClientes6[[#This Row],[Client]],VpsClientes[Client],VpsClientes[VP],"",0)</f>
        <v>Moises Saavedra Garcia</v>
      </c>
      <c r="B1122" s="149" t="s">
        <v>256</v>
      </c>
      <c r="C1122" s="149" t="s">
        <v>237</v>
      </c>
      <c r="D1122" s="163" t="s">
        <v>219</v>
      </c>
      <c r="E1122" s="163" t="s">
        <v>91</v>
      </c>
      <c r="F1122" s="151">
        <v>18</v>
      </c>
    </row>
    <row r="1123" spans="1:6" hidden="1" x14ac:dyDescent="0.3">
      <c r="A1123" s="7" t="str">
        <f>_xlfn.XLOOKUP(ColombiaClientes6[[#This Row],[Client]],VpsClientes[Client],VpsClientes[VP],"",0)</f>
        <v>Martha Guzman Arango</v>
      </c>
      <c r="B1123" s="149" t="s">
        <v>199</v>
      </c>
      <c r="C1123" s="149" t="s">
        <v>203</v>
      </c>
      <c r="D1123" s="163" t="s">
        <v>219</v>
      </c>
      <c r="E1123" s="163" t="s">
        <v>206</v>
      </c>
      <c r="F1123" s="151">
        <v>403</v>
      </c>
    </row>
    <row r="1124" spans="1:6" x14ac:dyDescent="0.3">
      <c r="A1124" s="7" t="str">
        <f>_xlfn.XLOOKUP(ColombiaClientes6[[#This Row],[Client]],VpsClientes[Client],VpsClientes[VP],"",0)</f>
        <v>Moises Saavedra Garcia</v>
      </c>
      <c r="B1124" s="149" t="s">
        <v>256</v>
      </c>
      <c r="C1124" s="149" t="s">
        <v>92</v>
      </c>
      <c r="D1124" s="163" t="s">
        <v>219</v>
      </c>
      <c r="E1124" s="163" t="s">
        <v>206</v>
      </c>
      <c r="F1124" s="151">
        <v>0</v>
      </c>
    </row>
    <row r="1125" spans="1:6" hidden="1" x14ac:dyDescent="0.3">
      <c r="A1125" s="7" t="str">
        <f>_xlfn.XLOOKUP(ColombiaClientes6[[#This Row],[Client]],VpsClientes[Client],VpsClientes[VP],"",0)</f>
        <v>Ludy Torres Benitez</v>
      </c>
      <c r="B1125" s="149" t="s">
        <v>95</v>
      </c>
      <c r="C1125" s="149" t="s">
        <v>203</v>
      </c>
      <c r="D1125" s="163" t="s">
        <v>219</v>
      </c>
      <c r="E1125" s="163" t="s">
        <v>206</v>
      </c>
      <c r="F1125" s="151">
        <v>308</v>
      </c>
    </row>
    <row r="1126" spans="1:6" x14ac:dyDescent="0.3">
      <c r="A1126" s="7" t="str">
        <f>_xlfn.XLOOKUP(ColombiaClientes6[[#This Row],[Client]],VpsClientes[Client],VpsClientes[VP],"",0)</f>
        <v>Moises Saavedra Garcia</v>
      </c>
      <c r="B1126" s="149" t="s">
        <v>256</v>
      </c>
      <c r="C1126" s="149" t="s">
        <v>191</v>
      </c>
      <c r="D1126" s="163" t="s">
        <v>219</v>
      </c>
      <c r="E1126" s="163" t="s">
        <v>206</v>
      </c>
      <c r="F1126" s="151">
        <v>1</v>
      </c>
    </row>
    <row r="1127" spans="1:6" hidden="1" x14ac:dyDescent="0.3">
      <c r="A1127" s="7" t="str">
        <f>_xlfn.XLOOKUP(ColombiaClientes6[[#This Row],[Client]],VpsClientes[Client],VpsClientes[VP],"",0)</f>
        <v>Sandra Romero Zuluaga</v>
      </c>
      <c r="B1127" s="149" t="s">
        <v>113</v>
      </c>
      <c r="C1127" s="149" t="s">
        <v>203</v>
      </c>
      <c r="D1127" s="163" t="s">
        <v>219</v>
      </c>
      <c r="E1127" s="163" t="s">
        <v>206</v>
      </c>
      <c r="F1127" s="151">
        <v>257</v>
      </c>
    </row>
    <row r="1128" spans="1:6" hidden="1" x14ac:dyDescent="0.3">
      <c r="A1128" s="7" t="str">
        <f>_xlfn.XLOOKUP(ColombiaClientes6[[#This Row],[Client]],VpsClientes[Client],VpsClientes[VP],"",0)</f>
        <v>Hector Muraira Garza</v>
      </c>
      <c r="B1128" s="149" t="s">
        <v>132</v>
      </c>
      <c r="C1128" s="149" t="s">
        <v>203</v>
      </c>
      <c r="D1128" s="163" t="s">
        <v>219</v>
      </c>
      <c r="E1128" s="163" t="s">
        <v>206</v>
      </c>
      <c r="F1128" s="151">
        <v>247</v>
      </c>
    </row>
    <row r="1129" spans="1:6" x14ac:dyDescent="0.3">
      <c r="A1129" s="7" t="str">
        <f>_xlfn.XLOOKUP(ColombiaClientes6[[#This Row],[Client]],VpsClientes[Client],VpsClientes[VP],"",0)</f>
        <v>Moises Saavedra Garcia</v>
      </c>
      <c r="B1129" s="149" t="s">
        <v>256</v>
      </c>
      <c r="C1129" s="149" t="s">
        <v>192</v>
      </c>
      <c r="D1129" s="163" t="s">
        <v>219</v>
      </c>
      <c r="E1129" s="163" t="s">
        <v>206</v>
      </c>
      <c r="F1129" s="151">
        <v>4</v>
      </c>
    </row>
    <row r="1130" spans="1:6" x14ac:dyDescent="0.3">
      <c r="A1130" s="7" t="str">
        <f>_xlfn.XLOOKUP(ColombiaClientes6[[#This Row],[Client]],VpsClientes[Client],VpsClientes[VP],"",0)</f>
        <v>Moises Saavedra Garcia</v>
      </c>
      <c r="B1130" s="149" t="s">
        <v>256</v>
      </c>
      <c r="C1130" s="149" t="s">
        <v>194</v>
      </c>
      <c r="D1130" s="163" t="s">
        <v>219</v>
      </c>
      <c r="E1130" s="163" t="s">
        <v>206</v>
      </c>
      <c r="F1130" s="151">
        <v>9</v>
      </c>
    </row>
    <row r="1131" spans="1:6" x14ac:dyDescent="0.3">
      <c r="A1131" s="7" t="str">
        <f>_xlfn.XLOOKUP(ColombiaClientes6[[#This Row],[Client]],VpsClientes[Client],VpsClientes[VP],"",0)</f>
        <v>Moises Saavedra Garcia</v>
      </c>
      <c r="B1131" s="149" t="s">
        <v>256</v>
      </c>
      <c r="C1131" s="149" t="s">
        <v>202</v>
      </c>
      <c r="D1131" s="163" t="s">
        <v>219</v>
      </c>
      <c r="E1131" s="163" t="s">
        <v>206</v>
      </c>
      <c r="F1131" s="151">
        <v>10</v>
      </c>
    </row>
    <row r="1132" spans="1:6" x14ac:dyDescent="0.3">
      <c r="A1132" s="7" t="str">
        <f>_xlfn.XLOOKUP(ColombiaClientes6[[#This Row],[Client]],VpsClientes[Client],VpsClientes[VP],"",0)</f>
        <v>Moises Saavedra Garcia</v>
      </c>
      <c r="B1132" s="149" t="s">
        <v>256</v>
      </c>
      <c r="C1132" s="149" t="s">
        <v>203</v>
      </c>
      <c r="D1132" s="163" t="s">
        <v>219</v>
      </c>
      <c r="E1132" s="163" t="s">
        <v>206</v>
      </c>
      <c r="F1132" s="151">
        <v>400</v>
      </c>
    </row>
    <row r="1133" spans="1:6" x14ac:dyDescent="0.3">
      <c r="A1133" s="7" t="str">
        <f>_xlfn.XLOOKUP(ColombiaClientes6[[#This Row],[Client]],VpsClientes[Client],VpsClientes[VP],"",0)</f>
        <v>Moises Saavedra Garcia</v>
      </c>
      <c r="B1133" s="149" t="s">
        <v>256</v>
      </c>
      <c r="C1133" s="149" t="s">
        <v>205</v>
      </c>
      <c r="D1133" s="163" t="s">
        <v>219</v>
      </c>
      <c r="E1133" s="163" t="s">
        <v>206</v>
      </c>
      <c r="F1133" s="151">
        <v>357</v>
      </c>
    </row>
    <row r="1134" spans="1:6" x14ac:dyDescent="0.3">
      <c r="A1134" s="7" t="str">
        <f>_xlfn.XLOOKUP(ColombiaClientes6[[#This Row],[Client]],VpsClientes[Client],VpsClientes[VP],"",0)</f>
        <v>Moises Saavedra Garcia</v>
      </c>
      <c r="B1134" s="149" t="s">
        <v>256</v>
      </c>
      <c r="C1134" s="149" t="s">
        <v>237</v>
      </c>
      <c r="D1134" s="163" t="s">
        <v>219</v>
      </c>
      <c r="E1134" s="163" t="s">
        <v>206</v>
      </c>
      <c r="F1134" s="151">
        <v>52</v>
      </c>
    </row>
    <row r="1135" spans="1:6" x14ac:dyDescent="0.3">
      <c r="A1135" s="7" t="str">
        <f>_xlfn.XLOOKUP(ColombiaClientes6[[#This Row],[Client]],VpsClientes[Client],VpsClientes[VP],"",0)</f>
        <v>Luis Vergel Gonzalez</v>
      </c>
      <c r="B1135" s="149" t="s">
        <v>238</v>
      </c>
      <c r="C1135" s="149" t="s">
        <v>92</v>
      </c>
      <c r="D1135" s="163" t="s">
        <v>90</v>
      </c>
      <c r="E1135" s="163" t="s">
        <v>91</v>
      </c>
      <c r="F1135" s="151">
        <v>3009</v>
      </c>
    </row>
    <row r="1136" spans="1:6" x14ac:dyDescent="0.3">
      <c r="A1136" s="7" t="str">
        <f>_xlfn.XLOOKUP(ColombiaClientes6[[#This Row],[Client]],VpsClientes[Client],VpsClientes[VP],"",0)</f>
        <v>Luis Vergel Gonzalez</v>
      </c>
      <c r="B1136" s="149" t="s">
        <v>238</v>
      </c>
      <c r="C1136" s="149" t="s">
        <v>191</v>
      </c>
      <c r="D1136" s="163" t="s">
        <v>90</v>
      </c>
      <c r="E1136" s="163" t="s">
        <v>91</v>
      </c>
      <c r="F1136" s="151">
        <v>3786</v>
      </c>
    </row>
    <row r="1137" spans="1:6" x14ac:dyDescent="0.3">
      <c r="A1137" s="7" t="str">
        <f>_xlfn.XLOOKUP(ColombiaClientes6[[#This Row],[Client]],VpsClientes[Client],VpsClientes[VP],"",0)</f>
        <v>Luis Vergel Gonzalez</v>
      </c>
      <c r="B1137" s="149" t="s">
        <v>238</v>
      </c>
      <c r="C1137" s="149" t="s">
        <v>192</v>
      </c>
      <c r="D1137" s="163" t="s">
        <v>90</v>
      </c>
      <c r="E1137" s="163" t="s">
        <v>91</v>
      </c>
      <c r="F1137" s="151">
        <v>5043</v>
      </c>
    </row>
    <row r="1138" spans="1:6" hidden="1" x14ac:dyDescent="0.3">
      <c r="A1138" s="7" t="str">
        <f>_xlfn.XLOOKUP(ColombiaClientes6[[#This Row],[Client]],VpsClientes[Client],VpsClientes[VP],"",0)</f>
        <v>Moises Saavedra Garcia</v>
      </c>
      <c r="B1138" s="149" t="s">
        <v>110</v>
      </c>
      <c r="C1138" s="149" t="s">
        <v>203</v>
      </c>
      <c r="D1138" s="163" t="s">
        <v>219</v>
      </c>
      <c r="E1138" s="163" t="s">
        <v>206</v>
      </c>
      <c r="F1138" s="151">
        <v>58</v>
      </c>
    </row>
    <row r="1139" spans="1:6" x14ac:dyDescent="0.3">
      <c r="A1139" s="7" t="str">
        <f>_xlfn.XLOOKUP(ColombiaClientes6[[#This Row],[Client]],VpsClientes[Client],VpsClientes[VP],"",0)</f>
        <v>Luis Vergel Gonzalez</v>
      </c>
      <c r="B1139" s="149" t="s">
        <v>238</v>
      </c>
      <c r="C1139" s="149" t="s">
        <v>194</v>
      </c>
      <c r="D1139" s="163" t="s">
        <v>90</v>
      </c>
      <c r="E1139" s="163" t="s">
        <v>91</v>
      </c>
      <c r="F1139" s="151">
        <v>5632</v>
      </c>
    </row>
    <row r="1140" spans="1:6" hidden="1" x14ac:dyDescent="0.3">
      <c r="A1140" s="7" t="str">
        <f>_xlfn.XLOOKUP(ColombiaClientes6[[#This Row],[Client]],VpsClientes[Client],VpsClientes[VP],"",0)</f>
        <v>Jhonatan Izquierdo Rico</v>
      </c>
      <c r="B1140" s="149" t="s">
        <v>157</v>
      </c>
      <c r="C1140" s="149" t="s">
        <v>203</v>
      </c>
      <c r="D1140" s="163" t="s">
        <v>219</v>
      </c>
      <c r="E1140" s="163" t="s">
        <v>206</v>
      </c>
      <c r="F1140" s="151">
        <v>44</v>
      </c>
    </row>
    <row r="1141" spans="1:6" x14ac:dyDescent="0.3">
      <c r="A1141" s="7" t="str">
        <f>_xlfn.XLOOKUP(ColombiaClientes6[[#This Row],[Client]],VpsClientes[Client],VpsClientes[VP],"",0)</f>
        <v>Luis Vergel Gonzalez</v>
      </c>
      <c r="B1141" s="149" t="s">
        <v>238</v>
      </c>
      <c r="C1141" s="149" t="s">
        <v>202</v>
      </c>
      <c r="D1141" s="163" t="s">
        <v>90</v>
      </c>
      <c r="E1141" s="163" t="s">
        <v>91</v>
      </c>
      <c r="F1141" s="151">
        <v>5388</v>
      </c>
    </row>
    <row r="1142" spans="1:6" hidden="1" x14ac:dyDescent="0.3">
      <c r="A1142" s="7" t="str">
        <f>_xlfn.XLOOKUP(ColombiaClientes6[[#This Row],[Client]],VpsClientes[Client],VpsClientes[VP],"",0)</f>
        <v>Hector Muraira Garza</v>
      </c>
      <c r="B1142" s="149" t="s">
        <v>167</v>
      </c>
      <c r="C1142" s="149" t="s">
        <v>203</v>
      </c>
      <c r="D1142" s="163" t="s">
        <v>219</v>
      </c>
      <c r="E1142" s="163" t="s">
        <v>206</v>
      </c>
      <c r="F1142" s="151">
        <v>40</v>
      </c>
    </row>
    <row r="1143" spans="1:6" hidden="1" x14ac:dyDescent="0.3">
      <c r="A1143" s="7" t="str">
        <f>_xlfn.XLOOKUP(ColombiaClientes6[[#This Row],[Client]],VpsClientes[Client],VpsClientes[VP],"",0)</f>
        <v>Juan Granados Castillo</v>
      </c>
      <c r="B1143" s="149" t="s">
        <v>134</v>
      </c>
      <c r="C1143" s="149" t="s">
        <v>203</v>
      </c>
      <c r="D1143" s="163" t="s">
        <v>219</v>
      </c>
      <c r="E1143" s="163" t="s">
        <v>206</v>
      </c>
      <c r="F1143" s="151">
        <v>32</v>
      </c>
    </row>
    <row r="1144" spans="1:6" hidden="1" x14ac:dyDescent="0.3">
      <c r="A1144" s="7" t="str">
        <f>_xlfn.XLOOKUP(ColombiaClientes6[[#This Row],[Client]],VpsClientes[Client],VpsClientes[VP],"",0)</f>
        <v>Carlos Castillo Figueroa</v>
      </c>
      <c r="B1144" s="149" t="s">
        <v>105</v>
      </c>
      <c r="C1144" s="149" t="s">
        <v>203</v>
      </c>
      <c r="D1144" s="163" t="s">
        <v>219</v>
      </c>
      <c r="E1144" s="163" t="s">
        <v>206</v>
      </c>
      <c r="F1144" s="151">
        <v>30</v>
      </c>
    </row>
    <row r="1145" spans="1:6" x14ac:dyDescent="0.3">
      <c r="A1145" s="7" t="str">
        <f>_xlfn.XLOOKUP(ColombiaClientes6[[#This Row],[Client]],VpsClientes[Client],VpsClientes[VP],"",0)</f>
        <v>Luis Vergel Gonzalez</v>
      </c>
      <c r="B1145" s="149" t="s">
        <v>238</v>
      </c>
      <c r="C1145" s="149" t="s">
        <v>203</v>
      </c>
      <c r="D1145" s="163" t="s">
        <v>90</v>
      </c>
      <c r="E1145" s="163" t="s">
        <v>91</v>
      </c>
      <c r="F1145" s="151">
        <v>6064</v>
      </c>
    </row>
    <row r="1146" spans="1:6" hidden="1" x14ac:dyDescent="0.3">
      <c r="A1146" s="7" t="str">
        <f>_xlfn.XLOOKUP(ColombiaClientes6[[#This Row],[Client]],VpsClientes[Client],VpsClientes[VP],"",0)</f>
        <v>Moises Saavedra Garcia</v>
      </c>
      <c r="B1146" s="149" t="s">
        <v>201</v>
      </c>
      <c r="C1146" s="149" t="s">
        <v>203</v>
      </c>
      <c r="D1146" s="163" t="s">
        <v>219</v>
      </c>
      <c r="E1146" s="163" t="s">
        <v>206</v>
      </c>
      <c r="F1146" s="151">
        <v>17</v>
      </c>
    </row>
    <row r="1147" spans="1:6" x14ac:dyDescent="0.3">
      <c r="A1147" s="7" t="str">
        <f>_xlfn.XLOOKUP(ColombiaClientes6[[#This Row],[Client]],VpsClientes[Client],VpsClientes[VP],"",0)</f>
        <v>Luis Vergel Gonzalez</v>
      </c>
      <c r="B1147" s="149" t="s">
        <v>238</v>
      </c>
      <c r="C1147" s="149" t="s">
        <v>205</v>
      </c>
      <c r="D1147" s="163" t="s">
        <v>90</v>
      </c>
      <c r="E1147" s="163" t="s">
        <v>91</v>
      </c>
      <c r="F1147" s="151">
        <v>5885</v>
      </c>
    </row>
    <row r="1148" spans="1:6" x14ac:dyDescent="0.3">
      <c r="A1148" s="7" t="str">
        <f>_xlfn.XLOOKUP(ColombiaClientes6[[#This Row],[Client]],VpsClientes[Client],VpsClientes[VP],"",0)</f>
        <v>Luis Vergel Gonzalez</v>
      </c>
      <c r="B1148" s="149" t="s">
        <v>238</v>
      </c>
      <c r="C1148" s="149" t="s">
        <v>237</v>
      </c>
      <c r="D1148" s="163" t="s">
        <v>90</v>
      </c>
      <c r="E1148" s="163" t="s">
        <v>91</v>
      </c>
      <c r="F1148" s="151">
        <v>412</v>
      </c>
    </row>
    <row r="1149" spans="1:6" x14ac:dyDescent="0.3">
      <c r="A1149" s="7" t="str">
        <f>_xlfn.XLOOKUP(ColombiaClientes6[[#This Row],[Client]],VpsClientes[Client],VpsClientes[VP],"",0)</f>
        <v>Luis Vergel Gonzalez</v>
      </c>
      <c r="B1149" s="149" t="s">
        <v>238</v>
      </c>
      <c r="C1149" s="149" t="s">
        <v>92</v>
      </c>
      <c r="D1149" s="163" t="s">
        <v>90</v>
      </c>
      <c r="E1149" s="163" t="s">
        <v>206</v>
      </c>
      <c r="F1149" s="151">
        <v>3674</v>
      </c>
    </row>
    <row r="1150" spans="1:6" x14ac:dyDescent="0.3">
      <c r="A1150" s="7" t="str">
        <f>_xlfn.XLOOKUP(ColombiaClientes6[[#This Row],[Client]],VpsClientes[Client],VpsClientes[VP],"",0)</f>
        <v>Luis Vergel Gonzalez</v>
      </c>
      <c r="B1150" s="149" t="s">
        <v>238</v>
      </c>
      <c r="C1150" s="149" t="s">
        <v>191</v>
      </c>
      <c r="D1150" s="163" t="s">
        <v>90</v>
      </c>
      <c r="E1150" s="163" t="s">
        <v>206</v>
      </c>
      <c r="F1150" s="151">
        <v>3374</v>
      </c>
    </row>
    <row r="1151" spans="1:6" x14ac:dyDescent="0.3">
      <c r="A1151" s="7" t="str">
        <f>_xlfn.XLOOKUP(ColombiaClientes6[[#This Row],[Client]],VpsClientes[Client],VpsClientes[VP],"",0)</f>
        <v>Luis Vergel Gonzalez</v>
      </c>
      <c r="B1151" s="149" t="s">
        <v>238</v>
      </c>
      <c r="C1151" s="149" t="s">
        <v>192</v>
      </c>
      <c r="D1151" s="163" t="s">
        <v>90</v>
      </c>
      <c r="E1151" s="163" t="s">
        <v>206</v>
      </c>
      <c r="F1151" s="151">
        <v>2594</v>
      </c>
    </row>
    <row r="1152" spans="1:6" x14ac:dyDescent="0.3">
      <c r="A1152" s="7" t="str">
        <f>_xlfn.XLOOKUP(ColombiaClientes6[[#This Row],[Client]],VpsClientes[Client],VpsClientes[VP],"",0)</f>
        <v>Luis Vergel Gonzalez</v>
      </c>
      <c r="B1152" s="149" t="s">
        <v>238</v>
      </c>
      <c r="C1152" s="149" t="s">
        <v>194</v>
      </c>
      <c r="D1152" s="163" t="s">
        <v>90</v>
      </c>
      <c r="E1152" s="163" t="s">
        <v>206</v>
      </c>
      <c r="F1152" s="151">
        <v>2502</v>
      </c>
    </row>
    <row r="1153" spans="1:6" x14ac:dyDescent="0.3">
      <c r="A1153" s="7" t="str">
        <f>_xlfn.XLOOKUP(ColombiaClientes6[[#This Row],[Client]],VpsClientes[Client],VpsClientes[VP],"",0)</f>
        <v>Luis Vergel Gonzalez</v>
      </c>
      <c r="B1153" s="149" t="s">
        <v>238</v>
      </c>
      <c r="C1153" s="149" t="s">
        <v>202</v>
      </c>
      <c r="D1153" s="163" t="s">
        <v>90</v>
      </c>
      <c r="E1153" s="163" t="s">
        <v>206</v>
      </c>
      <c r="F1153" s="151">
        <v>2833</v>
      </c>
    </row>
    <row r="1154" spans="1:6" hidden="1" x14ac:dyDescent="0.3">
      <c r="A1154" s="7" t="str">
        <f>_xlfn.XLOOKUP(ColombiaClientes6[[#This Row],[Client]],VpsClientes[Client],VpsClientes[VP],"",0)</f>
        <v>Carlos Beltran Hernandez</v>
      </c>
      <c r="B1154" s="156" t="s">
        <v>93</v>
      </c>
      <c r="C1154" s="10" t="s">
        <v>205</v>
      </c>
      <c r="D1154" s="163" t="s">
        <v>219</v>
      </c>
      <c r="E1154" s="163" t="s">
        <v>206</v>
      </c>
      <c r="F1154" s="158">
        <v>9473</v>
      </c>
    </row>
    <row r="1155" spans="1:6" hidden="1" x14ac:dyDescent="0.3">
      <c r="A1155" s="7" t="str">
        <f>_xlfn.XLOOKUP(ColombiaClientes6[[#This Row],[Client]],VpsClientes[Client],VpsClientes[VP],"",0)</f>
        <v>Hector Muraira Garza</v>
      </c>
      <c r="B1155" s="156" t="s">
        <v>140</v>
      </c>
      <c r="C1155" s="157" t="s">
        <v>205</v>
      </c>
      <c r="D1155" s="163" t="s">
        <v>219</v>
      </c>
      <c r="E1155" s="163" t="s">
        <v>206</v>
      </c>
      <c r="F1155" s="158">
        <v>3416</v>
      </c>
    </row>
    <row r="1156" spans="1:6" hidden="1" x14ac:dyDescent="0.3">
      <c r="A1156" s="7" t="str">
        <f>_xlfn.XLOOKUP(ColombiaClientes6[[#This Row],[Client]],VpsClientes[Client],VpsClientes[VP],"",0)</f>
        <v>Hector Muraira Garza</v>
      </c>
      <c r="B1156" s="156" t="s">
        <v>164</v>
      </c>
      <c r="C1156" s="157" t="s">
        <v>205</v>
      </c>
      <c r="D1156" s="163" t="s">
        <v>219</v>
      </c>
      <c r="E1156" s="163" t="s">
        <v>206</v>
      </c>
      <c r="F1156" s="158">
        <v>2357</v>
      </c>
    </row>
    <row r="1157" spans="1:6" x14ac:dyDescent="0.3">
      <c r="A1157" s="7" t="str">
        <f>_xlfn.XLOOKUP(ColombiaClientes6[[#This Row],[Client]],VpsClientes[Client],VpsClientes[VP],"",0)</f>
        <v>Luis Vergel Gonzalez</v>
      </c>
      <c r="B1157" s="156" t="s">
        <v>238</v>
      </c>
      <c r="C1157" s="157" t="s">
        <v>203</v>
      </c>
      <c r="D1157" s="163" t="s">
        <v>90</v>
      </c>
      <c r="E1157" s="163" t="s">
        <v>206</v>
      </c>
      <c r="F1157" s="158">
        <v>3044</v>
      </c>
    </row>
    <row r="1158" spans="1:6" hidden="1" x14ac:dyDescent="0.3">
      <c r="A1158" s="7" t="str">
        <f>_xlfn.XLOOKUP(ColombiaClientes6[[#This Row],[Client]],VpsClientes[Client],VpsClientes[VP],"",0)</f>
        <v>Moises Saavedra Garcia</v>
      </c>
      <c r="B1158" s="156" t="s">
        <v>110</v>
      </c>
      <c r="C1158" s="157" t="s">
        <v>205</v>
      </c>
      <c r="D1158" s="163" t="s">
        <v>219</v>
      </c>
      <c r="E1158" s="163" t="s">
        <v>206</v>
      </c>
      <c r="F1158" s="158">
        <v>1152</v>
      </c>
    </row>
    <row r="1159" spans="1:6" hidden="1" x14ac:dyDescent="0.3">
      <c r="A1159" s="7" t="str">
        <f>_xlfn.XLOOKUP(ColombiaClientes6[[#This Row],[Client]],VpsClientes[Client],VpsClientes[VP],"",0)</f>
        <v>Javier Orjuela Sarmiento</v>
      </c>
      <c r="B1159" s="156" t="s">
        <v>133</v>
      </c>
      <c r="C1159" s="157" t="s">
        <v>205</v>
      </c>
      <c r="D1159" s="163" t="s">
        <v>219</v>
      </c>
      <c r="E1159" s="163" t="s">
        <v>206</v>
      </c>
      <c r="F1159" s="158">
        <v>777</v>
      </c>
    </row>
    <row r="1160" spans="1:6" x14ac:dyDescent="0.3">
      <c r="A1160" s="7" t="str">
        <f>_xlfn.XLOOKUP(ColombiaClientes6[[#This Row],[Client]],VpsClientes[Client],VpsClientes[VP],"",0)</f>
        <v>Luis Vergel Gonzalez</v>
      </c>
      <c r="B1160" s="156" t="s">
        <v>238</v>
      </c>
      <c r="C1160" s="157" t="s">
        <v>205</v>
      </c>
      <c r="D1160" s="163" t="s">
        <v>90</v>
      </c>
      <c r="E1160" s="163" t="s">
        <v>206</v>
      </c>
      <c r="F1160" s="158">
        <v>3687</v>
      </c>
    </row>
    <row r="1161" spans="1:6" x14ac:dyDescent="0.3">
      <c r="A1161" s="7" t="str">
        <f>_xlfn.XLOOKUP(ColombiaClientes6[[#This Row],[Client]],VpsClientes[Client],VpsClientes[VP],"",0)</f>
        <v>Luis Vergel Gonzalez</v>
      </c>
      <c r="B1161" s="156" t="s">
        <v>238</v>
      </c>
      <c r="C1161" s="157" t="s">
        <v>237</v>
      </c>
      <c r="D1161" s="163" t="s">
        <v>90</v>
      </c>
      <c r="E1161" s="163" t="s">
        <v>206</v>
      </c>
      <c r="F1161" s="158">
        <v>1487</v>
      </c>
    </row>
    <row r="1162" spans="1:6" x14ac:dyDescent="0.3">
      <c r="A1162" s="7" t="str">
        <f>_xlfn.XLOOKUP(ColombiaClientes6[[#This Row],[Client]],VpsClientes[Client],VpsClientes[VP],"",0)</f>
        <v>Luis Vergel Gonzalez</v>
      </c>
      <c r="B1162" s="156" t="s">
        <v>238</v>
      </c>
      <c r="C1162" s="157" t="s">
        <v>92</v>
      </c>
      <c r="D1162" s="163" t="s">
        <v>219</v>
      </c>
      <c r="E1162" s="163" t="s">
        <v>91</v>
      </c>
      <c r="F1162" s="158">
        <v>4369</v>
      </c>
    </row>
    <row r="1163" spans="1:6" hidden="1" x14ac:dyDescent="0.3">
      <c r="A1163" s="7" t="str">
        <f>_xlfn.XLOOKUP(ColombiaClientes6[[#This Row],[Client]],VpsClientes[Client],VpsClientes[VP],"",0)</f>
        <v>Martha Guzman Arango</v>
      </c>
      <c r="B1163" s="156" t="s">
        <v>199</v>
      </c>
      <c r="C1163" s="157" t="s">
        <v>205</v>
      </c>
      <c r="D1163" s="163" t="s">
        <v>219</v>
      </c>
      <c r="E1163" s="163" t="s">
        <v>206</v>
      </c>
      <c r="F1163" s="158">
        <v>386</v>
      </c>
    </row>
    <row r="1164" spans="1:6" x14ac:dyDescent="0.3">
      <c r="A1164" s="7" t="str">
        <f>_xlfn.XLOOKUP(ColombiaClientes6[[#This Row],[Client]],VpsClientes[Client],VpsClientes[VP],"",0)</f>
        <v>Luis Vergel Gonzalez</v>
      </c>
      <c r="B1164" s="156" t="s">
        <v>238</v>
      </c>
      <c r="C1164" s="157" t="s">
        <v>191</v>
      </c>
      <c r="D1164" s="163" t="s">
        <v>219</v>
      </c>
      <c r="E1164" s="163" t="s">
        <v>91</v>
      </c>
      <c r="F1164" s="158">
        <v>4279</v>
      </c>
    </row>
    <row r="1165" spans="1:6" x14ac:dyDescent="0.3">
      <c r="A1165" s="7" t="str">
        <f>_xlfn.XLOOKUP(ColombiaClientes6[[#This Row],[Client]],VpsClientes[Client],VpsClientes[VP],"",0)</f>
        <v>Luis Vergel Gonzalez</v>
      </c>
      <c r="B1165" s="156" t="s">
        <v>238</v>
      </c>
      <c r="C1165" s="157" t="s">
        <v>192</v>
      </c>
      <c r="D1165" s="163" t="s">
        <v>219</v>
      </c>
      <c r="E1165" s="163" t="s">
        <v>91</v>
      </c>
      <c r="F1165" s="158">
        <v>5048</v>
      </c>
    </row>
    <row r="1166" spans="1:6" hidden="1" x14ac:dyDescent="0.3">
      <c r="A1166" s="7" t="str">
        <f>_xlfn.XLOOKUP(ColombiaClientes6[[#This Row],[Client]],VpsClientes[Client],VpsClientes[VP],"",0)</f>
        <v>Ludy Torres Benitez</v>
      </c>
      <c r="B1166" s="156" t="s">
        <v>95</v>
      </c>
      <c r="C1166" s="157" t="s">
        <v>205</v>
      </c>
      <c r="D1166" s="163" t="s">
        <v>219</v>
      </c>
      <c r="E1166" s="163" t="s">
        <v>206</v>
      </c>
      <c r="F1166" s="158">
        <v>321</v>
      </c>
    </row>
    <row r="1167" spans="1:6" x14ac:dyDescent="0.3">
      <c r="A1167" s="7" t="str">
        <f>_xlfn.XLOOKUP(ColombiaClientes6[[#This Row],[Client]],VpsClientes[Client],VpsClientes[VP],"",0)</f>
        <v>Luis Vergel Gonzalez</v>
      </c>
      <c r="B1167" s="156" t="s">
        <v>238</v>
      </c>
      <c r="C1167" s="157" t="s">
        <v>194</v>
      </c>
      <c r="D1167" s="163" t="s">
        <v>219</v>
      </c>
      <c r="E1167" s="163" t="s">
        <v>91</v>
      </c>
      <c r="F1167" s="158">
        <v>5135</v>
      </c>
    </row>
    <row r="1168" spans="1:6" hidden="1" x14ac:dyDescent="0.3">
      <c r="A1168" s="7" t="str">
        <f>_xlfn.XLOOKUP(ColombiaClientes6[[#This Row],[Client]],VpsClientes[Client],VpsClientes[VP],"",0)</f>
        <v>Moises Saavedra Garcia</v>
      </c>
      <c r="B1168" s="156" t="s">
        <v>201</v>
      </c>
      <c r="C1168" s="157" t="s">
        <v>205</v>
      </c>
      <c r="D1168" s="163" t="s">
        <v>219</v>
      </c>
      <c r="E1168" s="163" t="s">
        <v>206</v>
      </c>
      <c r="F1168" s="158">
        <v>236</v>
      </c>
    </row>
    <row r="1169" spans="1:6" x14ac:dyDescent="0.3">
      <c r="A1169" s="7" t="str">
        <f>_xlfn.XLOOKUP(ColombiaClientes6[[#This Row],[Client]],VpsClientes[Client],VpsClientes[VP],"",0)</f>
        <v>Luis Vergel Gonzalez</v>
      </c>
      <c r="B1169" s="156" t="s">
        <v>238</v>
      </c>
      <c r="C1169" s="157" t="s">
        <v>202</v>
      </c>
      <c r="D1169" s="163" t="s">
        <v>219</v>
      </c>
      <c r="E1169" s="163" t="s">
        <v>91</v>
      </c>
      <c r="F1169" s="158">
        <v>5536</v>
      </c>
    </row>
    <row r="1170" spans="1:6" x14ac:dyDescent="0.3">
      <c r="A1170" s="7" t="str">
        <f>_xlfn.XLOOKUP(ColombiaClientes6[[#This Row],[Client]],VpsClientes[Client],VpsClientes[VP],"",0)</f>
        <v>Luis Vergel Gonzalez</v>
      </c>
      <c r="B1170" s="156" t="s">
        <v>238</v>
      </c>
      <c r="C1170" s="157" t="s">
        <v>203</v>
      </c>
      <c r="D1170" s="163" t="s">
        <v>219</v>
      </c>
      <c r="E1170" s="163" t="s">
        <v>91</v>
      </c>
      <c r="F1170" s="158">
        <v>6202</v>
      </c>
    </row>
    <row r="1171" spans="1:6" hidden="1" x14ac:dyDescent="0.3">
      <c r="A1171" s="7" t="str">
        <f>_xlfn.XLOOKUP(ColombiaClientes6[[#This Row],[Client]],VpsClientes[Client],VpsClientes[VP],"",0)</f>
        <v>Hector Muraira Garza</v>
      </c>
      <c r="B1171" s="156" t="s">
        <v>132</v>
      </c>
      <c r="C1171" s="157" t="s">
        <v>205</v>
      </c>
      <c r="D1171" s="163" t="s">
        <v>219</v>
      </c>
      <c r="E1171" s="163" t="s">
        <v>206</v>
      </c>
      <c r="F1171" s="158">
        <v>139</v>
      </c>
    </row>
    <row r="1172" spans="1:6" x14ac:dyDescent="0.3">
      <c r="A1172" s="7" t="str">
        <f>_xlfn.XLOOKUP(ColombiaClientes6[[#This Row],[Client]],VpsClientes[Client],VpsClientes[VP],"",0)</f>
        <v>Luis Vergel Gonzalez</v>
      </c>
      <c r="B1172" s="156" t="s">
        <v>238</v>
      </c>
      <c r="C1172" s="157" t="s">
        <v>205</v>
      </c>
      <c r="D1172" s="163" t="s">
        <v>219</v>
      </c>
      <c r="E1172" s="163" t="s">
        <v>91</v>
      </c>
      <c r="F1172" s="158">
        <v>7920</v>
      </c>
    </row>
    <row r="1173" spans="1:6" hidden="1" x14ac:dyDescent="0.3">
      <c r="A1173" s="7" t="str">
        <f>_xlfn.XLOOKUP(ColombiaClientes6[[#This Row],[Client]],VpsClientes[Client],VpsClientes[VP],"",0)</f>
        <v>Sandra Romero Zuluaga</v>
      </c>
      <c r="B1173" s="156" t="s">
        <v>113</v>
      </c>
      <c r="C1173" s="157" t="s">
        <v>205</v>
      </c>
      <c r="D1173" s="163" t="s">
        <v>219</v>
      </c>
      <c r="E1173" s="163" t="s">
        <v>206</v>
      </c>
      <c r="F1173" s="158">
        <v>103</v>
      </c>
    </row>
    <row r="1174" spans="1:6" x14ac:dyDescent="0.3">
      <c r="A1174" s="7" t="str">
        <f>_xlfn.XLOOKUP(ColombiaClientes6[[#This Row],[Client]],VpsClientes[Client],VpsClientes[VP],"",0)</f>
        <v>Luis Vergel Gonzalez</v>
      </c>
      <c r="B1174" s="156" t="s">
        <v>238</v>
      </c>
      <c r="C1174" s="157" t="s">
        <v>237</v>
      </c>
      <c r="D1174" s="163" t="s">
        <v>219</v>
      </c>
      <c r="E1174" s="163" t="s">
        <v>91</v>
      </c>
      <c r="F1174" s="158">
        <v>1029</v>
      </c>
    </row>
    <row r="1175" spans="1:6" hidden="1" x14ac:dyDescent="0.3">
      <c r="A1175" s="7" t="str">
        <f>_xlfn.XLOOKUP(ColombiaClientes6[[#This Row],[Client]],VpsClientes[Client],VpsClientes[VP],"",0)</f>
        <v>Jhonatan Izquierdo Rico</v>
      </c>
      <c r="B1175" s="156" t="s">
        <v>157</v>
      </c>
      <c r="C1175" s="157" t="s">
        <v>205</v>
      </c>
      <c r="D1175" s="163" t="s">
        <v>219</v>
      </c>
      <c r="E1175" s="163" t="s">
        <v>206</v>
      </c>
      <c r="F1175" s="158">
        <v>84</v>
      </c>
    </row>
    <row r="1176" spans="1:6" x14ac:dyDescent="0.3">
      <c r="A1176" s="7" t="str">
        <f>_xlfn.XLOOKUP(ColombiaClientes6[[#This Row],[Client]],VpsClientes[Client],VpsClientes[VP],"",0)</f>
        <v>Luis Vergel Gonzalez</v>
      </c>
      <c r="B1176" s="156" t="s">
        <v>238</v>
      </c>
      <c r="C1176" s="157" t="s">
        <v>92</v>
      </c>
      <c r="D1176" s="163" t="s">
        <v>219</v>
      </c>
      <c r="E1176" s="163" t="s">
        <v>206</v>
      </c>
      <c r="F1176" s="158">
        <v>274</v>
      </c>
    </row>
    <row r="1177" spans="1:6" x14ac:dyDescent="0.3">
      <c r="A1177" s="7" t="str">
        <f>_xlfn.XLOOKUP(ColombiaClientes6[[#This Row],[Client]],VpsClientes[Client],VpsClientes[VP],"",0)</f>
        <v>Luis Vergel Gonzalez</v>
      </c>
      <c r="B1177" s="156" t="s">
        <v>238</v>
      </c>
      <c r="C1177" s="157" t="s">
        <v>191</v>
      </c>
      <c r="D1177" s="163" t="s">
        <v>219</v>
      </c>
      <c r="E1177" s="163" t="s">
        <v>206</v>
      </c>
      <c r="F1177" s="158">
        <v>334</v>
      </c>
    </row>
    <row r="1178" spans="1:6" hidden="1" x14ac:dyDescent="0.3">
      <c r="A1178" s="7" t="str">
        <f>_xlfn.XLOOKUP(ColombiaClientes6[[#This Row],[Client]],VpsClientes[Client],VpsClientes[VP],"",0)</f>
        <v>Hector Muraira Garza</v>
      </c>
      <c r="B1178" s="156" t="s">
        <v>167</v>
      </c>
      <c r="C1178" s="157" t="s">
        <v>205</v>
      </c>
      <c r="D1178" s="163" t="s">
        <v>219</v>
      </c>
      <c r="E1178" s="163" t="s">
        <v>206</v>
      </c>
      <c r="F1178" s="158">
        <v>57</v>
      </c>
    </row>
    <row r="1179" spans="1:6" hidden="1" x14ac:dyDescent="0.3">
      <c r="A1179" s="7" t="str">
        <f>_xlfn.XLOOKUP(ColombiaClientes6[[#This Row],[Client]],VpsClientes[Client],VpsClientes[VP],"",0)</f>
        <v>Juan Granados Castillo</v>
      </c>
      <c r="B1179" s="156" t="s">
        <v>134</v>
      </c>
      <c r="C1179" s="157" t="s">
        <v>205</v>
      </c>
      <c r="D1179" s="163" t="s">
        <v>219</v>
      </c>
      <c r="E1179" s="163" t="s">
        <v>206</v>
      </c>
      <c r="F1179" s="158">
        <v>55</v>
      </c>
    </row>
    <row r="1180" spans="1:6" x14ac:dyDescent="0.3">
      <c r="A1180" s="7" t="str">
        <f>_xlfn.XLOOKUP(ColombiaClientes6[[#This Row],[Client]],VpsClientes[Client],VpsClientes[VP],"",0)</f>
        <v>Luis Vergel Gonzalez</v>
      </c>
      <c r="B1180" s="156" t="s">
        <v>238</v>
      </c>
      <c r="C1180" s="157" t="s">
        <v>192</v>
      </c>
      <c r="D1180" s="163" t="s">
        <v>219</v>
      </c>
      <c r="E1180" s="163" t="s">
        <v>206</v>
      </c>
      <c r="F1180" s="158">
        <v>130</v>
      </c>
    </row>
    <row r="1181" spans="1:6" x14ac:dyDescent="0.3">
      <c r="A1181" s="7" t="str">
        <f>_xlfn.XLOOKUP(ColombiaClientes6[[#This Row],[Client]],VpsClientes[Client],VpsClientes[VP],"",0)</f>
        <v>Luis Vergel Gonzalez</v>
      </c>
      <c r="B1181" s="156" t="s">
        <v>238</v>
      </c>
      <c r="C1181" s="157" t="s">
        <v>194</v>
      </c>
      <c r="D1181" s="163" t="s">
        <v>219</v>
      </c>
      <c r="E1181" s="163" t="s">
        <v>206</v>
      </c>
      <c r="F1181" s="158">
        <v>458</v>
      </c>
    </row>
    <row r="1182" spans="1:6" x14ac:dyDescent="0.3">
      <c r="A1182" s="7" t="str">
        <f>_xlfn.XLOOKUP(ColombiaClientes6[[#This Row],[Client]],VpsClientes[Client],VpsClientes[VP],"",0)</f>
        <v>Luis Vergel Gonzalez</v>
      </c>
      <c r="B1182" s="156" t="s">
        <v>238</v>
      </c>
      <c r="C1182" s="157" t="s">
        <v>202</v>
      </c>
      <c r="D1182" s="163" t="s">
        <v>219</v>
      </c>
      <c r="E1182" s="163" t="s">
        <v>206</v>
      </c>
      <c r="F1182" s="158">
        <v>302</v>
      </c>
    </row>
    <row r="1183" spans="1:6" x14ac:dyDescent="0.3">
      <c r="A1183" s="7" t="str">
        <f>_xlfn.XLOOKUP(ColombiaClientes6[[#This Row],[Client]],VpsClientes[Client],VpsClientes[VP],"",0)</f>
        <v>Luis Vergel Gonzalez</v>
      </c>
      <c r="B1183" s="156" t="s">
        <v>238</v>
      </c>
      <c r="C1183" s="157" t="s">
        <v>203</v>
      </c>
      <c r="D1183" s="163" t="s">
        <v>219</v>
      </c>
      <c r="E1183" s="163" t="s">
        <v>206</v>
      </c>
      <c r="F1183" s="158">
        <v>214</v>
      </c>
    </row>
    <row r="1184" spans="1:6" x14ac:dyDescent="0.3">
      <c r="A1184" s="7" t="str">
        <f>_xlfn.XLOOKUP(ColombiaClientes6[[#This Row],[Client]],VpsClientes[Client],VpsClientes[VP],"",0)</f>
        <v>Luis Vergel Gonzalez</v>
      </c>
      <c r="B1184" s="156" t="s">
        <v>238</v>
      </c>
      <c r="C1184" s="157" t="s">
        <v>205</v>
      </c>
      <c r="D1184" s="163" t="s">
        <v>219</v>
      </c>
      <c r="E1184" s="163" t="s">
        <v>206</v>
      </c>
      <c r="F1184" s="158">
        <v>656</v>
      </c>
    </row>
    <row r="1185" spans="1:6" hidden="1" x14ac:dyDescent="0.3">
      <c r="A1185" s="7" t="str">
        <f>_xlfn.XLOOKUP(ColombiaClientes6[[#This Row],[Client]],VpsClientes[Client],VpsClientes[VP],"",0)</f>
        <v>Hector Muraira Garza</v>
      </c>
      <c r="B1185" s="156" t="s">
        <v>130</v>
      </c>
      <c r="C1185" s="157" t="s">
        <v>205</v>
      </c>
      <c r="D1185" s="163" t="s">
        <v>219</v>
      </c>
      <c r="E1185" s="163" t="s">
        <v>206</v>
      </c>
      <c r="F1185" s="158">
        <v>18</v>
      </c>
    </row>
    <row r="1186" spans="1:6" hidden="1" x14ac:dyDescent="0.3">
      <c r="A1186" s="7" t="str">
        <f>_xlfn.XLOOKUP(ColombiaClientes6[[#This Row],[Client]],VpsClientes[Client],VpsClientes[VP],"",0)</f>
        <v>Carlos Castillo Figueroa</v>
      </c>
      <c r="B1186" s="156" t="s">
        <v>105</v>
      </c>
      <c r="C1186" s="157" t="s">
        <v>205</v>
      </c>
      <c r="D1186" s="163" t="s">
        <v>219</v>
      </c>
      <c r="E1186" s="163" t="s">
        <v>206</v>
      </c>
      <c r="F1186" s="158">
        <v>17</v>
      </c>
    </row>
    <row r="1187" spans="1:6" x14ac:dyDescent="0.3">
      <c r="A1187" s="7" t="str">
        <f>_xlfn.XLOOKUP(ColombiaClientes6[[#This Row],[Client]],VpsClientes[Client],VpsClientes[VP],"",0)</f>
        <v>Luis Vergel Gonzalez</v>
      </c>
      <c r="B1187" s="156" t="s">
        <v>238</v>
      </c>
      <c r="C1187" s="157" t="s">
        <v>237</v>
      </c>
      <c r="D1187" s="163" t="s">
        <v>219</v>
      </c>
      <c r="E1187" s="163" t="s">
        <v>206</v>
      </c>
      <c r="F1187" s="158">
        <v>18</v>
      </c>
    </row>
    <row r="1188" spans="1:6" x14ac:dyDescent="0.3">
      <c r="A1188" s="7">
        <f>_xlfn.XLOOKUP(ColombiaClientes6[[#This Row],[Client]],VpsClientes[Client],VpsClientes[VP],"",0)</f>
        <v>0</v>
      </c>
      <c r="B1188" s="156" t="s">
        <v>265</v>
      </c>
      <c r="C1188" s="157" t="s">
        <v>192</v>
      </c>
      <c r="D1188" s="163" t="s">
        <v>90</v>
      </c>
      <c r="E1188" s="163" t="s">
        <v>91</v>
      </c>
      <c r="F1188" s="158">
        <v>2041</v>
      </c>
    </row>
    <row r="1189" spans="1:6" x14ac:dyDescent="0.3">
      <c r="A1189" s="7">
        <f>_xlfn.XLOOKUP(ColombiaClientes6[[#This Row],[Client]],VpsClientes[Client],VpsClientes[VP],"",0)</f>
        <v>0</v>
      </c>
      <c r="B1189" s="156" t="s">
        <v>265</v>
      </c>
      <c r="C1189" s="157" t="s">
        <v>194</v>
      </c>
      <c r="D1189" s="163" t="s">
        <v>90</v>
      </c>
      <c r="E1189" s="163" t="s">
        <v>91</v>
      </c>
      <c r="F1189" s="158">
        <v>3362</v>
      </c>
    </row>
    <row r="1190" spans="1:6" x14ac:dyDescent="0.3">
      <c r="A1190" s="7">
        <f>_xlfn.XLOOKUP(ColombiaClientes6[[#This Row],[Client]],VpsClientes[Client],VpsClientes[VP],"",0)</f>
        <v>0</v>
      </c>
      <c r="B1190" s="156" t="s">
        <v>265</v>
      </c>
      <c r="C1190" s="157" t="s">
        <v>202</v>
      </c>
      <c r="D1190" s="163" t="s">
        <v>90</v>
      </c>
      <c r="E1190" s="163" t="s">
        <v>91</v>
      </c>
      <c r="F1190" s="158">
        <v>2575</v>
      </c>
    </row>
    <row r="1191" spans="1:6" hidden="1" x14ac:dyDescent="0.3">
      <c r="A1191" s="7" t="str">
        <f>_xlfn.XLOOKUP(ColombiaClientes6[[#This Row],[Client]],VpsClientes[Client],VpsClientes[VP],"",0)</f>
        <v>Jhonatan Izquierdo Rico</v>
      </c>
      <c r="B1191" s="156" t="s">
        <v>104</v>
      </c>
      <c r="C1191" s="157" t="s">
        <v>205</v>
      </c>
      <c r="D1191" s="163" t="s">
        <v>219</v>
      </c>
      <c r="E1191" s="163" t="s">
        <v>206</v>
      </c>
      <c r="F1191" s="158">
        <v>9</v>
      </c>
    </row>
    <row r="1192" spans="1:6" x14ac:dyDescent="0.3">
      <c r="A1192" s="7">
        <f>_xlfn.XLOOKUP(ColombiaClientes6[[#This Row],[Client]],VpsClientes[Client],VpsClientes[VP],"",0)</f>
        <v>0</v>
      </c>
      <c r="B1192" s="156" t="s">
        <v>265</v>
      </c>
      <c r="C1192" s="157" t="s">
        <v>203</v>
      </c>
      <c r="D1192" s="163" t="s">
        <v>90</v>
      </c>
      <c r="E1192" s="163" t="s">
        <v>91</v>
      </c>
      <c r="F1192" s="158">
        <v>2670</v>
      </c>
    </row>
    <row r="1193" spans="1:6" x14ac:dyDescent="0.3">
      <c r="A1193" s="7">
        <f>_xlfn.XLOOKUP(ColombiaClientes6[[#This Row],[Client]],VpsClientes[Client],VpsClientes[VP],"",0)</f>
        <v>0</v>
      </c>
      <c r="B1193" s="156" t="s">
        <v>265</v>
      </c>
      <c r="C1193" s="157" t="s">
        <v>205</v>
      </c>
      <c r="D1193" s="163" t="s">
        <v>90</v>
      </c>
      <c r="E1193" s="163" t="s">
        <v>91</v>
      </c>
      <c r="F1193" s="158">
        <v>1982</v>
      </c>
    </row>
    <row r="1194" spans="1:6" hidden="1" x14ac:dyDescent="0.3">
      <c r="A1194" s="7" t="str">
        <f>_xlfn.XLOOKUP(ColombiaClientes6[[#This Row],[Client]],VpsClientes[Client],VpsClientes[VP],"",0)</f>
        <v>Carlos Beltran Hernandez</v>
      </c>
      <c r="B1194" s="159" t="s">
        <v>93</v>
      </c>
      <c r="C1194" s="10" t="s">
        <v>237</v>
      </c>
      <c r="D1194" s="163" t="s">
        <v>219</v>
      </c>
      <c r="E1194" s="163" t="s">
        <v>206</v>
      </c>
      <c r="F1194" s="161">
        <v>673</v>
      </c>
    </row>
    <row r="1195" spans="1:6" hidden="1" x14ac:dyDescent="0.3">
      <c r="A1195" s="7" t="str">
        <f>_xlfn.XLOOKUP(ColombiaClientes6[[#This Row],[Client]],VpsClientes[Client],VpsClientes[VP],"",0)</f>
        <v>Moises Saavedra Garcia</v>
      </c>
      <c r="B1195" s="159" t="s">
        <v>110</v>
      </c>
      <c r="C1195" s="160" t="s">
        <v>237</v>
      </c>
      <c r="D1195" s="163" t="s">
        <v>219</v>
      </c>
      <c r="E1195" s="163" t="s">
        <v>206</v>
      </c>
      <c r="F1195" s="161">
        <v>481</v>
      </c>
    </row>
    <row r="1196" spans="1:6" hidden="1" x14ac:dyDescent="0.3">
      <c r="A1196" s="7" t="str">
        <f>_xlfn.XLOOKUP(ColombiaClientes6[[#This Row],[Client]],VpsClientes[Client],VpsClientes[VP],"",0)</f>
        <v>Hector Muraira Garza</v>
      </c>
      <c r="B1196" s="159" t="s">
        <v>140</v>
      </c>
      <c r="C1196" s="160" t="s">
        <v>237</v>
      </c>
      <c r="D1196" s="163" t="s">
        <v>219</v>
      </c>
      <c r="E1196" s="163" t="s">
        <v>206</v>
      </c>
      <c r="F1196" s="161">
        <v>335</v>
      </c>
    </row>
    <row r="1197" spans="1:6" hidden="1" x14ac:dyDescent="0.3">
      <c r="A1197" s="7" t="str">
        <f>_xlfn.XLOOKUP(ColombiaClientes6[[#This Row],[Client]],VpsClientes[Client],VpsClientes[VP],"",0)</f>
        <v>Hector Muraira Garza</v>
      </c>
      <c r="B1197" s="159" t="s">
        <v>164</v>
      </c>
      <c r="C1197" s="160" t="s">
        <v>237</v>
      </c>
      <c r="D1197" s="163" t="s">
        <v>219</v>
      </c>
      <c r="E1197" s="163" t="s">
        <v>206</v>
      </c>
      <c r="F1197" s="161">
        <v>272</v>
      </c>
    </row>
    <row r="1198" spans="1:6" x14ac:dyDescent="0.3">
      <c r="A1198" s="7">
        <f>_xlfn.XLOOKUP(ColombiaClientes6[[#This Row],[Client]],VpsClientes[Client],VpsClientes[VP],"",0)</f>
        <v>0</v>
      </c>
      <c r="B1198" s="159" t="s">
        <v>265</v>
      </c>
      <c r="C1198" s="160" t="s">
        <v>237</v>
      </c>
      <c r="D1198" s="163" t="s">
        <v>90</v>
      </c>
      <c r="E1198" s="163" t="s">
        <v>91</v>
      </c>
      <c r="F1198" s="161">
        <v>73</v>
      </c>
    </row>
    <row r="1199" spans="1:6" hidden="1" x14ac:dyDescent="0.3">
      <c r="A1199" s="7" t="str">
        <f>_xlfn.XLOOKUP(ColombiaClientes6[[#This Row],[Client]],VpsClientes[Client],VpsClientes[VP],"",0)</f>
        <v>Javier Orjuela Sarmiento</v>
      </c>
      <c r="B1199" s="159" t="s">
        <v>133</v>
      </c>
      <c r="C1199" s="160" t="s">
        <v>237</v>
      </c>
      <c r="D1199" s="163" t="s">
        <v>219</v>
      </c>
      <c r="E1199" s="163" t="s">
        <v>206</v>
      </c>
      <c r="F1199" s="161">
        <v>115</v>
      </c>
    </row>
    <row r="1200" spans="1:6" x14ac:dyDescent="0.3">
      <c r="A1200" s="7">
        <f>_xlfn.XLOOKUP(ColombiaClientes6[[#This Row],[Client]],VpsClientes[Client],VpsClientes[VP],"",0)</f>
        <v>0</v>
      </c>
      <c r="B1200" s="159" t="s">
        <v>265</v>
      </c>
      <c r="C1200" s="160" t="s">
        <v>192</v>
      </c>
      <c r="D1200" s="163" t="s">
        <v>90</v>
      </c>
      <c r="E1200" s="163" t="s">
        <v>206</v>
      </c>
      <c r="F1200" s="161">
        <v>134</v>
      </c>
    </row>
    <row r="1201" spans="1:6" x14ac:dyDescent="0.3">
      <c r="A1201" s="7">
        <f>_xlfn.XLOOKUP(ColombiaClientes6[[#This Row],[Client]],VpsClientes[Client],VpsClientes[VP],"",0)</f>
        <v>0</v>
      </c>
      <c r="B1201" s="159" t="s">
        <v>265</v>
      </c>
      <c r="C1201" s="160" t="s">
        <v>194</v>
      </c>
      <c r="D1201" s="163" t="s">
        <v>90</v>
      </c>
      <c r="E1201" s="163" t="s">
        <v>206</v>
      </c>
      <c r="F1201" s="161">
        <v>749</v>
      </c>
    </row>
    <row r="1202" spans="1:6" hidden="1" x14ac:dyDescent="0.3">
      <c r="A1202" s="7" t="str">
        <f>_xlfn.XLOOKUP(ColombiaClientes6[[#This Row],[Client]],VpsClientes[Client],VpsClientes[VP],"",0)</f>
        <v>Moises Saavedra Garcia</v>
      </c>
      <c r="B1202" s="159" t="s">
        <v>201</v>
      </c>
      <c r="C1202" s="160" t="s">
        <v>237</v>
      </c>
      <c r="D1202" s="163" t="s">
        <v>219</v>
      </c>
      <c r="E1202" s="163" t="s">
        <v>206</v>
      </c>
      <c r="F1202" s="161">
        <v>43</v>
      </c>
    </row>
    <row r="1203" spans="1:6" hidden="1" x14ac:dyDescent="0.3">
      <c r="A1203" s="7" t="str">
        <f>_xlfn.XLOOKUP(ColombiaClientes6[[#This Row],[Client]],VpsClientes[Client],VpsClientes[VP],"",0)</f>
        <v>Martha Guzman Arango</v>
      </c>
      <c r="B1203" s="159" t="s">
        <v>199</v>
      </c>
      <c r="C1203" s="160" t="s">
        <v>237</v>
      </c>
      <c r="D1203" s="163" t="s">
        <v>219</v>
      </c>
      <c r="E1203" s="163" t="s">
        <v>206</v>
      </c>
      <c r="F1203" s="161">
        <v>35</v>
      </c>
    </row>
    <row r="1204" spans="1:6" x14ac:dyDescent="0.3">
      <c r="A1204" s="7">
        <f>_xlfn.XLOOKUP(ColombiaClientes6[[#This Row],[Client]],VpsClientes[Client],VpsClientes[VP],"",0)</f>
        <v>0</v>
      </c>
      <c r="B1204" s="159" t="s">
        <v>265</v>
      </c>
      <c r="C1204" s="160" t="s">
        <v>202</v>
      </c>
      <c r="D1204" s="163" t="s">
        <v>90</v>
      </c>
      <c r="E1204" s="163" t="s">
        <v>206</v>
      </c>
      <c r="F1204" s="161">
        <v>798</v>
      </c>
    </row>
    <row r="1205" spans="1:6" x14ac:dyDescent="0.3">
      <c r="A1205" s="7">
        <f>_xlfn.XLOOKUP(ColombiaClientes6[[#This Row],[Client]],VpsClientes[Client],VpsClientes[VP],"",0)</f>
        <v>0</v>
      </c>
      <c r="B1205" s="159" t="s">
        <v>265</v>
      </c>
      <c r="C1205" s="160" t="s">
        <v>203</v>
      </c>
      <c r="D1205" s="163" t="s">
        <v>90</v>
      </c>
      <c r="E1205" s="163" t="s">
        <v>206</v>
      </c>
      <c r="F1205" s="161">
        <v>582</v>
      </c>
    </row>
    <row r="1206" spans="1:6" hidden="1" x14ac:dyDescent="0.3">
      <c r="A1206" s="7" t="str">
        <f>_xlfn.XLOOKUP(ColombiaClientes6[[#This Row],[Client]],VpsClientes[Client],VpsClientes[VP],"",0)</f>
        <v>Sandra Romero Zuluaga</v>
      </c>
      <c r="B1206" s="159" t="s">
        <v>113</v>
      </c>
      <c r="C1206" s="160" t="s">
        <v>237</v>
      </c>
      <c r="D1206" s="163" t="s">
        <v>219</v>
      </c>
      <c r="E1206" s="163" t="s">
        <v>206</v>
      </c>
      <c r="F1206" s="161">
        <v>25</v>
      </c>
    </row>
    <row r="1207" spans="1:6" hidden="1" x14ac:dyDescent="0.3">
      <c r="A1207" s="7" t="str">
        <f>_xlfn.XLOOKUP(ColombiaClientes6[[#This Row],[Client]],VpsClientes[Client],VpsClientes[VP],"",0)</f>
        <v>Ludy Torres Benitez</v>
      </c>
      <c r="B1207" s="159" t="s">
        <v>95</v>
      </c>
      <c r="C1207" s="160" t="s">
        <v>237</v>
      </c>
      <c r="D1207" s="163" t="s">
        <v>219</v>
      </c>
      <c r="E1207" s="163" t="s">
        <v>206</v>
      </c>
      <c r="F1207" s="161">
        <v>21</v>
      </c>
    </row>
    <row r="1208" spans="1:6" x14ac:dyDescent="0.3">
      <c r="A1208" s="7">
        <f>_xlfn.XLOOKUP(ColombiaClientes6[[#This Row],[Client]],VpsClientes[Client],VpsClientes[VP],"",0)</f>
        <v>0</v>
      </c>
      <c r="B1208" s="159" t="s">
        <v>265</v>
      </c>
      <c r="C1208" s="160" t="s">
        <v>205</v>
      </c>
      <c r="D1208" s="163" t="s">
        <v>90</v>
      </c>
      <c r="E1208" s="163" t="s">
        <v>206</v>
      </c>
      <c r="F1208" s="161">
        <v>1437</v>
      </c>
    </row>
    <row r="1209" spans="1:6" hidden="1" x14ac:dyDescent="0.3">
      <c r="A1209" s="7" t="str">
        <f>_xlfn.XLOOKUP(ColombiaClientes6[[#This Row],[Client]],VpsClientes[Client],VpsClientes[VP],"",0)</f>
        <v>Hector Muraira Garza</v>
      </c>
      <c r="B1209" s="159" t="s">
        <v>132</v>
      </c>
      <c r="C1209" s="160" t="s">
        <v>237</v>
      </c>
      <c r="D1209" s="163" t="s">
        <v>219</v>
      </c>
      <c r="E1209" s="163" t="s">
        <v>206</v>
      </c>
      <c r="F1209" s="161">
        <v>20</v>
      </c>
    </row>
    <row r="1210" spans="1:6" x14ac:dyDescent="0.3">
      <c r="A1210" s="7">
        <f>_xlfn.XLOOKUP(ColombiaClientes6[[#This Row],[Client]],VpsClientes[Client],VpsClientes[VP],"",0)</f>
        <v>0</v>
      </c>
      <c r="B1210" s="159" t="s">
        <v>265</v>
      </c>
      <c r="C1210" s="160" t="s">
        <v>237</v>
      </c>
      <c r="D1210" s="163" t="s">
        <v>90</v>
      </c>
      <c r="E1210" s="163" t="s">
        <v>206</v>
      </c>
      <c r="F1210" s="161">
        <v>762</v>
      </c>
    </row>
    <row r="1211" spans="1:6" x14ac:dyDescent="0.3">
      <c r="A1211" s="7">
        <f>_xlfn.XLOOKUP(ColombiaClientes6[[#This Row],[Client]],VpsClientes[Client],VpsClientes[VP],"",0)</f>
        <v>0</v>
      </c>
      <c r="B1211" s="159" t="s">
        <v>265</v>
      </c>
      <c r="C1211" s="160" t="s">
        <v>192</v>
      </c>
      <c r="D1211" s="163" t="s">
        <v>219</v>
      </c>
      <c r="E1211" s="163" t="s">
        <v>91</v>
      </c>
      <c r="F1211" s="161">
        <v>28</v>
      </c>
    </row>
    <row r="1212" spans="1:6" hidden="1" x14ac:dyDescent="0.3">
      <c r="A1212" s="7" t="str">
        <f>_xlfn.XLOOKUP(ColombiaClientes6[[#This Row],[Client]],VpsClientes[Client],VpsClientes[VP],"",0)</f>
        <v>Hector Muraira Garza</v>
      </c>
      <c r="B1212" s="159" t="s">
        <v>167</v>
      </c>
      <c r="C1212" s="160" t="s">
        <v>237</v>
      </c>
      <c r="D1212" s="163" t="s">
        <v>219</v>
      </c>
      <c r="E1212" s="163" t="s">
        <v>206</v>
      </c>
      <c r="F1212" s="161">
        <v>9</v>
      </c>
    </row>
    <row r="1213" spans="1:6" x14ac:dyDescent="0.3">
      <c r="A1213" s="7">
        <f>_xlfn.XLOOKUP(ColombiaClientes6[[#This Row],[Client]],VpsClientes[Client],VpsClientes[VP],"",0)</f>
        <v>0</v>
      </c>
      <c r="B1213" s="159" t="s">
        <v>265</v>
      </c>
      <c r="C1213" s="160" t="s">
        <v>194</v>
      </c>
      <c r="D1213" s="163" t="s">
        <v>219</v>
      </c>
      <c r="E1213" s="163" t="s">
        <v>91</v>
      </c>
      <c r="F1213" s="161">
        <v>303</v>
      </c>
    </row>
    <row r="1214" spans="1:6" x14ac:dyDescent="0.3">
      <c r="A1214" s="7">
        <f>_xlfn.XLOOKUP(ColombiaClientes6[[#This Row],[Client]],VpsClientes[Client],VpsClientes[VP],"",0)</f>
        <v>0</v>
      </c>
      <c r="B1214" s="159" t="s">
        <v>265</v>
      </c>
      <c r="C1214" s="160" t="s">
        <v>202</v>
      </c>
      <c r="D1214" s="163" t="s">
        <v>219</v>
      </c>
      <c r="E1214" s="163" t="s">
        <v>91</v>
      </c>
      <c r="F1214" s="161">
        <v>274</v>
      </c>
    </row>
    <row r="1215" spans="1:6" x14ac:dyDescent="0.3">
      <c r="A1215" s="7">
        <f>_xlfn.XLOOKUP(ColombiaClientes6[[#This Row],[Client]],VpsClientes[Client],VpsClientes[VP],"",0)</f>
        <v>0</v>
      </c>
      <c r="B1215" s="159" t="s">
        <v>265</v>
      </c>
      <c r="C1215" s="160" t="s">
        <v>203</v>
      </c>
      <c r="D1215" s="163" t="s">
        <v>219</v>
      </c>
      <c r="E1215" s="163" t="s">
        <v>91</v>
      </c>
      <c r="F1215" s="161">
        <v>392</v>
      </c>
    </row>
    <row r="1216" spans="1:6" x14ac:dyDescent="0.3">
      <c r="A1216" s="7">
        <f>_xlfn.XLOOKUP(ColombiaClientes6[[#This Row],[Client]],VpsClientes[Client],VpsClientes[VP],"",0)</f>
        <v>0</v>
      </c>
      <c r="B1216" s="159" t="s">
        <v>265</v>
      </c>
      <c r="C1216" s="160" t="s">
        <v>205</v>
      </c>
      <c r="D1216" s="163" t="s">
        <v>219</v>
      </c>
      <c r="E1216" s="163" t="s">
        <v>91</v>
      </c>
      <c r="F1216" s="161">
        <v>467</v>
      </c>
    </row>
    <row r="1217" spans="1:6" hidden="1" x14ac:dyDescent="0.3">
      <c r="A1217" s="7" t="str">
        <f>_xlfn.XLOOKUP(ColombiaClientes6[[#This Row],[Client]],VpsClientes[Client],VpsClientes[VP],"",0)</f>
        <v>Juan Granados Castillo</v>
      </c>
      <c r="B1217" s="159" t="s">
        <v>134</v>
      </c>
      <c r="C1217" s="160" t="s">
        <v>237</v>
      </c>
      <c r="D1217" s="163" t="s">
        <v>219</v>
      </c>
      <c r="E1217" s="163" t="s">
        <v>206</v>
      </c>
      <c r="F1217" s="161">
        <v>2</v>
      </c>
    </row>
    <row r="1218" spans="1:6" x14ac:dyDescent="0.3">
      <c r="A1218" s="7">
        <f>_xlfn.XLOOKUP(ColombiaClientes6[[#This Row],[Client]],VpsClientes[Client],VpsClientes[VP],"",0)</f>
        <v>0</v>
      </c>
      <c r="B1218" s="159" t="s">
        <v>265</v>
      </c>
      <c r="C1218" s="160" t="s">
        <v>237</v>
      </c>
      <c r="D1218" s="163" t="s">
        <v>219</v>
      </c>
      <c r="E1218" s="163" t="s">
        <v>91</v>
      </c>
      <c r="F1218" s="161">
        <v>61</v>
      </c>
    </row>
    <row r="1219" spans="1:6" x14ac:dyDescent="0.3">
      <c r="A1219" s="7">
        <f>_xlfn.XLOOKUP(ColombiaClientes6[[#This Row],[Client]],VpsClientes[Client],VpsClientes[VP],"",0)</f>
        <v>0</v>
      </c>
      <c r="B1219" s="159" t="s">
        <v>265</v>
      </c>
      <c r="C1219" s="160" t="s">
        <v>192</v>
      </c>
      <c r="D1219" s="163" t="s">
        <v>219</v>
      </c>
      <c r="E1219" s="163" t="s">
        <v>206</v>
      </c>
      <c r="F1219" s="161">
        <v>6</v>
      </c>
    </row>
    <row r="1220" spans="1:6" x14ac:dyDescent="0.3">
      <c r="A1220" s="7">
        <f>_xlfn.XLOOKUP(ColombiaClientes6[[#This Row],[Client]],VpsClientes[Client],VpsClientes[VP],"",0)</f>
        <v>0</v>
      </c>
      <c r="B1220" s="159" t="s">
        <v>265</v>
      </c>
      <c r="C1220" s="160" t="s">
        <v>194</v>
      </c>
      <c r="D1220" s="163" t="s">
        <v>219</v>
      </c>
      <c r="E1220" s="163" t="s">
        <v>206</v>
      </c>
      <c r="F1220" s="161">
        <v>36</v>
      </c>
    </row>
    <row r="1221" spans="1:6" x14ac:dyDescent="0.3">
      <c r="A1221" s="7">
        <f>_xlfn.XLOOKUP(ColombiaClientes6[[#This Row],[Client]],VpsClientes[Client],VpsClientes[VP],"",0)</f>
        <v>0</v>
      </c>
      <c r="B1221" s="159" t="s">
        <v>265</v>
      </c>
      <c r="C1221" s="160" t="s">
        <v>202</v>
      </c>
      <c r="D1221" s="163" t="s">
        <v>219</v>
      </c>
      <c r="E1221" s="163" t="s">
        <v>206</v>
      </c>
      <c r="F1221" s="161">
        <v>15</v>
      </c>
    </row>
    <row r="1222" spans="1:6" x14ac:dyDescent="0.3">
      <c r="A1222" s="7">
        <f>_xlfn.XLOOKUP(ColombiaClientes6[[#This Row],[Client]],VpsClientes[Client],VpsClientes[VP],"",0)</f>
        <v>0</v>
      </c>
      <c r="B1222" s="159" t="s">
        <v>265</v>
      </c>
      <c r="C1222" s="160" t="s">
        <v>203</v>
      </c>
      <c r="D1222" s="163" t="s">
        <v>219</v>
      </c>
      <c r="E1222" s="163" t="s">
        <v>206</v>
      </c>
      <c r="F1222" s="161">
        <v>55</v>
      </c>
    </row>
    <row r="1223" spans="1:6" x14ac:dyDescent="0.3">
      <c r="A1223" s="7">
        <f>_xlfn.XLOOKUP(ColombiaClientes6[[#This Row],[Client]],VpsClientes[Client],VpsClientes[VP],"",0)</f>
        <v>0</v>
      </c>
      <c r="B1223" s="159" t="s">
        <v>265</v>
      </c>
      <c r="C1223" s="160" t="s">
        <v>205</v>
      </c>
      <c r="D1223" s="163" t="s">
        <v>219</v>
      </c>
      <c r="E1223" s="163" t="s">
        <v>206</v>
      </c>
      <c r="F1223" s="161">
        <v>58</v>
      </c>
    </row>
    <row r="1224" spans="1:6" x14ac:dyDescent="0.3">
      <c r="A1224" s="7">
        <f>_xlfn.XLOOKUP(ColombiaClientes6[[#This Row],[Client]],VpsClientes[Client],VpsClientes[VP],"",0)</f>
        <v>0</v>
      </c>
      <c r="B1224" s="159" t="s">
        <v>265</v>
      </c>
      <c r="C1224" s="160" t="s">
        <v>237</v>
      </c>
      <c r="D1224" s="163" t="s">
        <v>219</v>
      </c>
      <c r="E1224" s="163" t="s">
        <v>206</v>
      </c>
      <c r="F1224" s="161">
        <v>0</v>
      </c>
    </row>
    <row r="1225" spans="1:6" hidden="1" x14ac:dyDescent="0.3">
      <c r="A1225" s="7" t="str">
        <f>_xlfn.XLOOKUP(ColombiaClientes6[[#This Row],[Client]],VpsClientes[Client],VpsClientes[VP],"",0)</f>
        <v>Jhonatan Izquierdo Rico</v>
      </c>
      <c r="B1225" s="159" t="s">
        <v>157</v>
      </c>
      <c r="C1225" s="160" t="s">
        <v>237</v>
      </c>
      <c r="D1225" s="163" t="s">
        <v>219</v>
      </c>
      <c r="E1225" s="163" t="s">
        <v>206</v>
      </c>
      <c r="F1225" s="161">
        <v>0</v>
      </c>
    </row>
  </sheetData>
  <conditionalFormatting sqref="F2:F1225">
    <cfRule type="duplicateValues" dxfId="0" priority="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VpsClientes</vt:lpstr>
      <vt:lpstr>ColombiaJustificaciones</vt:lpstr>
      <vt:lpstr>ColombiaClientes</vt:lpstr>
      <vt:lpstr>PeruJustificaciones</vt:lpstr>
      <vt:lpstr>PeruClientes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Andres Guerrero Bohorquez</cp:lastModifiedBy>
  <dcterms:created xsi:type="dcterms:W3CDTF">2016-07-06T08:22:49Z</dcterms:created>
  <dcterms:modified xsi:type="dcterms:W3CDTF">2026-08-07T20:08:53Z</dcterms:modified>
</cp:coreProperties>
</file>