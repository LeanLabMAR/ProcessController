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guerrerobohorquez.6\Downloads\Matriz_de_Riesgos\"/>
    </mc:Choice>
  </mc:AlternateContent>
  <xr:revisionPtr revIDLastSave="0" documentId="13_ncr:1_{F6E4ECF7-0416-4613-B502-503B98059FAC}" xr6:coauthVersionLast="47" xr6:coauthVersionMax="47" xr10:uidLastSave="{00000000-0000-0000-0000-000000000000}"/>
  <bookViews>
    <workbookView xWindow="-108" yWindow="-108" windowWidth="23256" windowHeight="13896" activeTab="1" xr2:uid="{4244A607-C399-497B-B8E0-EE6C2901F13C}"/>
  </bookViews>
  <sheets>
    <sheet name="Configuracion" sheetId="5" r:id="rId1"/>
    <sheet name="DB_Dashboard" sheetId="3"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3" l="1"/>
  <c r="G6" i="3"/>
  <c r="G7" i="3"/>
  <c r="G8" i="3"/>
  <c r="G9" i="3"/>
  <c r="G4" i="3"/>
</calcChain>
</file>

<file path=xl/sharedStrings.xml><?xml version="1.0" encoding="utf-8"?>
<sst xmlns="http://schemas.openxmlformats.org/spreadsheetml/2006/main" count="225" uniqueCount="141">
  <si>
    <t>Mes</t>
  </si>
  <si>
    <t>Horas</t>
  </si>
  <si>
    <t>CPH</t>
  </si>
  <si>
    <t>Euros</t>
  </si>
  <si>
    <t>COP</t>
  </si>
  <si>
    <t>Approved</t>
  </si>
  <si>
    <t>Denied</t>
  </si>
  <si>
    <t>Justificacion</t>
  </si>
  <si>
    <t>Porcentaje</t>
  </si>
  <si>
    <t>Area</t>
  </si>
  <si>
    <t>Casos</t>
  </si>
  <si>
    <t>Afectadas</t>
  </si>
  <si>
    <t>REDUCCIONES</t>
  </si>
  <si>
    <t>Logged Floor Support</t>
  </si>
  <si>
    <t>Long out of shift interaction</t>
  </si>
  <si>
    <t>Technical Problem - Client</t>
  </si>
  <si>
    <t>OPS Training</t>
  </si>
  <si>
    <t>Logged out Training TP</t>
  </si>
  <si>
    <t>Mandatory logout by TP</t>
  </si>
  <si>
    <t>Others</t>
  </si>
  <si>
    <t>ADICIONES</t>
  </si>
  <si>
    <t>Help Desk</t>
  </si>
  <si>
    <t>Master Lilos</t>
  </si>
  <si>
    <t>GBS</t>
  </si>
  <si>
    <t>Reducciones Aplicadas - On Time</t>
  </si>
  <si>
    <t>Horas de Reducción justificadas y denegadas</t>
  </si>
  <si>
    <t>Pareto Justificaciones Reducción On Time</t>
  </si>
  <si>
    <t>Adiciones Aplicadas - On Time</t>
  </si>
  <si>
    <t>Horas de Adición justificadas y denegadas</t>
  </si>
  <si>
    <t>Pareto Justificaciones Adición On Time</t>
  </si>
  <si>
    <t>Gestión e Incidencias</t>
  </si>
  <si>
    <t>Gestión On Time por mes</t>
  </si>
  <si>
    <t>Tracker Incidencias por Área</t>
  </si>
  <si>
    <t>Tendencia Incidencias Mensual</t>
  </si>
  <si>
    <t>Errores y Horas Extras</t>
  </si>
  <si>
    <t>Errores de Nómina COLOMBIA</t>
  </si>
  <si>
    <t>Errores de Nómina PERÚ</t>
  </si>
  <si>
    <t>Horas diarias superiores a 11.5</t>
  </si>
  <si>
    <t>Manual</t>
  </si>
  <si>
    <t>Automatica</t>
  </si>
  <si>
    <t>Variable</t>
  </si>
  <si>
    <t>Valor</t>
  </si>
  <si>
    <t>kpi_red_horas</t>
  </si>
  <si>
    <t>kpi_red_euros</t>
  </si>
  <si>
    <t>kpi_adi_horas</t>
  </si>
  <si>
    <t>kpi_adi_euros</t>
  </si>
  <si>
    <t>Gestión On Time por Q</t>
  </si>
  <si>
    <t>Estado de Implementación</t>
  </si>
  <si>
    <t>Masificacion On-Time Colombia</t>
  </si>
  <si>
    <t>Masificacion On-Time Perú</t>
  </si>
  <si>
    <t>Estado</t>
  </si>
  <si>
    <t>Implementados</t>
  </si>
  <si>
    <t>En Progreso</t>
  </si>
  <si>
    <t>Trimestre</t>
  </si>
  <si>
    <t>Q1</t>
  </si>
  <si>
    <t>Q2</t>
  </si>
  <si>
    <t>Errores</t>
  </si>
  <si>
    <t>kpi_imp_col</t>
  </si>
  <si>
    <t>kpi_imp_per</t>
  </si>
  <si>
    <t>txt_red_aplicadas</t>
  </si>
  <si>
    <t>txt_red_estado</t>
  </si>
  <si>
    <t>Enero</t>
  </si>
  <si>
    <t>Febrero</t>
  </si>
  <si>
    <t>Marzo</t>
  </si>
  <si>
    <t>Abril</t>
  </si>
  <si>
    <t>Mayo</t>
  </si>
  <si>
    <t>Cuenta</t>
  </si>
  <si>
    <t>Pais</t>
  </si>
  <si>
    <t>VP</t>
  </si>
  <si>
    <t>Motivo</t>
  </si>
  <si>
    <t>Resp</t>
  </si>
  <si>
    <t>Fecha</t>
  </si>
  <si>
    <t>Observacion</t>
  </si>
  <si>
    <t>Ebay</t>
  </si>
  <si>
    <t>Colombia</t>
  </si>
  <si>
    <t>Hector Moraira</t>
  </si>
  <si>
    <t>Restricción de la URL de On Time en la imagen del cliente, no se permite el acceso a herramientas de logueo para el control de tiempos.</t>
  </si>
  <si>
    <t>Operaciones / Cliente</t>
  </si>
  <si>
    <t>Sin Definir</t>
  </si>
  <si>
    <t>Pendiente</t>
  </si>
  <si>
    <t>El staff cuenta con acceso a On Time, pero no hay una herramienta que permita el registro de tiempos, en espera de exposición a Internet de TimeKepper.</t>
  </si>
  <si>
    <t>Estado de Implementación - Cuadro de información</t>
  </si>
  <si>
    <t>URL de la imagen</t>
  </si>
  <si>
    <t>hero_img</t>
  </si>
  <si>
    <t>kpi_imp_col_sub</t>
  </si>
  <si>
    <t>kpi_imp_per_sub</t>
  </si>
  <si>
    <t>txt_implementacion</t>
  </si>
  <si>
    <t>txt_inc_area</t>
  </si>
  <si>
    <t>txt_err_col</t>
  </si>
  <si>
    <t>txt_red_pareto</t>
  </si>
  <si>
    <t>txt_adi_aplicadas</t>
  </si>
  <si>
    <t>txt_adi_estado</t>
  </si>
  <si>
    <t>txt_adi_pareto</t>
  </si>
  <si>
    <t>txt_gestion</t>
  </si>
  <si>
    <t>txt_inc_mes</t>
  </si>
  <si>
    <t>txt_err_per</t>
  </si>
  <si>
    <t>txt_horas_extras</t>
  </si>
  <si>
    <t>Login in client tool loaded incomplete</t>
  </si>
  <si>
    <t>Logged coaching</t>
  </si>
  <si>
    <t>Forgotten login in payroll tool</t>
  </si>
  <si>
    <t>Logged out Floor Support</t>
  </si>
  <si>
    <t>Agent in Transfer Process</t>
  </si>
  <si>
    <t>Client Training - Logged / Logged out</t>
  </si>
  <si>
    <t>Comentario Reducciones Aplicadas - On Time</t>
  </si>
  <si>
    <t>Comentario Horas de Reducción justificadas y denegadas</t>
  </si>
  <si>
    <t>Comentario Pareto Justificaciones Reducción On Time</t>
  </si>
  <si>
    <t>Comentario Adiciones Aplicadas - On Time</t>
  </si>
  <si>
    <t>Comentario Horas de Adición justificadas y denegadas</t>
  </si>
  <si>
    <t>Comentario Pareto Justificaciones Adición On Time</t>
  </si>
  <si>
    <t>Comentario Estado de Implementación</t>
  </si>
  <si>
    <t>Comentario Gestión Operativa</t>
  </si>
  <si>
    <t>Comentario Tracker Incidencias</t>
  </si>
  <si>
    <t>Comentario Grafico de tendencia Incidencias Mensual</t>
  </si>
  <si>
    <t>Comentario Tendencia Errores de nómina COLOMBIA</t>
  </si>
  <si>
    <t>Comentario Tendencia Errores de nómina PERU</t>
  </si>
  <si>
    <t>Comentario Horas diarias superiores a 11.5</t>
  </si>
  <si>
    <t>https://github.com/LeanLabMAR/ProcessController/blob/main/Mayo/GMT_PPT_Template_Global%20TP%20_February_2025.png?raw=true</t>
  </si>
  <si>
    <t>Junio</t>
  </si>
  <si>
    <t>Forgotten login in OT</t>
  </si>
  <si>
    <t>Service Now -  Temporary migration IT</t>
  </si>
  <si>
    <t>Technical Problem Time Keeper</t>
  </si>
  <si>
    <t>Team Meeting TP - Logged / Logged out</t>
  </si>
  <si>
    <t>1.91M Horas</t>
  </si>
  <si>
    <t>€ 16'359,853</t>
  </si>
  <si>
    <t>2.59M Horas</t>
  </si>
  <si>
    <t>97.56% Clientes implementados PER</t>
  </si>
  <si>
    <t>• Para los meses de enero a junio de 2026 se presentaron reducciones de tiempo aplicadas por la herramienta On Time, acumulando cerca de €16.35 MM de ahorros para la compañía.</t>
  </si>
  <si>
    <t>• Para los meses de enero a junio de 2026 se presentaron adiciones de tiempo aplicadas por la herramienta On Time, acumulando cerca de €21.11 MM en el periodo.</t>
  </si>
  <si>
    <t>• Tanto en Colombia como en Perú hemos alcanzado un nivel de implementación superior al 97%, para Perú las cuentas restantes se encuentran actualmente en proceso de implementación.
• En el caso de Colombia, persisten 2 cuentas pendientes de implementar, las cuales están siendo revisadas con detalle para definir las acciones necesarias que permitan concluir el proceso de forma satisfactoria.</t>
  </si>
  <si>
    <t>• Durante el periodo de enero a junio de 2026, la mayor cantidad de incidencias registradas en la herramienta On Time se concentra en el área de Help Desk, con 803 casos que impactaron a 877.389 personas, posicionándose como el principal foco de afectación operativa, en su mayoría debido a retrasos en la finalización de la ejecución del Job, posicionándose como el principal foco de afectación operativa.. 
• Adicionalmente, se identifican incidencias asociadas a MasterLilos (79 casos / 80.687 personas afectadas) y GBS (17 casos / 86 personas afectadas)
• Esta distribución evidencia que las principales afectaciones continúan concentradas en los procesos de soporte y gestión de herramientas tecnológicas, generando impactos relevantes en la experiencia de los colaboradores y en la oportunidad de ejecución de los procesos operativos.</t>
  </si>
  <si>
    <t>• A partir de febrero de 2026 se evidencia el impacto positivo de las acciones implementadas por el equipo de Payroll Controller para reducir los casos con jornadas superiores a 11.5 horas pagadas. Como resultado, los casos disminuyeron de 303 en enero a 79 en febrero, mientras que las horas pagadas por encima del límite se redujeron de 432,43 a 124,11 horas, representando una disminución superior al 70% en ambos indicadores. 
• La tendencia de mejora se mantuvo durante los meses siguientes, alcanzando en mayo los niveles más bajos del periodo con 15 casos y 11,71 horas, lo que refleja la efectividad del monitoreo diario, la depuración de inconsistencias y la validación oportuna de jornadas extendidas. No obstante, en junio se observa un incremento a 66 casos y 96,32 horas, aunque los niveles continúan significativamente por debajo de los registrados al inicio del año. 
• En términos generales, los resultados evidencian una mejora sustancial en el control de jornadas superiores a 11.5 horas y en la calidad de la información utilizada para el proceso de nómina. Sin embargo, el comportamiento de junio sugiere la necesidad de mantener los controles implementados y profundizar el análisis de las causas que originaron el repunte, con el fin de preservar la tendencia de mejora y evitar desviaciones futuras en el pago de horas extraordinarias.</t>
  </si>
  <si>
    <t>• Dentro de estas categorías, los motivos con mayor participación corresponden a Logged Floor Support (320.223 horas), Long out of shift interaction (222.325 horas) y Technical Problem - Client (128.575 horas), lo que refleja oportunidades de mejora relacionadas con la gestión de soporte operativo, la adherencia a horarios y las afectaciones por causas tecnológicas. 
• Este comportamiento evidencia que las principales oportunidades de optimización se encuentran concentradas en un número reducido de causas, por lo que la implementación de acciones focalizadas sobre estos motivos podría generar un impacto significativo en la disminución de las horas de reducción justificadas y en la eficiencia operativa general.</t>
  </si>
  <si>
    <t>• Con respecto a la gestión de On Time durante el periodo de enero a junio de 2026, se evidencia un comportamiento estable y consistente, manteniendo niveles de cumplimiento superiores al 95% en todos los meses analizados. Los resultados oscilan entre 95,36% en enero y 96,57% en febrero, cerrando junio con un sólido 96,51%, lo que refleja un adecuado control de los tiempos operativos y una gestión sostenida de la adherencia. 
• A nivel trimestral, se observa una leve mejora del Q1 (96,01%) al Q2 (96,24%), confirmando la continuidad de las buenas prácticas operativas y la efectividad de las acciones de seguimiento implementadas durante el semestre. Adicionalmente, la variación entre trimestres es mínima, evidenciando estabilidad en la ejecución y control de los procesos. 
• Este desempeño demuestra una gestión consistente en el monitoreo del indicador, permitiendo mantener altos niveles de cumplimiento operativo y contribuyendo al cumplimiento de los objetivos de productividad y eficiencia establecidos para la operación.</t>
  </si>
  <si>
    <t>• Se identifica que, durante el periodo de enero a junio de 2026, las horas de reducción justificadas aprobadas se mantienen consistentemente por encima de las horas denegadas, evidenciando una gestión estable y un adecuado cumplimiento de los criterios establecidos para la validación de solicitudes. 
• Asimismo, se observa que las horas aprobadas para reducción presentan un comportamiento relativamente estable a lo largo del periodo, manteniendo un promedio de aproximadamente 320.00 horas, mientras que las horas denegadas muestran una tendencia decreciente entre enero (242.754 horas) y abril (177.130 horas), seguida de un incremento en junio hasta 248.880 horas. 
• Este comportamiento evidencia una adecuada aplicación de los procesos de validación durante la mayor parte del periodo; sin embargo, el aumento de horas denegadas registrado en junio sugiere la necesidad de revisar los principales motivos de justificación por parte de la opeación para identificar oportunidades de mejora y fortalecer el control operativo en la gestión de reducciones.</t>
  </si>
  <si>
    <t>• Se identifica que, durante el periodo de enero a junio de 2026 en la mayoría de los meses las horas denegadas se encuentran por encima de las horas justificadas.
• Así mismo, se observa que las horas aprobadas presentan una tendencia creciente a partir de mayo, alzando las 522.989 horas en junio. Por su parte, las horas denegadas muestran una disminución progresiva desde enero (498.303) hasta mayo (438.169), aunque registran un repunte en junio (474.861).</t>
  </si>
  <si>
    <t>• La categoría con mayor impacto corresponde a Forgotten login in payroll tool (737.466 horas), representando por sí sola el 35,8% del total de horas analizadas. Este comportamiento refleja oportunidades de mejora en la disciplina operativa y en el cumplimiento del proceso de logueo en las herramientas de nómina. 
• Adicionalmente, categorías como OPS Training (169.213 horas) y Logged out Floor Support (154.801 horas) complementan los principales motivos de justificación, lo que sugiere la necesidad de revisar la programación de entrenamientos, la gestión de actividades de soporte y los mecanismos de seguimiento a la adherencia operativa. 
• En este sentido, se recomienda profundizar en el análisis de estas tipologías para identificar las causas raíz asociadas a conocimiento, habilidad o adherencia, e implementar acciones focalizadas que permitan fortalecer el cumplimiento de los procesos, reducir la recurrencia de las justificaciones y optimizar la gestión operativa.</t>
  </si>
  <si>
    <t>98.95% Clientes implementados COL</t>
  </si>
  <si>
    <t>• Durante el periodo de enero a junio de 2026 se reporta un total de 899 incidencias en la herramienta On Time. Se observa una disminución significativa entre enero (183 casos) y febrero (61 casos), seguida de un incremento sostenido durante los meses de marzo (87 casos), abril (145 casos) y mayo (273 casos), alcanzando el nivel más alto del periodo. 
• Posteriormente, en junio se registra una reducción a 150 casos, aunque el volumen de incidencias continúa por encima de los niveles observados durante el primer trimestre del año. 
• Este comportamiento evidencia una tendencia fluctuante en la estabilidad operativa de la herramienta, con una mejora inicial que posteriormente se ve impactada por un incremento importante de incidencias durante el segundo trimestre. En este sentido, se recomienda fortalecer el seguimiento a las causas raíz y las acciones preventivas asociadas, con el fin de estabilizar el comportamiento del indicador y reducir la recurrencia de eventos que afectan la operación.</t>
  </si>
  <si>
    <t>• Durante los meses de enero a junio de 2026 se observa una variación significativa en los errores de nómina, con un incremento marcado entre enero (290 / 0,38%) y febrero (2.316 / 3,15%), seguido de una disminución considerable en marzo (335 / 0,47%) y una estabilización progresiva entre abril (421 / 0,56%), mayo (300 / 0,40%) y junio (234 / 0,30%). 
• En febrero se presentaron 2,314 errores de nómina, lo que representa un incremento del 684.41% en comparación con enero. De este total, 1,911 errores se atribuyen a la capacidad de Goods Strategy, asociados principalmente a fallas en el procesamiento de filtros dentro de las bases de datos.
• Los resultados del segundo trimestre muestran una reducción sostenida tanto en la cantidad de errores como en su porcentaje de afectación, sin embargo, la mayoría de estos errores son atribuibles nuevamente a la gestión operativa.</t>
  </si>
  <si>
    <t>• Durante el periodo de enero a junio de 2026, los errores de nómina en Perú presentan un comportamiento variable, con un incremento progresivo desde 56 casos (0,73%) en enero hasta alcanzar un máximo de 176 casos (2,47%) en marzo. Posteriormente, se evidencia una reducción significativa en abril (44 casos; 0,62%), manteniéndose niveles controlados durante mayo (30 casos; 0,40%) y junio (36 casos; 0,47%). 
• El aumento observado durante el primer trimestre está asociado a las inconsistencias identificadas en la gestión de novedades, particularmente en procesos de Data Calculation y actividades de entrenamiento, las cuales impactaron la correcta validación de licencias, vacaciones y otros conceptos dentro del proceso de nómina.
• La estabilidad alcanzada durante el segundo trimestre, con porcentajes de error inferiores al 0,5% en mayo y junio, refleja una mejora en los controles de validación y en la articulación entre las áreas involucradas. Sin embargo, se recomienda mantener el monitoreo y fortalecimiento de los procesos de gestión de novedades para evitar recurrencias y garantizar la precisión y confiabilidad de los pagos de nómina.</t>
  </si>
  <si>
    <t>€  21'113,663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</si>
</sst>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2]\ #,##0;[Red]\-[$€-2]\ #,##0"/>
    <numFmt numFmtId="165" formatCode="[$€-2]\ #,##0.00;[Red]\-[$€-2]\ #,##0.00"/>
    <numFmt numFmtId="166" formatCode="_-[$$-240A]\ * #,##0_-;\-[$$-240A]\ * #,##0_-;_-[$$-240A]\ * &quot;-&quot;??_-;_-@_-"/>
  </numFmts>
  <fonts count="9">
    <font>
      <sz val="11"/>
      <color theme="1"/>
      <name val="Aptos Narrow"/>
      <family val="2"/>
      <scheme val="minor"/>
    </font>
    <font>
      <sz val="10"/>
      <color theme="1"/>
      <name val="Arial Unicode MS"/>
    </font>
    <font>
      <u/>
      <sz val="11"/>
      <color theme="1"/>
      <name val="Aptos Narrow"/>
      <family val="2"/>
      <scheme val="minor"/>
    </font>
    <font>
      <b/>
      <sz val="12"/>
      <color rgb="FF1E293B"/>
      <name val="Arial"/>
      <family val="2"/>
    </font>
    <font>
      <sz val="19"/>
      <color rgb="FF1E3A8A"/>
      <name val="Arial"/>
      <family val="2"/>
    </font>
    <font>
      <sz val="11"/>
      <color rgb="FF000000"/>
      <name val="Aptos Narrow"/>
      <family val="2"/>
    </font>
    <font>
      <u/>
      <sz val="11"/>
      <color theme="10"/>
      <name val="Aptos Narrow"/>
      <family val="2"/>
      <scheme val="minor"/>
    </font>
    <font>
      <sz val="9"/>
      <color theme="1"/>
      <name val="Aptos Narrow"/>
      <family val="2"/>
      <scheme val="minor"/>
    </font>
    <font>
      <sz val="8"/>
      <color theme="1"/>
      <name val="Aptos Narrow"/>
      <family val="2"/>
      <scheme val="minor"/>
    </font>
  </fonts>
  <fills count="3">
    <fill>
      <patternFill patternType="none"/>
    </fill>
    <fill>
      <patternFill patternType="gray125"/>
    </fill>
    <fill>
      <patternFill patternType="solid">
        <fgColor theme="0"/>
        <bgColor indexed="64"/>
      </patternFill>
    </fill>
  </fills>
  <borders count="17">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uble">
        <color rgb="FFFF0000"/>
      </right>
      <top/>
      <bottom/>
      <diagonal/>
    </border>
    <border>
      <left/>
      <right style="double">
        <color rgb="FFFF0000"/>
      </right>
      <top/>
      <bottom style="thin">
        <color indexed="64"/>
      </bottom>
      <diagonal/>
    </border>
  </borders>
  <cellStyleXfs count="2">
    <xf numFmtId="0" fontId="0" fillId="0" borderId="0"/>
    <xf numFmtId="0" fontId="6" fillId="0" borderId="0" applyNumberFormat="0" applyFill="0" applyBorder="0" applyAlignment="0" applyProtection="0"/>
  </cellStyleXfs>
  <cellXfs count="85">
    <xf numFmtId="0" fontId="0" fillId="0" borderId="0" xfId="0"/>
    <xf numFmtId="0" fontId="3" fillId="0" borderId="0" xfId="0" applyFont="1" applyAlignment="1">
      <alignment horizontal="center" vertical="center" wrapText="1"/>
    </xf>
    <xf numFmtId="0" fontId="4" fillId="2" borderId="0" xfId="0" applyFont="1" applyFill="1" applyAlignment="1">
      <alignment horizontal="center" vertical="center" wrapText="1"/>
    </xf>
    <xf numFmtId="0" fontId="3" fillId="2" borderId="0" xfId="0" applyFont="1" applyFill="1" applyAlignment="1">
      <alignment horizontal="center" vertical="center" wrapText="1"/>
    </xf>
    <xf numFmtId="0" fontId="0" fillId="2" borderId="0" xfId="0" applyFill="1" applyAlignment="1">
      <alignment vertical="center"/>
    </xf>
    <xf numFmtId="0" fontId="0" fillId="0" borderId="0" xfId="0" applyAlignment="1">
      <alignment horizontal="center" vertical="center"/>
    </xf>
    <xf numFmtId="0" fontId="0" fillId="2" borderId="0" xfId="0" applyFill="1" applyAlignment="1">
      <alignment horizontal="center" vertical="center"/>
    </xf>
    <xf numFmtId="16" fontId="0" fillId="0" borderId="0" xfId="0" applyNumberFormat="1" applyAlignment="1">
      <alignment horizontal="center" vertical="center"/>
    </xf>
    <xf numFmtId="16" fontId="0" fillId="2" borderId="0" xfId="0" applyNumberFormat="1" applyFill="1" applyAlignment="1">
      <alignment horizontal="center" vertical="center"/>
    </xf>
    <xf numFmtId="16" fontId="0" fillId="2" borderId="0" xfId="0" applyNumberFormat="1" applyFill="1" applyAlignment="1">
      <alignment vertical="center"/>
    </xf>
    <xf numFmtId="0" fontId="0" fillId="0" borderId="0" xfId="0" applyAlignment="1">
      <alignment vertical="center"/>
    </xf>
    <xf numFmtId="0" fontId="0" fillId="2" borderId="7" xfId="0" applyFill="1" applyBorder="1" applyAlignment="1">
      <alignment vertical="center"/>
    </xf>
    <xf numFmtId="0" fontId="0" fillId="2" borderId="8"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0" fontId="0" fillId="2" borderId="10" xfId="0" applyFill="1" applyBorder="1" applyAlignment="1">
      <alignment vertical="center"/>
    </xf>
    <xf numFmtId="0" fontId="0" fillId="2" borderId="11" xfId="0" applyFill="1" applyBorder="1" applyAlignment="1">
      <alignment vertical="center"/>
    </xf>
    <xf numFmtId="2" fontId="0" fillId="0" borderId="0" xfId="0" applyNumberFormat="1" applyAlignment="1">
      <alignment horizontal="center" vertical="center"/>
    </xf>
    <xf numFmtId="16" fontId="0" fillId="2" borderId="7" xfId="0" applyNumberFormat="1" applyFill="1" applyBorder="1" applyAlignment="1">
      <alignment vertical="center"/>
    </xf>
    <xf numFmtId="9" fontId="0" fillId="2" borderId="0" xfId="0" applyNumberFormat="1" applyFill="1" applyAlignment="1">
      <alignment vertical="center"/>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3" fontId="0" fillId="0" borderId="0" xfId="0" applyNumberFormat="1" applyAlignment="1">
      <alignment horizontal="center" vertical="center"/>
    </xf>
    <xf numFmtId="3" fontId="0" fillId="2" borderId="0" xfId="0" applyNumberFormat="1" applyFill="1" applyAlignment="1">
      <alignment horizontal="center" vertical="center"/>
    </xf>
    <xf numFmtId="3" fontId="0" fillId="2" borderId="0" xfId="0" applyNumberFormat="1" applyFill="1" applyAlignment="1">
      <alignment vertical="center"/>
    </xf>
    <xf numFmtId="0" fontId="2" fillId="2" borderId="0" xfId="0" applyFont="1" applyFill="1" applyAlignment="1">
      <alignment vertical="center"/>
    </xf>
    <xf numFmtId="16" fontId="0" fillId="0" borderId="10" xfId="0" applyNumberFormat="1" applyBorder="1" applyAlignment="1">
      <alignment horizontal="center" vertical="center"/>
    </xf>
    <xf numFmtId="2" fontId="0" fillId="0" borderId="10" xfId="0" applyNumberFormat="1" applyBorder="1" applyAlignment="1">
      <alignment horizontal="center" vertical="center"/>
    </xf>
    <xf numFmtId="2" fontId="0" fillId="2" borderId="0" xfId="0" applyNumberFormat="1" applyFill="1" applyAlignment="1">
      <alignment horizontal="center" vertical="center"/>
    </xf>
    <xf numFmtId="16" fontId="0" fillId="2" borderId="10" xfId="0" applyNumberFormat="1" applyFill="1" applyBorder="1" applyAlignment="1">
      <alignment horizontal="center" vertical="center"/>
    </xf>
    <xf numFmtId="2" fontId="0" fillId="2" borderId="10" xfId="0" applyNumberFormat="1" applyFill="1" applyBorder="1" applyAlignment="1">
      <alignment horizontal="center" vertical="center"/>
    </xf>
    <xf numFmtId="16" fontId="0" fillId="2" borderId="0" xfId="0" applyNumberFormat="1" applyFill="1" applyAlignment="1">
      <alignment horizontal="center" vertical="center" wrapText="1"/>
    </xf>
    <xf numFmtId="2" fontId="0" fillId="2" borderId="0" xfId="0" applyNumberFormat="1" applyFill="1" applyAlignment="1">
      <alignment horizontal="center" vertical="center" wrapText="1"/>
    </xf>
    <xf numFmtId="0" fontId="0" fillId="2" borderId="0" xfId="0" applyFill="1" applyAlignment="1">
      <alignment vertical="center" wrapText="1"/>
    </xf>
    <xf numFmtId="0" fontId="1" fillId="0" borderId="7" xfId="0" applyFont="1" applyBorder="1" applyAlignment="1">
      <alignment horizontal="center" vertical="center"/>
    </xf>
    <xf numFmtId="0" fontId="0" fillId="0" borderId="8" xfId="0" applyBorder="1" applyAlignment="1">
      <alignment horizontal="center" vertical="center"/>
    </xf>
    <xf numFmtId="16" fontId="0" fillId="0" borderId="7" xfId="0" applyNumberFormat="1" applyBorder="1" applyAlignment="1">
      <alignment horizontal="center" vertical="center"/>
    </xf>
    <xf numFmtId="3" fontId="2" fillId="0" borderId="0" xfId="0" applyNumberFormat="1" applyFont="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6" fontId="0" fillId="2" borderId="7" xfId="0" applyNumberFormat="1" applyFill="1" applyBorder="1" applyAlignment="1">
      <alignment horizontal="center" vertical="center"/>
    </xf>
    <xf numFmtId="0" fontId="0" fillId="0" borderId="0" xfId="0" applyAlignment="1">
      <alignment horizontal="center" vertical="center" wrapText="1"/>
    </xf>
    <xf numFmtId="0" fontId="2" fillId="2" borderId="0" xfId="0" applyFont="1" applyFill="1" applyAlignment="1">
      <alignment horizontal="center" vertical="center"/>
    </xf>
    <xf numFmtId="3" fontId="0" fillId="2" borderId="8" xfId="0" applyNumberFormat="1" applyFill="1" applyBorder="1" applyAlignment="1">
      <alignment horizontal="center" vertical="center"/>
    </xf>
    <xf numFmtId="9" fontId="0" fillId="2" borderId="8" xfId="0" applyNumberFormat="1" applyFill="1" applyBorder="1" applyAlignment="1">
      <alignment horizontal="center" vertical="center"/>
    </xf>
    <xf numFmtId="0" fontId="4" fillId="2" borderId="0" xfId="0" applyFont="1" applyFill="1" applyAlignment="1">
      <alignment vertical="center" wrapText="1"/>
    </xf>
    <xf numFmtId="0" fontId="0" fillId="0" borderId="1" xfId="0" applyBorder="1" applyAlignment="1">
      <alignment horizontal="center" vertical="center" wrapText="1"/>
    </xf>
    <xf numFmtId="0" fontId="7" fillId="0" borderId="0" xfId="0" applyFont="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horizontal="left"/>
    </xf>
    <xf numFmtId="0" fontId="2" fillId="0" borderId="0" xfId="0" applyFont="1" applyAlignment="1">
      <alignment horizontal="left"/>
    </xf>
    <xf numFmtId="0" fontId="0" fillId="0" borderId="15" xfId="0" applyBorder="1" applyAlignment="1">
      <alignment horizontal="center" vertical="center"/>
    </xf>
    <xf numFmtId="0" fontId="0" fillId="2" borderId="15" xfId="0" applyFill="1" applyBorder="1" applyAlignment="1">
      <alignment horizontal="center" vertical="center"/>
    </xf>
    <xf numFmtId="0" fontId="0" fillId="2" borderId="15" xfId="0" applyFill="1" applyBorder="1" applyAlignment="1">
      <alignment vertical="center"/>
    </xf>
    <xf numFmtId="0" fontId="0" fillId="2" borderId="16" xfId="0" applyFill="1" applyBorder="1" applyAlignment="1">
      <alignment vertical="center"/>
    </xf>
    <xf numFmtId="0" fontId="3" fillId="2" borderId="15" xfId="0" applyFont="1" applyFill="1" applyBorder="1" applyAlignment="1">
      <alignment horizontal="center" vertical="center" wrapText="1"/>
    </xf>
    <xf numFmtId="0" fontId="0" fillId="2" borderId="15" xfId="0" applyFill="1" applyBorder="1" applyAlignment="1">
      <alignment vertical="center" wrapText="1"/>
    </xf>
    <xf numFmtId="0" fontId="2" fillId="2" borderId="15" xfId="0" applyFont="1" applyFill="1" applyBorder="1" applyAlignment="1">
      <alignment vertical="center"/>
    </xf>
    <xf numFmtId="0" fontId="6" fillId="0" borderId="0" xfId="1" applyNumberFormat="1" applyAlignment="1">
      <alignment horizontal="left" vertical="center"/>
    </xf>
    <xf numFmtId="3" fontId="0" fillId="0" borderId="15" xfId="0" applyNumberFormat="1" applyBorder="1" applyAlignment="1">
      <alignment horizontal="center" vertical="center"/>
    </xf>
    <xf numFmtId="166" fontId="0" fillId="0" borderId="0" xfId="0" applyNumberFormat="1" applyAlignment="1">
      <alignment horizontal="center" vertical="center"/>
    </xf>
    <xf numFmtId="166" fontId="0" fillId="2" borderId="0" xfId="0" applyNumberFormat="1" applyFill="1" applyAlignment="1">
      <alignment vertical="center"/>
    </xf>
    <xf numFmtId="0" fontId="8" fillId="0" borderId="0" xfId="0" applyFont="1" applyAlignment="1">
      <alignment horizontal="center" vertical="center"/>
    </xf>
    <xf numFmtId="0" fontId="3" fillId="2" borderId="7"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8"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3" fillId="0" borderId="7" xfId="0" applyFont="1" applyBorder="1" applyAlignment="1">
      <alignment horizontal="center" vertical="center" wrapText="1"/>
    </xf>
    <xf numFmtId="0" fontId="3" fillId="0" borderId="0" xfId="0" applyFont="1" applyAlignment="1">
      <alignment horizontal="center" vertical="center" wrapText="1"/>
    </xf>
    <xf numFmtId="0" fontId="3" fillId="0" borderId="8"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4" fillId="2" borderId="12"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2" fillId="0" borderId="0" xfId="0" applyFont="1" applyAlignment="1">
      <alignment horizontal="left" vertical="center" wrapText="1"/>
    </xf>
    <xf numFmtId="0" fontId="0" fillId="0" borderId="0" xfId="0" applyNumberFormat="1" applyAlignment="1">
      <alignment horizontal="center" vertical="center"/>
    </xf>
    <xf numFmtId="0" fontId="2" fillId="0" borderId="0" xfId="0" applyNumberFormat="1" applyFont="1" applyAlignment="1">
      <alignment horizontal="center" vertical="center"/>
    </xf>
    <xf numFmtId="0" fontId="0" fillId="0" borderId="3" xfId="0" applyNumberFormat="1" applyBorder="1" applyAlignment="1">
      <alignment horizontal="center" vertical="center"/>
    </xf>
    <xf numFmtId="0" fontId="0" fillId="0" borderId="2" xfId="0" applyNumberFormat="1" applyBorder="1" applyAlignment="1">
      <alignment horizontal="center" vertical="center"/>
    </xf>
  </cellXfs>
  <cellStyles count="2">
    <cellStyle name="Hipervínculo" xfId="1" builtinId="8"/>
    <cellStyle name="Normal" xfId="0" builtinId="0"/>
  </cellStyles>
  <dxfs count="90">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5" formatCode="[$€-2]\ #,##0.00;[Red]\-[$€-2]\ #,##0.00"/>
      <alignment horizontal="center" vertical="center" textRotation="0" wrapText="0" indent="0" justifyLastLine="0" shrinkToFit="0" readingOrder="0"/>
    </dxf>
    <dxf>
      <numFmt numFmtId="21" formatCode="d\-mmm"/>
      <fill>
        <patternFill>
          <fgColor indexed="64"/>
          <bgColor theme="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numFmt numFmtId="21" formatCode="d\-mmm"/>
      <fill>
        <patternFill patternType="solid">
          <fgColor indexed="64"/>
          <bgColor theme="0"/>
        </patternFill>
      </fill>
      <alignment horizontal="center" vertical="center" textRotation="0" wrapText="1" indent="0" justifyLastLine="0" shrinkToFit="0" readingOrder="0"/>
    </dxf>
    <dxf>
      <fill>
        <patternFill patternType="solid">
          <fgColor indexed="64"/>
          <bgColor theme="0"/>
        </patternFill>
      </fill>
      <alignment horizontal="general" vertical="center" textRotation="0" wrapText="1" indent="0" justifyLastLine="0" shrinkToFit="0" readingOrder="0"/>
    </dxf>
    <dxf>
      <fill>
        <patternFill patternType="solid">
          <fgColor indexed="64"/>
          <bgColor theme="0"/>
        </patternFill>
      </fill>
      <alignment horizontal="general" vertical="center" textRotation="0" wrapText="1" indent="0" justifyLastLine="0" shrinkToFit="0" readingOrder="0"/>
    </dxf>
    <dxf>
      <fill>
        <patternFill patternType="solid">
          <fgColor indexed="64"/>
          <bgColor theme="0"/>
        </patternFill>
      </fill>
      <alignment horizontal="general" vertical="center" textRotation="0" wrapText="1" indent="0" justifyLastLine="0" shrinkToFit="0" readingOrder="0"/>
      <border diagonalUp="0" diagonalDown="0">
        <left/>
        <right style="double">
          <color rgb="FFFF0000"/>
        </right>
        <vertical/>
      </border>
    </dxf>
    <dxf>
      <fill>
        <patternFill patternType="solid">
          <fgColor indexed="64"/>
          <bgColor theme="0"/>
        </patternFill>
      </fill>
      <alignment horizontal="general" vertical="center" textRotation="0" wrapText="1" indent="0" justifyLastLine="0" shrinkToFit="0" readingOrder="0"/>
    </dxf>
    <dxf>
      <fill>
        <patternFill patternType="solid">
          <fgColor indexed="64"/>
          <bgColor theme="0"/>
        </patternFill>
      </fill>
      <alignment horizontal="general" vertical="center" textRotation="0" wrapText="1" indent="0" justifyLastLine="0" shrinkToFit="0" readingOrder="0"/>
    </dxf>
    <dxf>
      <numFmt numFmtId="2" formatCode="0.00"/>
      <fill>
        <patternFill patternType="solid">
          <fgColor indexed="64"/>
          <bgColor theme="0"/>
        </patternFill>
      </fill>
      <alignment horizontal="center" vertical="center" textRotation="0" wrapText="1" indent="0" justifyLastLine="0" shrinkToFit="0" readingOrder="0"/>
    </dxf>
    <dxf>
      <numFmt numFmtId="21" formatCode="d\-mmm"/>
      <fill>
        <patternFill patternType="solid">
          <fgColor indexed="64"/>
          <bgColor theme="0"/>
        </patternFill>
      </fill>
      <alignment horizontal="center" vertical="center" textRotation="0" wrapText="1" indent="0" justifyLastLine="0" shrinkToFit="0" readingOrder="0"/>
    </dxf>
    <dxf>
      <fill>
        <patternFill patternType="solid">
          <fgColor indexed="64"/>
          <bgColor theme="0"/>
        </patternFill>
      </fill>
      <alignment horizontal="general" vertical="center" textRotation="0" wrapText="1"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1" formatCode="d\-m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_-[$$-240A]\ * #,##0_-;\-[$$-240A]\ * #,##0_-;_-[$$-240A]\ * &quot;-&quot;??_-;_-@_-"/>
      <alignment horizontal="center" vertical="center" textRotation="0" wrapText="0" indent="0" justifyLastLine="0" shrinkToFit="0" readingOrder="0"/>
    </dxf>
    <dxf>
      <numFmt numFmtId="164" formatCode="[$€-2]\ #,##0;[Red]\-[$€-2]\ #,##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fill>
        <patternFill>
          <fgColor indexed="64"/>
          <bgColor theme="0"/>
        </patternFill>
      </fill>
      <alignment horizontal="center" vertical="center" textRotation="0" wrapText="0" indent="0" justifyLastLine="0" shrinkToFit="0" readingOrder="0"/>
      <border diagonalUp="0" diagonalDown="0" outline="0">
        <left/>
        <right style="double">
          <color rgb="FFFF0000"/>
        </right>
      </border>
    </dxf>
    <dxf>
      <numFmt numFmtId="166" formatCode="_-[$$-240A]\ * #,##0_-;\-[$$-240A]\ * #,##0_-;_-[$$-240A]\ * &quot;-&quot;??_-;_-@_-"/>
      <fill>
        <patternFill patternType="solid">
          <fgColor indexed="64"/>
          <bgColor theme="0"/>
        </patternFill>
      </fill>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ertAlign val="baseline"/>
        <sz val="11"/>
        <color theme="1"/>
        <name val="Aptos Narrow"/>
        <family val="2"/>
        <scheme val="minor"/>
      </font>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1247690</xdr:colOff>
      <xdr:row>4</xdr:row>
      <xdr:rowOff>7621</xdr:rowOff>
    </xdr:from>
    <xdr:to>
      <xdr:col>3</xdr:col>
      <xdr:colOff>188510</xdr:colOff>
      <xdr:row>5</xdr:row>
      <xdr:rowOff>148779</xdr:rowOff>
    </xdr:to>
    <xdr:pic>
      <xdr:nvPicPr>
        <xdr:cNvPr id="2" name="Imagen 1">
          <a:extLst>
            <a:ext uri="{FF2B5EF4-FFF2-40B4-BE49-F238E27FC236}">
              <a16:creationId xmlns:a16="http://schemas.microsoft.com/office/drawing/2014/main" id="{B5B79465-F988-87C6-5F9E-EC9E695CCC1D}"/>
            </a:ext>
          </a:extLst>
        </xdr:cNvPr>
        <xdr:cNvPicPr>
          <a:picLocks noChangeAspect="1"/>
        </xdr:cNvPicPr>
      </xdr:nvPicPr>
      <xdr:blipFill>
        <a:blip xmlns:r="http://schemas.openxmlformats.org/officeDocument/2006/relationships" r:embed="rId1"/>
        <a:stretch>
          <a:fillRect/>
        </a:stretch>
      </xdr:blipFill>
      <xdr:spPr>
        <a:xfrm>
          <a:off x="7046510" y="739141"/>
          <a:ext cx="365760" cy="324038"/>
        </a:xfrm>
        <a:prstGeom prst="rect">
          <a:avLst/>
        </a:prstGeom>
      </xdr:spPr>
    </xdr:pic>
    <xdr:clientData/>
  </xdr:twoCellAnchor>
  <xdr:twoCellAnchor editAs="oneCell">
    <xdr:from>
      <xdr:col>2</xdr:col>
      <xdr:colOff>1240070</xdr:colOff>
      <xdr:row>6</xdr:row>
      <xdr:rowOff>30481</xdr:rowOff>
    </xdr:from>
    <xdr:to>
      <xdr:col>3</xdr:col>
      <xdr:colOff>196130</xdr:colOff>
      <xdr:row>8</xdr:row>
      <xdr:rowOff>8073</xdr:rowOff>
    </xdr:to>
    <xdr:pic>
      <xdr:nvPicPr>
        <xdr:cNvPr id="3" name="Imagen 2">
          <a:extLst>
            <a:ext uri="{FF2B5EF4-FFF2-40B4-BE49-F238E27FC236}">
              <a16:creationId xmlns:a16="http://schemas.microsoft.com/office/drawing/2014/main" id="{6C5E00E5-D7C2-060E-2967-3549F8C97BA2}"/>
            </a:ext>
          </a:extLst>
        </xdr:cNvPr>
        <xdr:cNvPicPr>
          <a:picLocks noChangeAspect="1"/>
        </xdr:cNvPicPr>
      </xdr:nvPicPr>
      <xdr:blipFill>
        <a:blip xmlns:r="http://schemas.openxmlformats.org/officeDocument/2006/relationships" r:embed="rId2"/>
        <a:stretch>
          <a:fillRect/>
        </a:stretch>
      </xdr:blipFill>
      <xdr:spPr>
        <a:xfrm>
          <a:off x="7038890" y="1127761"/>
          <a:ext cx="381000" cy="343352"/>
        </a:xfrm>
        <a:prstGeom prst="rect">
          <a:avLst/>
        </a:prstGeom>
      </xdr:spPr>
    </xdr:pic>
    <xdr:clientData/>
  </xdr:twoCellAnchor>
  <xdr:twoCellAnchor editAs="oneCell">
    <xdr:from>
      <xdr:col>2</xdr:col>
      <xdr:colOff>1244304</xdr:colOff>
      <xdr:row>8</xdr:row>
      <xdr:rowOff>22861</xdr:rowOff>
    </xdr:from>
    <xdr:to>
      <xdr:col>3</xdr:col>
      <xdr:colOff>191896</xdr:colOff>
      <xdr:row>9</xdr:row>
      <xdr:rowOff>175260</xdr:rowOff>
    </xdr:to>
    <xdr:pic>
      <xdr:nvPicPr>
        <xdr:cNvPr id="4" name="Imagen 3">
          <a:extLst>
            <a:ext uri="{FF2B5EF4-FFF2-40B4-BE49-F238E27FC236}">
              <a16:creationId xmlns:a16="http://schemas.microsoft.com/office/drawing/2014/main" id="{14EC891E-A050-9261-0D11-6C7969AADDC5}"/>
            </a:ext>
          </a:extLst>
        </xdr:cNvPr>
        <xdr:cNvPicPr>
          <a:picLocks noChangeAspect="1"/>
        </xdr:cNvPicPr>
      </xdr:nvPicPr>
      <xdr:blipFill>
        <a:blip xmlns:r="http://schemas.openxmlformats.org/officeDocument/2006/relationships" r:embed="rId3"/>
        <a:stretch>
          <a:fillRect/>
        </a:stretch>
      </xdr:blipFill>
      <xdr:spPr>
        <a:xfrm>
          <a:off x="7043124" y="1485901"/>
          <a:ext cx="372532" cy="335279"/>
        </a:xfrm>
        <a:prstGeom prst="rect">
          <a:avLst/>
        </a:prstGeom>
      </xdr:spPr>
    </xdr:pic>
    <xdr:clientData/>
  </xdr:twoCellAnchor>
  <xdr:twoCellAnchor editAs="oneCell">
    <xdr:from>
      <xdr:col>2</xdr:col>
      <xdr:colOff>1238250</xdr:colOff>
      <xdr:row>10</xdr:row>
      <xdr:rowOff>1</xdr:rowOff>
    </xdr:from>
    <xdr:to>
      <xdr:col>3</xdr:col>
      <xdr:colOff>197950</xdr:colOff>
      <xdr:row>11</xdr:row>
      <xdr:rowOff>167640</xdr:rowOff>
    </xdr:to>
    <xdr:pic>
      <xdr:nvPicPr>
        <xdr:cNvPr id="6" name="Imagen 5">
          <a:extLst>
            <a:ext uri="{FF2B5EF4-FFF2-40B4-BE49-F238E27FC236}">
              <a16:creationId xmlns:a16="http://schemas.microsoft.com/office/drawing/2014/main" id="{A00783CB-EDD0-EC6C-6D73-BF6C28C32BC8}"/>
            </a:ext>
          </a:extLst>
        </xdr:cNvPr>
        <xdr:cNvPicPr>
          <a:picLocks noChangeAspect="1"/>
        </xdr:cNvPicPr>
      </xdr:nvPicPr>
      <xdr:blipFill>
        <a:blip xmlns:r="http://schemas.openxmlformats.org/officeDocument/2006/relationships" r:embed="rId4"/>
        <a:stretch>
          <a:fillRect/>
        </a:stretch>
      </xdr:blipFill>
      <xdr:spPr>
        <a:xfrm>
          <a:off x="7037070" y="1828801"/>
          <a:ext cx="384640" cy="3505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426720</xdr:colOff>
          <xdr:row>12</xdr:row>
          <xdr:rowOff>38100</xdr:rowOff>
        </xdr:from>
        <xdr:to>
          <xdr:col>7</xdr:col>
          <xdr:colOff>502920</xdr:colOff>
          <xdr:row>15</xdr:row>
          <xdr:rowOff>106680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Guardar Cambios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C20CD8-51D9-4607-9D4A-EAF1EC53024F}" name="Tabla_Config" displayName="Tabla_Config" ref="A3:B25" totalsRowShown="0" headerRowDxfId="89" dataDxfId="88">
  <autoFilter ref="A3:B25" xr:uid="{44C20CD8-51D9-4607-9D4A-EAF1EC53024F}"/>
  <tableColumns count="2">
    <tableColumn id="1" xr3:uid="{B8A90E8F-D30F-4500-99EA-8DE91EB550BC}" name="Variable" dataDxfId="87"/>
    <tableColumn id="2" xr3:uid="{2E34848F-CBB5-4F0B-8C95-4751FA6A63C8}" name="Valor" dataDxfId="8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3B7F12-FB7D-483F-A5AF-0CE453722528}" name="Tabla_Red_Aplicadas" displayName="Tabla_Red_Aplicadas" ref="A3:G9" totalsRowShown="0" headerRowDxfId="85" dataDxfId="84">
  <autoFilter ref="A3:G9" xr:uid="{B93B7F12-FB7D-483F-A5AF-0CE453722528}"/>
  <tableColumns count="7">
    <tableColumn id="1" xr3:uid="{BCACD17C-DF76-42C1-8847-18F63D66F968}" name="Mes" dataDxfId="83"/>
    <tableColumn id="2" xr3:uid="{C022D1D2-4054-4809-90ED-CF5571840E65}" name="Manual" dataDxfId="82"/>
    <tableColumn id="3" xr3:uid="{552BF942-EC27-4962-9FF2-3CC7A407C03A}" name="Automatica" dataDxfId="81"/>
    <tableColumn id="4" xr3:uid="{DDEAA60E-C99C-4AC0-BEA4-4176FB364D5B}" name="CPH" dataDxfId="80"/>
    <tableColumn id="6" xr3:uid="{AF8443FB-6F8A-43BE-B09E-70094D723A27}" name="Euros" dataDxfId="79"/>
    <tableColumn id="7" xr3:uid="{6629FB75-C79B-406F-A59D-04E5A32293D9}" name="COP" dataDxfId="78"/>
    <tableColumn id="5" xr3:uid="{22E36310-EC61-470D-8776-8FDE626460A7}" name="Horas" dataDxfId="77">
      <calculatedColumnFormula>+SUM(Tabla_Red_Aplicadas[[#This Row],[Manual]:[Automatica]])</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8A3D1CF-3011-45F5-94FB-6FB85A1E8553}" name="Tabla_Red_Estado" displayName="Tabla_Red_Estado" ref="C12:E18" totalsRowShown="0" headerRowDxfId="76" dataDxfId="75">
  <autoFilter ref="C12:E18" xr:uid="{08A3D1CF-3011-45F5-94FB-6FB85A1E8553}"/>
  <tableColumns count="3">
    <tableColumn id="1" xr3:uid="{2FFD9A6F-CEAA-41B2-A2F0-900263228E30}" name="Mes" dataDxfId="19"/>
    <tableColumn id="2" xr3:uid="{B39C76D8-E1A6-4261-835D-80FFBDEC7B98}" name="Approved" dataDxfId="18"/>
    <tableColumn id="3" xr3:uid="{884537E2-5DC0-4342-B931-75210C23B28A}" name="Denied" dataDxfId="1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0FEB21-5E85-4826-B0AD-35083FECA718}" name="Tabla_Red_Pareto" displayName="Tabla_Red_Pareto" ref="C21:E30" totalsRowShown="0" headerRowDxfId="74" dataDxfId="73">
  <autoFilter ref="C21:E30" xr:uid="{CF0FEB21-5E85-4826-B0AD-35083FECA718}"/>
  <tableColumns count="3">
    <tableColumn id="1" xr3:uid="{FF5EADDB-47D9-41D8-A130-9F92DCBD1052}" name="Justificacion" dataDxfId="16"/>
    <tableColumn id="2" xr3:uid="{ED2454A4-07AE-4385-B93F-A6A6F08C5970}" name="Horas" dataDxfId="15"/>
    <tableColumn id="3" xr3:uid="{822B2B33-24C8-46F6-AD05-C7B46DA5108E}" name="Porcentaje" dataDxfId="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C7FBCCC-6552-406F-A887-F4817F4577CA}" name="Tabla_Adi_Aplicadas" displayName="Tabla_Adi_Aplicadas" ref="H3:L9" totalsRowShown="0" headerRowDxfId="72" dataDxfId="71">
  <autoFilter ref="H3:L9" xr:uid="{0C7FBCCC-6552-406F-A887-F4817F4577CA}"/>
  <tableColumns count="5">
    <tableColumn id="1" xr3:uid="{6809EF7B-E97A-4E87-8C13-DBFCDA6B8006}" name="Mes" dataDxfId="8"/>
    <tableColumn id="2" xr3:uid="{815366A0-2356-44B1-9CFF-D0C35BBB8D00}" name="Horas" dataDxfId="6"/>
    <tableColumn id="3" xr3:uid="{993E9259-4DEC-4911-9D35-906818E13C0B}" name="CPH" dataDxfId="7"/>
    <tableColumn id="4" xr3:uid="{0D204895-2FBB-41BC-AABD-A754A5856E1F}" name="Euros" dataDxfId="70"/>
    <tableColumn id="6" xr3:uid="{C7A612CC-1B57-494E-B884-03546F7EEF70}" name="COP" dataDxfId="69"/>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6C556F-E1A7-4610-AB59-369B7D54780D}" name="Tabla_Adi_Estado" displayName="Tabla_Adi_Estado" ref="I12:K18" totalsRowShown="0" headerRowDxfId="68" dataDxfId="67">
  <autoFilter ref="I12:K18" xr:uid="{266C556F-E1A7-4610-AB59-369B7D54780D}"/>
  <tableColumns count="3">
    <tableColumn id="1" xr3:uid="{DA28659B-7AAD-41A3-BE2F-59EA3333D3BC}" name="Mes" dataDxfId="5"/>
    <tableColumn id="2" xr3:uid="{C728EE49-34CE-43A0-B6B0-2B0473C74158}" name="Approved" dataDxfId="4"/>
    <tableColumn id="3" xr3:uid="{05BEF845-8183-415D-84B1-A0D8A19278B2}" name="Denied" dataDxfId="3"/>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8238BD8-D883-4F91-A83C-20445F03BCDF}" name="Tabla_Adi_Pareto" displayName="Tabla_Adi_Pareto" ref="I21:K33" totalsRowShown="0" headerRowDxfId="66" dataDxfId="65">
  <autoFilter ref="I21:K33" xr:uid="{88238BD8-D883-4F91-A83C-20445F03BCDF}"/>
  <tableColumns count="3">
    <tableColumn id="1" xr3:uid="{F56A757D-9C39-4CA1-AA72-C48767BCDD6E}" name="Justificacion" dataDxfId="2"/>
    <tableColumn id="2" xr3:uid="{5BC606EE-1A98-4AF2-9B36-237644E6739D}" name="Horas" dataDxfId="0"/>
    <tableColumn id="3" xr3:uid="{D2718301-D7F7-488D-B4BD-4ED98D14C4C9}" name="Porcentaje" dataDxfId="1"/>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D57F6C1-93DC-4477-8BFD-30A2C0B28698}" name="Tabla_Gestion" displayName="Tabla_Gestion" ref="B51:C57" totalsRowShown="0" headerRowDxfId="64" dataDxfId="63">
  <autoFilter ref="B51:C57" xr:uid="{ED57F6C1-93DC-4477-8BFD-30A2C0B28698}"/>
  <tableColumns count="2">
    <tableColumn id="1" xr3:uid="{1582BD0F-BC1B-435D-97FD-F62876F45F63}" name="Mes" dataDxfId="62"/>
    <tableColumn id="2" xr3:uid="{EA6950E4-DCDD-40D5-882A-3492C256D5AB}" name="Porcentaje" dataDxfId="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414ADA-C2B0-4D66-9DB2-791F58676914}" name="Tabla_Inc_Area" displayName="Tabla_Inc_Area" ref="B66:D69" totalsRowShown="0" headerRowDxfId="60" dataDxfId="59">
  <autoFilter ref="B66:D69" xr:uid="{C4414ADA-C2B0-4D66-9DB2-791F58676914}"/>
  <tableColumns count="3">
    <tableColumn id="1" xr3:uid="{250C4930-3251-48C7-AE2F-562606FAA125}" name="Area" dataDxfId="58"/>
    <tableColumn id="2" xr3:uid="{75AA664B-221A-4233-BB24-D67B9C139F5A}" name="Casos" dataDxfId="57"/>
    <tableColumn id="3" xr3:uid="{E638992D-377B-446B-8000-FA62C3B508B3}" name="Afectadas" dataDxfId="5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BAA63FC-CF50-49A9-964B-0C69E006995D}" name="Tabla_Inc_Mes" displayName="Tabla_Inc_Mes" ref="B72:C78" totalsRowShown="0" headerRowDxfId="55" dataDxfId="54">
  <autoFilter ref="B72:C78" xr:uid="{7BAA63FC-CF50-49A9-964B-0C69E006995D}"/>
  <tableColumns count="2">
    <tableColumn id="1" xr3:uid="{18DB0578-746F-4F3B-B119-C3A6F45B1A26}" name="Mes" dataDxfId="53"/>
    <tableColumn id="2" xr3:uid="{205EDF88-C8F6-435F-851A-CC08A1909857}" name="Casos" dataDxfId="5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297E2C-E235-4853-A0CE-16D8B9280009}" name="Tabla_Err_Col" displayName="Tabla_Err_Col" ref="I51:K57" totalsRowShown="0" headerRowDxfId="51" dataDxfId="50">
  <autoFilter ref="I51:K57" xr:uid="{72297E2C-E235-4853-A0CE-16D8B9280009}"/>
  <tableColumns count="3">
    <tableColumn id="1" xr3:uid="{0B62C74A-7DFB-4675-A4FF-7A93ACB0824B}" name="Mes" dataDxfId="49"/>
    <tableColumn id="2" xr3:uid="{9924DDCD-D5A9-4026-A2D1-55C2146081A0}" name="Errores" dataDxfId="10"/>
    <tableColumn id="3" xr3:uid="{C2895F48-05D0-4C6A-85AA-B9A3A1B51CC2}" name="Porcentaje" dataDxfId="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B8FD02-E105-4F86-B0E2-34ABB7E8E118}" name="Tabla_Err_Per" displayName="Tabla_Err_Per" ref="I61:K67" totalsRowShown="0" headerRowDxfId="48" dataDxfId="47">
  <autoFilter ref="I61:K67" xr:uid="{C1B8FD02-E105-4F86-B0E2-34ABB7E8E118}"/>
  <tableColumns count="3">
    <tableColumn id="1" xr3:uid="{F4B43EB5-0F50-44E8-8695-E2C207DD3B24}" name="Mes" dataDxfId="13"/>
    <tableColumn id="2" xr3:uid="{0704DB4D-EB0A-4F88-9345-8E25DC0E1162}" name="Errores" dataDxfId="12"/>
    <tableColumn id="3" xr3:uid="{BF0196EB-3CB8-4A2C-9126-892DB6CD2E38}" name="Porcentaje" dataDxfId="1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198D969-9E1C-43CC-9916-90069B9BE62C}" name="Tabla_Horas_Extras" displayName="Tabla_Horas_Extras" ref="I70:K76" totalsRowShown="0" headerRowDxfId="46" dataDxfId="45">
  <autoFilter ref="I70:K76" xr:uid="{0198D969-9E1C-43CC-9916-90069B9BE62C}"/>
  <tableColumns count="3">
    <tableColumn id="1" xr3:uid="{B22D086E-F92F-474C-BD7F-B5A6EC448437}" name="Mes" dataDxfId="44"/>
    <tableColumn id="2" xr3:uid="{494DFF43-FE4B-4E77-8F48-CF9D47479095}" name="Horas" dataDxfId="43"/>
    <tableColumn id="3" xr3:uid="{3F527CD8-C151-414B-B0D9-9597CFCED93D}" name="Casos" dataDxfId="4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C9CF46-C185-44E2-BF07-91728EFE3AB5}" name="Tabla_Gestion_Q" displayName="Tabla_Gestion_Q" ref="B61:C63" totalsRowShown="0" headerRowDxfId="41" dataDxfId="40">
  <autoFilter ref="B61:C63" xr:uid="{B1C9CF46-C185-44E2-BF07-91728EFE3AB5}"/>
  <tableColumns count="2">
    <tableColumn id="1" xr3:uid="{0EBE08C1-1884-4B76-A6B9-A7D2025C91C6}" name="Trimestre" dataDxfId="39"/>
    <tableColumn id="2" xr3:uid="{39684889-C8CD-443D-BB33-18C05314A548}" name="Porcentaje" dataDxfId="3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BEC20AF-0E60-4E21-A919-835A5214A9B3}" name="Tabla_Imp_Col" displayName="Tabla_Imp_Col" ref="C39:D41" totalsRowShown="0" headerRowDxfId="37" dataDxfId="36">
  <autoFilter ref="C39:D41" xr:uid="{FBEC20AF-0E60-4E21-A919-835A5214A9B3}"/>
  <tableColumns count="2">
    <tableColumn id="1" xr3:uid="{44FDB9A9-C54B-40F8-90B9-4AA93454D5BF}" name="Estado" dataDxfId="35"/>
    <tableColumn id="2" xr3:uid="{3779BF27-F099-4EC0-906A-8A09186D683B}" name="Porcentaje" dataDxfId="3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C8D5187-F023-4D4B-B975-5C8FB88A8B07}" name="Tabla_Imp_Per" displayName="Tabla_Imp_Per" ref="I39:J41" totalsRowShown="0" headerRowDxfId="33" dataDxfId="32">
  <autoFilter ref="I39:J41" xr:uid="{BC8D5187-F023-4D4B-B975-5C8FB88A8B07}"/>
  <tableColumns count="2">
    <tableColumn id="1" xr3:uid="{494536A0-2A15-4FCB-ADF3-48131E6D23D7}" name="Estado" dataDxfId="31"/>
    <tableColumn id="2" xr3:uid="{D271FA5D-0089-44C8-A265-3ECBE32C8EEF}" name="Porcentaje" dataDxfId="3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C3E89B3-B4F2-4D5F-826E-A8D592D370A4}" name="Tabla_Imp_Detalle" displayName="Tabla_Imp_Detalle" ref="C45:J46" totalsRowShown="0" headerRowDxfId="29" dataDxfId="28">
  <autoFilter ref="C45:J46" xr:uid="{6C3E89B3-B4F2-4D5F-826E-A8D592D370A4}"/>
  <tableColumns count="8">
    <tableColumn id="1" xr3:uid="{82A8F790-6447-41F4-92CE-889757143607}" name="Cuenta" dataDxfId="27"/>
    <tableColumn id="2" xr3:uid="{99DACC8D-E751-43EB-B2AB-0DE128C6B576}" name="Pais" dataDxfId="26"/>
    <tableColumn id="3" xr3:uid="{A11BF214-1FA9-4449-A699-598863966023}" name="VP" dataDxfId="25"/>
    <tableColumn id="4" xr3:uid="{C2CB7C75-3CBD-42F6-89DA-F9F057CA18C8}" name="Motivo" dataDxfId="24"/>
    <tableColumn id="5" xr3:uid="{E74E5020-31E3-4A46-B0A1-B35180C90BB3}" name="Resp" dataDxfId="23"/>
    <tableColumn id="6" xr3:uid="{8E37EA60-84DA-4514-B9CD-B00CEC23F390}" name="Fecha" dataDxfId="22"/>
    <tableColumn id="7" xr3:uid="{98F08C98-A951-4967-A0E4-A0D3DAC2783C}" name="Estado" dataDxfId="21"/>
    <tableColumn id="8" xr3:uid="{DDA4F5EE-288F-43AB-BA6E-04BC2F62B4D8}" name="Observacion" dataDxfId="20"/>
  </tableColumns>
  <tableStyleInfo name="TableStyleMedium23"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hyperlink" Target="https://github.com/LeanLabMAR/ProcessController/blob/main/Mayo/GMT_PPT_Template_Global%20TP%20_February_2025.png?raw=true"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vmlDrawing" Target="../drawings/vmlDrawing1.vml"/><Relationship Id="rId16" Type="http://schemas.openxmlformats.org/officeDocument/2006/relationships/table" Target="../tables/table14.xml"/><Relationship Id="rId1" Type="http://schemas.openxmlformats.org/officeDocument/2006/relationships/drawing" Target="../drawings/drawing2.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1E91D-138D-409B-970C-E2F3F379C214}">
  <sheetPr codeName="Hoja3"/>
  <dimension ref="A3:D32"/>
  <sheetViews>
    <sheetView workbookViewId="0">
      <selection activeCell="B13" sqref="B13"/>
    </sheetView>
  </sheetViews>
  <sheetFormatPr baseColWidth="10" defaultColWidth="11.5546875" defaultRowHeight="14.4"/>
  <cols>
    <col min="1" max="1" width="22.88671875" customWidth="1"/>
    <col min="2" max="2" width="61.6640625" style="51" customWidth="1"/>
    <col min="3" max="4" width="20.77734375" customWidth="1"/>
  </cols>
  <sheetData>
    <row r="3" spans="1:4" s="5" customFormat="1">
      <c r="A3" s="5" t="s">
        <v>40</v>
      </c>
      <c r="B3" s="49" t="s">
        <v>41</v>
      </c>
    </row>
    <row r="4" spans="1:4" s="5" customFormat="1">
      <c r="A4" s="5" t="s">
        <v>83</v>
      </c>
      <c r="B4" s="60" t="s">
        <v>116</v>
      </c>
      <c r="C4" s="64" t="s">
        <v>82</v>
      </c>
      <c r="D4" s="64"/>
    </row>
    <row r="5" spans="1:4" s="5" customFormat="1">
      <c r="A5" s="5" t="s">
        <v>42</v>
      </c>
      <c r="B5" s="49" t="s">
        <v>122</v>
      </c>
      <c r="C5" s="64"/>
      <c r="D5" s="64"/>
    </row>
    <row r="6" spans="1:4" s="5" customFormat="1">
      <c r="A6" s="5" t="s">
        <v>43</v>
      </c>
      <c r="B6" s="49" t="s">
        <v>123</v>
      </c>
      <c r="C6" s="64"/>
      <c r="D6" s="64"/>
    </row>
    <row r="7" spans="1:4" s="5" customFormat="1">
      <c r="A7" s="5" t="s">
        <v>44</v>
      </c>
      <c r="B7" s="49" t="s">
        <v>124</v>
      </c>
      <c r="C7" s="64"/>
      <c r="D7" s="64"/>
    </row>
    <row r="8" spans="1:4" s="5" customFormat="1">
      <c r="A8" s="5" t="s">
        <v>45</v>
      </c>
      <c r="B8" s="49" t="s">
        <v>140</v>
      </c>
      <c r="C8" s="64"/>
      <c r="D8" s="64"/>
    </row>
    <row r="9" spans="1:4" s="5" customFormat="1">
      <c r="A9" s="5" t="s">
        <v>57</v>
      </c>
      <c r="B9" s="49">
        <v>98.95</v>
      </c>
      <c r="C9" s="64"/>
      <c r="D9" s="64"/>
    </row>
    <row r="10" spans="1:4" s="5" customFormat="1">
      <c r="A10" s="5" t="s">
        <v>84</v>
      </c>
      <c r="B10" s="49" t="s">
        <v>136</v>
      </c>
      <c r="C10" s="64"/>
      <c r="D10" s="64"/>
    </row>
    <row r="11" spans="1:4" s="5" customFormat="1">
      <c r="A11" s="5" t="s">
        <v>58</v>
      </c>
      <c r="B11" s="49">
        <v>97.56</v>
      </c>
      <c r="C11" s="64"/>
      <c r="D11" s="64"/>
    </row>
    <row r="12" spans="1:4" s="5" customFormat="1">
      <c r="A12" s="5" t="s">
        <v>85</v>
      </c>
      <c r="B12" s="49" t="s">
        <v>125</v>
      </c>
      <c r="C12" s="64"/>
      <c r="D12" s="64"/>
    </row>
    <row r="13" spans="1:4" s="5" customFormat="1" ht="43.2">
      <c r="A13" s="5" t="s">
        <v>59</v>
      </c>
      <c r="B13" s="80" t="s">
        <v>126</v>
      </c>
      <c r="C13" s="64" t="s">
        <v>103</v>
      </c>
      <c r="D13" s="64"/>
    </row>
    <row r="14" spans="1:4" s="5" customFormat="1" ht="273.60000000000002">
      <c r="A14" s="5" t="s">
        <v>60</v>
      </c>
      <c r="B14" s="50" t="s">
        <v>133</v>
      </c>
      <c r="C14" s="64" t="s">
        <v>104</v>
      </c>
      <c r="D14" s="64"/>
    </row>
    <row r="15" spans="1:4" s="5" customFormat="1" ht="172.8">
      <c r="A15" s="5" t="s">
        <v>89</v>
      </c>
      <c r="B15" s="50" t="s">
        <v>131</v>
      </c>
      <c r="C15" s="64" t="s">
        <v>105</v>
      </c>
      <c r="D15" s="64"/>
    </row>
    <row r="16" spans="1:4" s="5" customFormat="1" ht="43.2">
      <c r="A16" s="5" t="s">
        <v>90</v>
      </c>
      <c r="B16" s="50" t="s">
        <v>127</v>
      </c>
      <c r="C16" s="64" t="s">
        <v>106</v>
      </c>
      <c r="D16" s="64"/>
    </row>
    <row r="17" spans="1:4" s="5" customFormat="1" ht="129.6">
      <c r="A17" s="5" t="s">
        <v>91</v>
      </c>
      <c r="B17" s="50" t="s">
        <v>134</v>
      </c>
      <c r="C17" s="64" t="s">
        <v>107</v>
      </c>
      <c r="D17" s="64"/>
    </row>
    <row r="18" spans="1:4" s="5" customFormat="1" ht="244.8">
      <c r="A18" s="5" t="s">
        <v>92</v>
      </c>
      <c r="B18" s="50" t="s">
        <v>135</v>
      </c>
      <c r="C18" s="64" t="s">
        <v>108</v>
      </c>
      <c r="D18" s="64"/>
    </row>
    <row r="19" spans="1:4" s="5" customFormat="1" ht="100.8">
      <c r="A19" s="5" t="s">
        <v>86</v>
      </c>
      <c r="B19" s="50" t="s">
        <v>128</v>
      </c>
      <c r="C19" s="64" t="s">
        <v>109</v>
      </c>
      <c r="D19" s="64"/>
    </row>
    <row r="20" spans="1:4" s="5" customFormat="1" ht="244.8">
      <c r="A20" s="5" t="s">
        <v>93</v>
      </c>
      <c r="B20" s="50" t="s">
        <v>132</v>
      </c>
      <c r="C20" s="64" t="s">
        <v>110</v>
      </c>
      <c r="D20" s="64"/>
    </row>
    <row r="21" spans="1:4" s="5" customFormat="1" ht="216">
      <c r="A21" s="5" t="s">
        <v>87</v>
      </c>
      <c r="B21" s="50" t="s">
        <v>129</v>
      </c>
      <c r="C21" s="64" t="s">
        <v>111</v>
      </c>
      <c r="D21" s="64"/>
    </row>
    <row r="22" spans="1:4" s="5" customFormat="1" ht="244.8">
      <c r="A22" s="5" t="s">
        <v>94</v>
      </c>
      <c r="B22" s="50" t="s">
        <v>137</v>
      </c>
      <c r="C22" s="64" t="s">
        <v>112</v>
      </c>
      <c r="D22" s="64"/>
    </row>
    <row r="23" spans="1:4" ht="230.4">
      <c r="A23" s="5" t="s">
        <v>88</v>
      </c>
      <c r="B23" s="50" t="s">
        <v>138</v>
      </c>
      <c r="C23" s="64" t="s">
        <v>113</v>
      </c>
      <c r="D23" s="64"/>
    </row>
    <row r="24" spans="1:4" ht="273.60000000000002">
      <c r="A24" s="5" t="s">
        <v>95</v>
      </c>
      <c r="B24" s="50" t="s">
        <v>139</v>
      </c>
      <c r="C24" s="64" t="s">
        <v>114</v>
      </c>
      <c r="D24" s="64"/>
    </row>
    <row r="25" spans="1:4" ht="331.2">
      <c r="A25" s="5" t="s">
        <v>96</v>
      </c>
      <c r="B25" s="50" t="s">
        <v>130</v>
      </c>
      <c r="C25" s="64" t="s">
        <v>115</v>
      </c>
      <c r="D25" s="64"/>
    </row>
    <row r="32" spans="1:4">
      <c r="B32" s="52"/>
    </row>
  </sheetData>
  <mergeCells count="18">
    <mergeCell ref="C4:D4"/>
    <mergeCell ref="C5:D6"/>
    <mergeCell ref="C7:D8"/>
    <mergeCell ref="C9:D10"/>
    <mergeCell ref="C11:D12"/>
    <mergeCell ref="C19:D19"/>
    <mergeCell ref="C20:D20"/>
    <mergeCell ref="C13:D13"/>
    <mergeCell ref="C14:D14"/>
    <mergeCell ref="C15:D15"/>
    <mergeCell ref="C16:D16"/>
    <mergeCell ref="C17:D17"/>
    <mergeCell ref="C18:D18"/>
    <mergeCell ref="C25:D25"/>
    <mergeCell ref="C21:D21"/>
    <mergeCell ref="C24:D24"/>
    <mergeCell ref="C23:D23"/>
    <mergeCell ref="C22:D22"/>
  </mergeCells>
  <hyperlinks>
    <hyperlink ref="B4" r:id="rId1" xr:uid="{C18E4153-061A-4598-987C-771993346DB4}"/>
  </hyperlinks>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8B60F-ED45-418B-9D79-2CA71B8204DC}">
  <sheetPr codeName="Hoja2"/>
  <dimension ref="A1:Q100"/>
  <sheetViews>
    <sheetView tabSelected="1" workbookViewId="0">
      <selection activeCell="J32" sqref="J32"/>
    </sheetView>
  </sheetViews>
  <sheetFormatPr baseColWidth="10" defaultColWidth="11.5546875" defaultRowHeight="14.4"/>
  <cols>
    <col min="1" max="6" width="16.77734375" style="4" customWidth="1"/>
    <col min="7" max="7" width="16.77734375" style="55" customWidth="1"/>
    <col min="8" max="12" width="16.77734375" style="4" customWidth="1"/>
    <col min="13" max="14" width="2.77734375" style="4" customWidth="1"/>
    <col min="15" max="15" width="13.33203125" style="4" customWidth="1"/>
    <col min="16" max="16384" width="11.5546875" style="4"/>
  </cols>
  <sheetData>
    <row r="1" spans="1:14" ht="19.2" customHeight="1">
      <c r="A1" s="68" t="s">
        <v>12</v>
      </c>
      <c r="B1" s="69"/>
      <c r="C1" s="69"/>
      <c r="D1" s="69"/>
      <c r="E1" s="69"/>
      <c r="F1" s="69"/>
      <c r="G1" s="70"/>
      <c r="H1" s="68" t="s">
        <v>20</v>
      </c>
      <c r="I1" s="69"/>
      <c r="J1" s="69"/>
      <c r="K1" s="69"/>
      <c r="L1" s="70"/>
      <c r="M1" s="2"/>
      <c r="N1" s="2"/>
    </row>
    <row r="2" spans="1:14" ht="19.8" customHeight="1">
      <c r="A2" s="65" t="s">
        <v>24</v>
      </c>
      <c r="B2" s="66"/>
      <c r="C2" s="66"/>
      <c r="D2" s="66"/>
      <c r="E2" s="66"/>
      <c r="F2" s="66"/>
      <c r="G2" s="67"/>
      <c r="H2" s="65" t="s">
        <v>27</v>
      </c>
      <c r="I2" s="66"/>
      <c r="J2" s="66"/>
      <c r="K2" s="66"/>
      <c r="L2" s="67"/>
      <c r="M2" s="3"/>
      <c r="N2" s="3"/>
    </row>
    <row r="3" spans="1:14">
      <c r="A3" s="34" t="s">
        <v>0</v>
      </c>
      <c r="B3" s="5" t="s">
        <v>38</v>
      </c>
      <c r="C3" s="5" t="s">
        <v>39</v>
      </c>
      <c r="D3" s="5" t="s">
        <v>2</v>
      </c>
      <c r="E3" s="5" t="s">
        <v>3</v>
      </c>
      <c r="F3" s="5" t="s">
        <v>4</v>
      </c>
      <c r="G3" s="53" t="s">
        <v>1</v>
      </c>
      <c r="H3" s="5" t="s">
        <v>0</v>
      </c>
      <c r="I3" s="5" t="s">
        <v>1</v>
      </c>
      <c r="J3" s="5" t="s">
        <v>2</v>
      </c>
      <c r="K3" s="5" t="s">
        <v>3</v>
      </c>
      <c r="L3" s="35" t="s">
        <v>4</v>
      </c>
      <c r="M3" s="6"/>
      <c r="N3" s="6"/>
    </row>
    <row r="4" spans="1:14">
      <c r="A4" s="36" t="s">
        <v>61</v>
      </c>
      <c r="B4" s="22">
        <v>324738</v>
      </c>
      <c r="C4" s="37">
        <v>16696</v>
      </c>
      <c r="D4" s="38">
        <v>8.4700000000000006</v>
      </c>
      <c r="E4" s="39">
        <v>2891948</v>
      </c>
      <c r="F4" s="62">
        <v>10700209092</v>
      </c>
      <c r="G4" s="61">
        <f>+SUM(Tabla_Red_Aplicadas[[#This Row],[Manual]:[Automatica]])</f>
        <v>341434</v>
      </c>
      <c r="H4" s="7" t="s">
        <v>61</v>
      </c>
      <c r="I4" s="81">
        <v>410837</v>
      </c>
      <c r="J4" s="38">
        <v>8.27</v>
      </c>
      <c r="K4" s="39">
        <v>3397624</v>
      </c>
      <c r="L4" s="62">
        <v>12571210543</v>
      </c>
      <c r="M4" s="6"/>
      <c r="N4" s="6"/>
    </row>
    <row r="5" spans="1:14">
      <c r="A5" s="36" t="s">
        <v>62</v>
      </c>
      <c r="B5" s="22">
        <v>286134</v>
      </c>
      <c r="C5" s="37">
        <v>11864</v>
      </c>
      <c r="D5" s="38">
        <v>8.4700000000000006</v>
      </c>
      <c r="E5" s="39">
        <v>2524037</v>
      </c>
      <c r="F5" s="63">
        <v>9338937863</v>
      </c>
      <c r="G5" s="61">
        <f>+SUM(Tabla_Red_Aplicadas[[#This Row],[Manual]:[Automatica]])</f>
        <v>297998</v>
      </c>
      <c r="H5" s="7" t="s">
        <v>62</v>
      </c>
      <c r="I5" s="81">
        <v>384744</v>
      </c>
      <c r="J5" s="38">
        <v>8.27</v>
      </c>
      <c r="K5" s="39">
        <v>3181836</v>
      </c>
      <c r="L5" s="62">
        <v>11772793284</v>
      </c>
      <c r="M5" s="6"/>
      <c r="N5" s="6"/>
    </row>
    <row r="6" spans="1:14">
      <c r="A6" s="36" t="s">
        <v>63</v>
      </c>
      <c r="B6" s="22">
        <v>311631</v>
      </c>
      <c r="C6" s="37">
        <v>8894</v>
      </c>
      <c r="D6" s="38">
        <v>8.4700000000000006</v>
      </c>
      <c r="E6" s="39">
        <v>2714849</v>
      </c>
      <c r="F6" s="62">
        <v>10044941280</v>
      </c>
      <c r="G6" s="61">
        <f>+SUM(Tabla_Red_Aplicadas[[#This Row],[Manual]:[Automatica]])</f>
        <v>320525</v>
      </c>
      <c r="H6" s="7" t="s">
        <v>63</v>
      </c>
      <c r="I6" s="81">
        <v>385859</v>
      </c>
      <c r="J6" s="38">
        <v>8.27</v>
      </c>
      <c r="K6" s="39">
        <v>3191058</v>
      </c>
      <c r="L6" s="62">
        <v>11806912945</v>
      </c>
      <c r="M6" s="6"/>
      <c r="N6" s="6"/>
    </row>
    <row r="7" spans="1:14">
      <c r="A7" s="36" t="s">
        <v>64</v>
      </c>
      <c r="B7" s="22">
        <v>308745</v>
      </c>
      <c r="C7" s="37">
        <v>9762</v>
      </c>
      <c r="D7" s="38">
        <v>8.4700000000000006</v>
      </c>
      <c r="E7" s="39">
        <v>2697753</v>
      </c>
      <c r="F7" s="63">
        <v>10700209092</v>
      </c>
      <c r="G7" s="61">
        <f>+SUM(Tabla_Red_Aplicadas[[#This Row],[Manual]:[Automatica]])</f>
        <v>318507</v>
      </c>
      <c r="H7" s="7" t="s">
        <v>64</v>
      </c>
      <c r="I7" s="81">
        <v>396561</v>
      </c>
      <c r="J7" s="38">
        <v>8.27</v>
      </c>
      <c r="K7" s="39">
        <v>3279557</v>
      </c>
      <c r="L7" s="62">
        <v>12134360723</v>
      </c>
      <c r="M7" s="6"/>
      <c r="N7" s="6"/>
    </row>
    <row r="8" spans="1:14">
      <c r="A8" s="36" t="s">
        <v>65</v>
      </c>
      <c r="B8" s="22">
        <v>308256.87749899999</v>
      </c>
      <c r="C8" s="37">
        <v>12777.543054</v>
      </c>
      <c r="D8" s="38">
        <v>8.4700000000000006</v>
      </c>
      <c r="E8" s="39">
        <v>2719161.5420839102</v>
      </c>
      <c r="F8" s="62">
        <v>10060897705.710466</v>
      </c>
      <c r="G8" s="61">
        <f>+SUM(Tabla_Red_Aplicadas[[#This Row],[Manual]:[Automatica]])</f>
        <v>321034.420553</v>
      </c>
      <c r="H8" s="22" t="s">
        <v>65</v>
      </c>
      <c r="I8" s="81">
        <v>452051</v>
      </c>
      <c r="J8" s="38">
        <v>8.27</v>
      </c>
      <c r="K8" s="39">
        <v>3738466.7664445494</v>
      </c>
      <c r="L8" s="62">
        <v>13832327035.844833</v>
      </c>
      <c r="M8" s="6"/>
      <c r="N8" s="6"/>
    </row>
    <row r="9" spans="1:14">
      <c r="A9" s="36" t="s">
        <v>117</v>
      </c>
      <c r="B9" s="22">
        <v>321045.47249899997</v>
      </c>
      <c r="C9" s="37">
        <v>10962.118888000001</v>
      </c>
      <c r="D9" s="38">
        <v>8.4700000000000006</v>
      </c>
      <c r="E9" s="39">
        <v>2812104.2990478901</v>
      </c>
      <c r="F9" s="63">
        <v>10404785906.477192</v>
      </c>
      <c r="G9" s="61">
        <f>+SUM(Tabla_Red_Aplicadas[[#This Row],[Manual]:[Automatica]])</f>
        <v>332007.59138699999</v>
      </c>
      <c r="H9" s="8" t="s">
        <v>117</v>
      </c>
      <c r="I9" s="81">
        <v>522989</v>
      </c>
      <c r="J9" s="38">
        <v>8.27</v>
      </c>
      <c r="K9" s="39">
        <v>4325121.5063936096</v>
      </c>
      <c r="L9" s="62">
        <v>16002949573.656357</v>
      </c>
      <c r="M9" s="6"/>
      <c r="N9" s="6"/>
    </row>
    <row r="10" spans="1:14">
      <c r="A10" s="40"/>
      <c r="B10" s="23"/>
      <c r="C10" s="6"/>
      <c r="D10" s="6"/>
      <c r="E10" s="6"/>
      <c r="F10" s="6"/>
      <c r="G10" s="54"/>
      <c r="H10" s="8"/>
      <c r="I10" s="23"/>
      <c r="J10" s="6"/>
      <c r="K10" s="6"/>
      <c r="L10" s="12"/>
      <c r="M10" s="6"/>
      <c r="N10" s="6"/>
    </row>
    <row r="11" spans="1:14" ht="15.6">
      <c r="A11" s="71" t="s">
        <v>25</v>
      </c>
      <c r="B11" s="72"/>
      <c r="C11" s="72"/>
      <c r="D11" s="72"/>
      <c r="E11" s="72"/>
      <c r="F11" s="72"/>
      <c r="G11" s="73"/>
      <c r="H11" s="71" t="s">
        <v>28</v>
      </c>
      <c r="I11" s="72"/>
      <c r="J11" s="72"/>
      <c r="K11" s="72"/>
      <c r="L11" s="73"/>
      <c r="M11" s="3"/>
      <c r="N11" s="3"/>
    </row>
    <row r="12" spans="1:14">
      <c r="A12" s="11"/>
      <c r="C12" s="5" t="s">
        <v>0</v>
      </c>
      <c r="D12" s="5" t="s">
        <v>5</v>
      </c>
      <c r="E12" s="5" t="s">
        <v>6</v>
      </c>
      <c r="I12" s="5" t="s">
        <v>0</v>
      </c>
      <c r="J12" s="5" t="s">
        <v>5</v>
      </c>
      <c r="K12" s="5" t="s">
        <v>6</v>
      </c>
      <c r="L12" s="12"/>
    </row>
    <row r="13" spans="1:14">
      <c r="A13" s="11"/>
      <c r="C13" s="7" t="s">
        <v>61</v>
      </c>
      <c r="D13" s="81">
        <v>341434</v>
      </c>
      <c r="E13" s="81">
        <v>242753</v>
      </c>
      <c r="F13" s="24"/>
      <c r="I13" s="7" t="s">
        <v>61</v>
      </c>
      <c r="J13" s="81">
        <v>410837</v>
      </c>
      <c r="K13" s="81">
        <v>498303</v>
      </c>
      <c r="L13" s="43"/>
    </row>
    <row r="14" spans="1:14">
      <c r="A14" s="11"/>
      <c r="C14" s="7" t="s">
        <v>62</v>
      </c>
      <c r="D14" s="81">
        <v>297997</v>
      </c>
      <c r="E14" s="81">
        <v>200827</v>
      </c>
      <c r="F14" s="24"/>
      <c r="I14" s="7" t="s">
        <v>62</v>
      </c>
      <c r="J14" s="81">
        <v>384744</v>
      </c>
      <c r="K14" s="81">
        <v>388244</v>
      </c>
      <c r="L14" s="43"/>
    </row>
    <row r="15" spans="1:14">
      <c r="A15" s="11"/>
      <c r="C15" s="7" t="s">
        <v>63</v>
      </c>
      <c r="D15" s="81">
        <v>320525</v>
      </c>
      <c r="E15" s="81">
        <v>190241</v>
      </c>
      <c r="F15" s="24"/>
      <c r="I15" s="7" t="s">
        <v>63</v>
      </c>
      <c r="J15" s="81">
        <v>385859</v>
      </c>
      <c r="K15" s="81">
        <v>465155</v>
      </c>
      <c r="L15" s="43"/>
    </row>
    <row r="16" spans="1:14">
      <c r="A16" s="11"/>
      <c r="C16" s="7" t="s">
        <v>64</v>
      </c>
      <c r="D16" s="81">
        <v>318506</v>
      </c>
      <c r="E16" s="81">
        <v>177129</v>
      </c>
      <c r="F16" s="24"/>
      <c r="I16" s="7" t="s">
        <v>64</v>
      </c>
      <c r="J16" s="81">
        <v>396560</v>
      </c>
      <c r="K16" s="81">
        <v>449327</v>
      </c>
      <c r="L16" s="43"/>
    </row>
    <row r="17" spans="1:14">
      <c r="A17" s="11"/>
      <c r="C17" s="7" t="s">
        <v>65</v>
      </c>
      <c r="D17" s="81">
        <v>321034</v>
      </c>
      <c r="E17" s="81">
        <v>190271</v>
      </c>
      <c r="F17" s="24"/>
      <c r="I17" s="7" t="s">
        <v>65</v>
      </c>
      <c r="J17" s="81">
        <v>452051</v>
      </c>
      <c r="K17" s="81">
        <v>438168</v>
      </c>
      <c r="L17" s="43"/>
    </row>
    <row r="18" spans="1:14">
      <c r="A18" s="11"/>
      <c r="C18" s="7" t="s">
        <v>117</v>
      </c>
      <c r="D18" s="81">
        <v>332007</v>
      </c>
      <c r="E18" s="81">
        <v>248880</v>
      </c>
      <c r="F18" s="24"/>
      <c r="I18" s="7" t="s">
        <v>117</v>
      </c>
      <c r="J18" s="81">
        <v>522989</v>
      </c>
      <c r="K18" s="81">
        <v>474860</v>
      </c>
      <c r="L18" s="43"/>
    </row>
    <row r="19" spans="1:14">
      <c r="A19" s="11"/>
      <c r="B19" s="9"/>
      <c r="C19" s="24"/>
      <c r="D19" s="24"/>
      <c r="E19" s="24"/>
      <c r="F19" s="24"/>
      <c r="H19" s="9"/>
      <c r="I19" s="24"/>
      <c r="J19" s="24"/>
      <c r="L19" s="13"/>
    </row>
    <row r="20" spans="1:14" ht="15.6">
      <c r="A20" s="71" t="s">
        <v>26</v>
      </c>
      <c r="B20" s="72"/>
      <c r="C20" s="72"/>
      <c r="D20" s="72"/>
      <c r="E20" s="72"/>
      <c r="F20" s="72"/>
      <c r="G20" s="73"/>
      <c r="H20" s="71" t="s">
        <v>29</v>
      </c>
      <c r="I20" s="72"/>
      <c r="J20" s="72"/>
      <c r="K20" s="72"/>
      <c r="L20" s="73"/>
      <c r="M20" s="1"/>
      <c r="N20" s="1"/>
    </row>
    <row r="21" spans="1:14">
      <c r="A21" s="11"/>
      <c r="C21" s="5" t="s">
        <v>7</v>
      </c>
      <c r="D21" s="5" t="s">
        <v>1</v>
      </c>
      <c r="E21" s="5" t="s">
        <v>8</v>
      </c>
      <c r="F21" s="6"/>
      <c r="I21" s="5" t="s">
        <v>7</v>
      </c>
      <c r="J21" s="5" t="s">
        <v>1</v>
      </c>
      <c r="K21" s="5" t="s">
        <v>8</v>
      </c>
      <c r="L21" s="12"/>
    </row>
    <row r="22" spans="1:14" ht="31.95" customHeight="1">
      <c r="A22" s="11"/>
      <c r="C22" s="41" t="s">
        <v>13</v>
      </c>
      <c r="D22" s="81">
        <v>320222</v>
      </c>
      <c r="E22" s="82">
        <v>25.56</v>
      </c>
      <c r="F22" s="42"/>
      <c r="I22" s="41" t="s">
        <v>99</v>
      </c>
      <c r="J22" s="81">
        <v>924153</v>
      </c>
      <c r="K22" s="17">
        <v>35.609941288585489</v>
      </c>
      <c r="L22" s="44"/>
    </row>
    <row r="23" spans="1:14" ht="31.95" customHeight="1">
      <c r="A23" s="11"/>
      <c r="C23" s="41" t="s">
        <v>14</v>
      </c>
      <c r="D23" s="81">
        <v>222324</v>
      </c>
      <c r="E23" s="81">
        <v>43.31</v>
      </c>
      <c r="F23" s="6"/>
      <c r="I23" s="41" t="s">
        <v>16</v>
      </c>
      <c r="J23" s="81">
        <v>211788</v>
      </c>
      <c r="K23" s="17">
        <v>43.770678979706041</v>
      </c>
      <c r="L23" s="44"/>
    </row>
    <row r="24" spans="1:14" ht="31.95" customHeight="1">
      <c r="A24" s="11"/>
      <c r="C24" s="41" t="s">
        <v>15</v>
      </c>
      <c r="D24" s="81">
        <v>128575</v>
      </c>
      <c r="E24" s="82">
        <v>53.57</v>
      </c>
      <c r="F24" s="42"/>
      <c r="I24" s="41" t="s">
        <v>100</v>
      </c>
      <c r="J24" s="81">
        <v>184519</v>
      </c>
      <c r="K24" s="17">
        <v>50.880680465712459</v>
      </c>
      <c r="L24" s="44"/>
    </row>
    <row r="25" spans="1:14" ht="31.95" customHeight="1">
      <c r="A25" s="11"/>
      <c r="C25" s="41" t="s">
        <v>16</v>
      </c>
      <c r="D25" s="81">
        <v>113949</v>
      </c>
      <c r="E25" s="81">
        <v>62.66</v>
      </c>
      <c r="F25" s="6"/>
      <c r="I25" s="41" t="s">
        <v>15</v>
      </c>
      <c r="J25" s="81">
        <v>152323</v>
      </c>
      <c r="K25" s="17">
        <v>56.750086413980597</v>
      </c>
      <c r="L25" s="44"/>
    </row>
    <row r="26" spans="1:14" ht="31.95" customHeight="1">
      <c r="A26" s="11"/>
      <c r="C26" s="41" t="s">
        <v>97</v>
      </c>
      <c r="D26" s="81">
        <v>71375</v>
      </c>
      <c r="E26" s="81">
        <v>68.36</v>
      </c>
      <c r="F26" s="6"/>
      <c r="I26" s="41" t="s">
        <v>118</v>
      </c>
      <c r="J26" s="81">
        <v>126933</v>
      </c>
      <c r="K26" s="17">
        <v>61.641155284165059</v>
      </c>
      <c r="L26" s="44"/>
    </row>
    <row r="27" spans="1:14" ht="31.95" customHeight="1">
      <c r="A27" s="11"/>
      <c r="C27" s="41" t="s">
        <v>17</v>
      </c>
      <c r="D27" s="81">
        <v>45050</v>
      </c>
      <c r="E27" s="81">
        <v>71.95</v>
      </c>
      <c r="F27" s="6"/>
      <c r="I27" s="47" t="s">
        <v>119</v>
      </c>
      <c r="J27" s="81">
        <v>107116</v>
      </c>
      <c r="K27" s="17">
        <v>65.768627624225601</v>
      </c>
      <c r="L27" s="44"/>
    </row>
    <row r="28" spans="1:14" ht="31.95" customHeight="1">
      <c r="A28" s="11"/>
      <c r="C28" s="46" t="s">
        <v>18</v>
      </c>
      <c r="D28" s="83">
        <v>43993</v>
      </c>
      <c r="E28" s="84">
        <v>75.47</v>
      </c>
      <c r="F28" s="6"/>
      <c r="I28" s="41" t="s">
        <v>120</v>
      </c>
      <c r="J28" s="81">
        <v>82004</v>
      </c>
      <c r="K28" s="17">
        <v>68.928457970958306</v>
      </c>
      <c r="L28" s="44"/>
    </row>
    <row r="29" spans="1:14" ht="31.95" customHeight="1">
      <c r="A29" s="11"/>
      <c r="C29" s="41" t="s">
        <v>98</v>
      </c>
      <c r="D29" s="81">
        <v>43185</v>
      </c>
      <c r="E29" s="81">
        <v>78.92</v>
      </c>
      <c r="F29" s="6"/>
      <c r="I29" s="41" t="s">
        <v>101</v>
      </c>
      <c r="J29" s="81">
        <v>73879</v>
      </c>
      <c r="K29" s="17">
        <v>71.775208168538597</v>
      </c>
      <c r="L29" s="44"/>
    </row>
    <row r="30" spans="1:14" ht="31.95" customHeight="1">
      <c r="A30" s="11"/>
      <c r="C30" s="41" t="s">
        <v>19</v>
      </c>
      <c r="D30" s="81">
        <v>264101</v>
      </c>
      <c r="E30" s="81">
        <v>100</v>
      </c>
      <c r="F30" s="6"/>
      <c r="I30" s="41" t="s">
        <v>102</v>
      </c>
      <c r="J30" s="81">
        <v>63584</v>
      </c>
      <c r="K30" s="17">
        <v>74.225293871594289</v>
      </c>
      <c r="L30" s="44"/>
    </row>
    <row r="31" spans="1:14" ht="31.95" customHeight="1">
      <c r="A31" s="11"/>
      <c r="C31" s="48"/>
      <c r="D31" s="23"/>
      <c r="E31" s="6"/>
      <c r="F31" s="6"/>
      <c r="I31" s="41" t="s">
        <v>18</v>
      </c>
      <c r="J31" s="81">
        <v>63386</v>
      </c>
      <c r="K31" s="17">
        <v>76.66771622814386</v>
      </c>
      <c r="L31" s="44"/>
    </row>
    <row r="32" spans="1:14" ht="31.95" customHeight="1">
      <c r="A32" s="11"/>
      <c r="C32" s="48"/>
      <c r="D32" s="23"/>
      <c r="E32" s="6"/>
      <c r="F32" s="6"/>
      <c r="I32" s="41" t="s">
        <v>121</v>
      </c>
      <c r="J32" s="81">
        <v>52900</v>
      </c>
      <c r="K32" s="17">
        <v>78.706110526626389</v>
      </c>
      <c r="L32" s="44"/>
    </row>
    <row r="33" spans="1:17" ht="31.95" customHeight="1">
      <c r="A33" s="11"/>
      <c r="C33" s="48"/>
      <c r="D33" s="23"/>
      <c r="E33" s="6"/>
      <c r="F33" s="6"/>
      <c r="I33" s="41" t="s">
        <v>19</v>
      </c>
      <c r="J33" s="81">
        <v>552631</v>
      </c>
      <c r="K33" s="17">
        <v>100</v>
      </c>
      <c r="L33" s="44"/>
    </row>
    <row r="34" spans="1:17">
      <c r="A34" s="14"/>
      <c r="B34" s="15"/>
      <c r="C34" s="15"/>
      <c r="D34" s="15"/>
      <c r="E34" s="15"/>
      <c r="F34" s="15"/>
      <c r="G34" s="56"/>
      <c r="H34" s="15"/>
      <c r="I34" s="15"/>
      <c r="J34" s="15"/>
      <c r="K34" s="15"/>
      <c r="L34" s="16"/>
    </row>
    <row r="36" spans="1:17" ht="24" customHeight="1">
      <c r="A36" s="77" t="s">
        <v>47</v>
      </c>
      <c r="B36" s="78"/>
      <c r="C36" s="78"/>
      <c r="D36" s="78"/>
      <c r="E36" s="78"/>
      <c r="F36" s="78"/>
      <c r="G36" s="78"/>
      <c r="H36" s="78"/>
      <c r="I36" s="78"/>
      <c r="J36" s="78"/>
      <c r="K36" s="78"/>
      <c r="L36" s="79"/>
      <c r="M36" s="45"/>
      <c r="N36" s="45"/>
      <c r="O36" s="45"/>
      <c r="P36" s="45"/>
      <c r="Q36" s="45"/>
    </row>
    <row r="37" spans="1:17" ht="15.6" customHeight="1">
      <c r="A37" s="74" t="s">
        <v>48</v>
      </c>
      <c r="B37" s="75"/>
      <c r="C37" s="75"/>
      <c r="D37" s="75"/>
      <c r="E37" s="75"/>
      <c r="F37" s="75"/>
      <c r="G37" s="76"/>
      <c r="H37" s="74" t="s">
        <v>49</v>
      </c>
      <c r="I37" s="75"/>
      <c r="J37" s="75"/>
      <c r="K37" s="75"/>
      <c r="L37" s="76"/>
    </row>
    <row r="38" spans="1:17">
      <c r="A38" s="11"/>
      <c r="L38" s="13"/>
    </row>
    <row r="39" spans="1:17">
      <c r="A39" s="11"/>
      <c r="C39" s="5" t="s">
        <v>50</v>
      </c>
      <c r="D39" s="5" t="s">
        <v>8</v>
      </c>
      <c r="I39" s="5" t="s">
        <v>50</v>
      </c>
      <c r="J39" s="5" t="s">
        <v>8</v>
      </c>
      <c r="L39" s="13"/>
    </row>
    <row r="40" spans="1:17">
      <c r="A40" s="11"/>
      <c r="C40" s="7" t="s">
        <v>51</v>
      </c>
      <c r="D40" s="17">
        <v>98.95</v>
      </c>
      <c r="I40" s="7" t="s">
        <v>51</v>
      </c>
      <c r="J40" s="17">
        <v>97.56</v>
      </c>
      <c r="L40" s="13"/>
    </row>
    <row r="41" spans="1:17">
      <c r="A41" s="11"/>
      <c r="C41" s="7" t="s">
        <v>52</v>
      </c>
      <c r="D41" s="17">
        <v>1.05</v>
      </c>
      <c r="I41" s="7" t="s">
        <v>52</v>
      </c>
      <c r="J41" s="17">
        <v>2.44</v>
      </c>
      <c r="L41" s="13"/>
    </row>
    <row r="42" spans="1:17">
      <c r="A42" s="14"/>
      <c r="B42" s="29"/>
      <c r="C42" s="30"/>
      <c r="D42" s="15"/>
      <c r="E42" s="15"/>
      <c r="F42" s="15"/>
      <c r="G42" s="56"/>
      <c r="H42" s="15"/>
      <c r="I42" s="26"/>
      <c r="J42" s="27"/>
      <c r="K42" s="15"/>
      <c r="L42" s="16"/>
    </row>
    <row r="43" spans="1:17" ht="15.6" customHeight="1">
      <c r="A43" s="71" t="s">
        <v>81</v>
      </c>
      <c r="B43" s="72"/>
      <c r="C43" s="72"/>
      <c r="D43" s="72"/>
      <c r="E43" s="72"/>
      <c r="F43" s="72"/>
      <c r="G43" s="72"/>
      <c r="H43" s="72"/>
      <c r="I43" s="72"/>
      <c r="J43" s="72"/>
      <c r="K43" s="72"/>
      <c r="L43" s="73"/>
    </row>
    <row r="44" spans="1:17" ht="15.6" customHeight="1">
      <c r="A44" s="20"/>
      <c r="B44" s="3"/>
      <c r="C44" s="3"/>
      <c r="D44" s="3"/>
      <c r="E44" s="3"/>
      <c r="F44" s="3"/>
      <c r="G44" s="57"/>
      <c r="H44" s="3"/>
      <c r="I44" s="3"/>
      <c r="J44" s="3"/>
      <c r="K44" s="3"/>
      <c r="L44" s="21"/>
    </row>
    <row r="45" spans="1:17">
      <c r="A45" s="11"/>
      <c r="C45" s="5" t="s">
        <v>66</v>
      </c>
      <c r="D45" s="5" t="s">
        <v>67</v>
      </c>
      <c r="E45" s="5" t="s">
        <v>68</v>
      </c>
      <c r="F45" s="5" t="s">
        <v>69</v>
      </c>
      <c r="G45" s="53" t="s">
        <v>70</v>
      </c>
      <c r="H45" s="5" t="s">
        <v>71</v>
      </c>
      <c r="I45" s="5" t="s">
        <v>50</v>
      </c>
      <c r="J45" s="5" t="s">
        <v>72</v>
      </c>
      <c r="L45" s="13"/>
    </row>
    <row r="46" spans="1:17" ht="60" customHeight="1">
      <c r="A46" s="11"/>
      <c r="C46" s="31" t="s">
        <v>73</v>
      </c>
      <c r="D46" s="32" t="s">
        <v>74</v>
      </c>
      <c r="E46" s="33" t="s">
        <v>75</v>
      </c>
      <c r="F46" s="33" t="s">
        <v>76</v>
      </c>
      <c r="G46" s="58" t="s">
        <v>77</v>
      </c>
      <c r="H46" s="33" t="s">
        <v>78</v>
      </c>
      <c r="I46" s="33" t="s">
        <v>79</v>
      </c>
      <c r="J46" s="31" t="s">
        <v>80</v>
      </c>
      <c r="L46" s="13"/>
    </row>
    <row r="47" spans="1:17">
      <c r="A47" s="14"/>
      <c r="B47" s="29"/>
      <c r="C47" s="30"/>
      <c r="D47" s="15"/>
      <c r="E47" s="15"/>
      <c r="F47" s="15"/>
      <c r="G47" s="56"/>
      <c r="H47" s="15"/>
      <c r="I47" s="29"/>
      <c r="J47" s="30"/>
      <c r="K47" s="15"/>
      <c r="L47" s="16"/>
    </row>
    <row r="48" spans="1:17">
      <c r="A48" s="11"/>
      <c r="B48" s="8"/>
      <c r="C48" s="28"/>
      <c r="I48" s="8"/>
      <c r="J48" s="28"/>
    </row>
    <row r="49" spans="1:14" ht="24" customHeight="1">
      <c r="A49" s="68" t="s">
        <v>30</v>
      </c>
      <c r="B49" s="69"/>
      <c r="C49" s="69"/>
      <c r="D49" s="69"/>
      <c r="E49" s="69"/>
      <c r="F49" s="69"/>
      <c r="G49" s="70"/>
      <c r="H49" s="68" t="s">
        <v>34</v>
      </c>
      <c r="I49" s="69"/>
      <c r="J49" s="69"/>
      <c r="K49" s="69"/>
      <c r="L49" s="70"/>
      <c r="M49" s="2"/>
      <c r="N49" s="2"/>
    </row>
    <row r="50" spans="1:14" ht="17.399999999999999" customHeight="1">
      <c r="A50" s="71" t="s">
        <v>31</v>
      </c>
      <c r="B50" s="72"/>
      <c r="C50" s="72"/>
      <c r="D50" s="72"/>
      <c r="E50" s="72"/>
      <c r="F50" s="72"/>
      <c r="G50" s="73"/>
      <c r="H50" s="71" t="s">
        <v>35</v>
      </c>
      <c r="I50" s="72"/>
      <c r="J50" s="72"/>
      <c r="K50" s="72"/>
      <c r="L50" s="73"/>
      <c r="M50" s="1"/>
      <c r="N50" s="1"/>
    </row>
    <row r="51" spans="1:14">
      <c r="A51" s="11"/>
      <c r="B51" s="5" t="s">
        <v>0</v>
      </c>
      <c r="C51" s="5" t="s">
        <v>8</v>
      </c>
      <c r="I51" s="5" t="s">
        <v>0</v>
      </c>
      <c r="J51" s="5" t="s">
        <v>56</v>
      </c>
      <c r="K51" s="5" t="s">
        <v>8</v>
      </c>
      <c r="L51" s="12"/>
    </row>
    <row r="52" spans="1:14">
      <c r="A52" s="11"/>
      <c r="B52" s="7" t="s">
        <v>61</v>
      </c>
      <c r="C52" s="17">
        <v>95.36</v>
      </c>
      <c r="I52" s="7" t="s">
        <v>61</v>
      </c>
      <c r="J52" s="5">
        <v>290</v>
      </c>
      <c r="K52" s="81">
        <v>0.38</v>
      </c>
      <c r="L52" s="12"/>
    </row>
    <row r="53" spans="1:14">
      <c r="A53" s="11"/>
      <c r="B53" s="7" t="s">
        <v>62</v>
      </c>
      <c r="C53" s="17">
        <v>96.57</v>
      </c>
      <c r="I53" s="7" t="s">
        <v>62</v>
      </c>
      <c r="J53" s="5">
        <v>2316</v>
      </c>
      <c r="K53" s="81">
        <v>3.15</v>
      </c>
      <c r="L53" s="12"/>
    </row>
    <row r="54" spans="1:14">
      <c r="A54" s="11"/>
      <c r="B54" s="7" t="s">
        <v>63</v>
      </c>
      <c r="C54" s="17">
        <v>96.1</v>
      </c>
      <c r="I54" s="7" t="s">
        <v>63</v>
      </c>
      <c r="J54" s="5">
        <v>355</v>
      </c>
      <c r="K54" s="81">
        <v>0.47</v>
      </c>
      <c r="L54" s="12"/>
    </row>
    <row r="55" spans="1:14">
      <c r="A55" s="11"/>
      <c r="B55" s="7" t="s">
        <v>64</v>
      </c>
      <c r="C55" s="17">
        <v>96.25</v>
      </c>
      <c r="I55" s="7" t="s">
        <v>64</v>
      </c>
      <c r="J55" s="5">
        <v>421</v>
      </c>
      <c r="K55" s="81">
        <v>0.6</v>
      </c>
      <c r="L55" s="12"/>
    </row>
    <row r="56" spans="1:14">
      <c r="A56" s="11"/>
      <c r="B56" s="7" t="s">
        <v>65</v>
      </c>
      <c r="C56" s="17">
        <v>95.92</v>
      </c>
      <c r="I56" s="7" t="s">
        <v>65</v>
      </c>
      <c r="J56" s="5">
        <v>300</v>
      </c>
      <c r="K56" s="81">
        <v>0.39</v>
      </c>
      <c r="L56" s="12"/>
    </row>
    <row r="57" spans="1:14">
      <c r="A57" s="11"/>
      <c r="B57" s="7" t="s">
        <v>117</v>
      </c>
      <c r="C57" s="17">
        <v>96.51</v>
      </c>
      <c r="I57" s="7" t="s">
        <v>117</v>
      </c>
      <c r="J57" s="5">
        <v>234</v>
      </c>
      <c r="K57" s="81">
        <v>0.3</v>
      </c>
      <c r="L57" s="12"/>
    </row>
    <row r="58" spans="1:14">
      <c r="A58" s="11"/>
      <c r="B58" s="7"/>
      <c r="C58" s="17"/>
      <c r="I58" s="7"/>
      <c r="J58" s="5"/>
      <c r="K58" s="5"/>
      <c r="L58" s="12"/>
    </row>
    <row r="59" spans="1:14">
      <c r="A59" s="18"/>
      <c r="B59" s="19"/>
      <c r="L59" s="13"/>
    </row>
    <row r="60" spans="1:14" ht="15.6">
      <c r="A60" s="71" t="s">
        <v>46</v>
      </c>
      <c r="B60" s="72"/>
      <c r="C60" s="72"/>
      <c r="D60" s="72"/>
      <c r="E60" s="72"/>
      <c r="F60" s="72"/>
      <c r="G60" s="73"/>
      <c r="H60" s="71" t="s">
        <v>36</v>
      </c>
      <c r="I60" s="72"/>
      <c r="J60" s="72"/>
      <c r="K60" s="72"/>
      <c r="L60" s="73"/>
    </row>
    <row r="61" spans="1:14">
      <c r="A61" s="11"/>
      <c r="B61" s="5" t="s">
        <v>53</v>
      </c>
      <c r="C61" s="5" t="s">
        <v>8</v>
      </c>
      <c r="I61" s="5" t="s">
        <v>0</v>
      </c>
      <c r="J61" s="5" t="s">
        <v>56</v>
      </c>
      <c r="K61" s="5" t="s">
        <v>8</v>
      </c>
      <c r="L61" s="12"/>
    </row>
    <row r="62" spans="1:14">
      <c r="A62" s="11"/>
      <c r="B62" s="7" t="s">
        <v>54</v>
      </c>
      <c r="C62" s="17">
        <v>96.01</v>
      </c>
      <c r="I62" s="7" t="s">
        <v>61</v>
      </c>
      <c r="J62" s="81">
        <v>56</v>
      </c>
      <c r="K62" s="81">
        <v>0.73</v>
      </c>
      <c r="L62" s="12"/>
    </row>
    <row r="63" spans="1:14">
      <c r="A63" s="11"/>
      <c r="B63" s="7" t="s">
        <v>55</v>
      </c>
      <c r="C63" s="17">
        <v>96.24</v>
      </c>
      <c r="I63" s="7" t="s">
        <v>62</v>
      </c>
      <c r="J63" s="81">
        <v>122</v>
      </c>
      <c r="K63" s="81">
        <v>1.66</v>
      </c>
      <c r="L63" s="12"/>
    </row>
    <row r="64" spans="1:14">
      <c r="A64" s="11"/>
      <c r="B64" s="8"/>
      <c r="C64" s="28"/>
      <c r="I64" s="7" t="s">
        <v>63</v>
      </c>
      <c r="J64" s="81">
        <v>176</v>
      </c>
      <c r="K64" s="81">
        <v>2.4700000000000002</v>
      </c>
      <c r="L64" s="12"/>
    </row>
    <row r="65" spans="1:14" ht="15.6">
      <c r="A65" s="65" t="s">
        <v>32</v>
      </c>
      <c r="B65" s="66"/>
      <c r="C65" s="66"/>
      <c r="D65" s="66"/>
      <c r="E65" s="66"/>
      <c r="F65" s="66"/>
      <c r="G65" s="67"/>
      <c r="I65" s="7" t="s">
        <v>64</v>
      </c>
      <c r="J65" s="81">
        <v>44</v>
      </c>
      <c r="K65" s="81">
        <v>0.62</v>
      </c>
      <c r="L65" s="13"/>
    </row>
    <row r="66" spans="1:14">
      <c r="A66" s="11"/>
      <c r="B66" s="5" t="s">
        <v>9</v>
      </c>
      <c r="C66" s="5" t="s">
        <v>10</v>
      </c>
      <c r="D66" s="5" t="s">
        <v>11</v>
      </c>
      <c r="I66" s="7" t="s">
        <v>65</v>
      </c>
      <c r="J66" s="81">
        <v>30</v>
      </c>
      <c r="K66" s="81">
        <v>0.4</v>
      </c>
      <c r="L66" s="13"/>
    </row>
    <row r="67" spans="1:14">
      <c r="A67" s="11"/>
      <c r="B67" s="5" t="s">
        <v>21</v>
      </c>
      <c r="C67" s="5">
        <v>842</v>
      </c>
      <c r="D67" s="22">
        <v>898776</v>
      </c>
      <c r="I67" s="7" t="s">
        <v>117</v>
      </c>
      <c r="J67" s="81">
        <v>36</v>
      </c>
      <c r="K67" s="81">
        <v>0.47</v>
      </c>
      <c r="L67" s="13"/>
    </row>
    <row r="68" spans="1:14">
      <c r="A68" s="18"/>
      <c r="B68" s="5" t="s">
        <v>22</v>
      </c>
      <c r="C68" s="5">
        <v>79</v>
      </c>
      <c r="D68" s="22">
        <v>60667</v>
      </c>
      <c r="L68" s="13"/>
    </row>
    <row r="69" spans="1:14" ht="15.6" customHeight="1">
      <c r="B69" s="5" t="s">
        <v>23</v>
      </c>
      <c r="C69" s="5">
        <v>17</v>
      </c>
      <c r="D69" s="22">
        <v>86</v>
      </c>
      <c r="H69" s="71" t="s">
        <v>37</v>
      </c>
      <c r="I69" s="72"/>
      <c r="J69" s="72"/>
      <c r="K69" s="72"/>
      <c r="L69" s="73"/>
      <c r="M69" s="1"/>
      <c r="N69" s="1"/>
    </row>
    <row r="70" spans="1:14">
      <c r="A70" s="11"/>
      <c r="E70" s="6"/>
      <c r="F70" s="6"/>
      <c r="I70" s="5" t="s">
        <v>0</v>
      </c>
      <c r="J70" s="5" t="s">
        <v>1</v>
      </c>
      <c r="K70" s="5" t="s">
        <v>10</v>
      </c>
      <c r="L70" s="13"/>
    </row>
    <row r="71" spans="1:14" ht="15.6">
      <c r="A71" s="65" t="s">
        <v>33</v>
      </c>
      <c r="B71" s="66"/>
      <c r="C71" s="66"/>
      <c r="D71" s="66"/>
      <c r="E71" s="66"/>
      <c r="F71" s="66"/>
      <c r="G71" s="67"/>
      <c r="I71" s="7" t="s">
        <v>61</v>
      </c>
      <c r="J71" s="5">
        <v>432.42999999999967</v>
      </c>
      <c r="K71" s="5">
        <v>303</v>
      </c>
      <c r="L71" s="13"/>
    </row>
    <row r="72" spans="1:14">
      <c r="A72" s="11"/>
      <c r="B72" s="5" t="s">
        <v>0</v>
      </c>
      <c r="C72" s="5" t="s">
        <v>10</v>
      </c>
      <c r="E72" s="23"/>
      <c r="F72" s="23"/>
      <c r="I72" s="7" t="s">
        <v>62</v>
      </c>
      <c r="J72" s="5">
        <v>124.11000000000001</v>
      </c>
      <c r="K72" s="5">
        <v>79</v>
      </c>
      <c r="L72" s="13"/>
    </row>
    <row r="73" spans="1:14">
      <c r="A73" s="11"/>
      <c r="B73" s="7" t="s">
        <v>61</v>
      </c>
      <c r="C73" s="5">
        <v>183</v>
      </c>
      <c r="E73" s="23"/>
      <c r="F73" s="23"/>
      <c r="I73" s="7" t="s">
        <v>63</v>
      </c>
      <c r="J73" s="5">
        <v>50.359999999999992</v>
      </c>
      <c r="K73" s="5">
        <v>40</v>
      </c>
      <c r="L73" s="13"/>
    </row>
    <row r="74" spans="1:14">
      <c r="A74" s="11"/>
      <c r="B74" s="7" t="s">
        <v>62</v>
      </c>
      <c r="C74" s="5">
        <v>61</v>
      </c>
      <c r="D74" s="25"/>
      <c r="E74" s="25"/>
      <c r="F74" s="25"/>
      <c r="I74" s="7" t="s">
        <v>64</v>
      </c>
      <c r="J74" s="5">
        <v>21.489999999999988</v>
      </c>
      <c r="K74" s="5">
        <v>33</v>
      </c>
      <c r="L74" s="13"/>
    </row>
    <row r="75" spans="1:14">
      <c r="A75" s="11"/>
      <c r="B75" s="7" t="s">
        <v>63</v>
      </c>
      <c r="C75" s="5">
        <v>87</v>
      </c>
      <c r="D75" s="25"/>
      <c r="E75" s="25"/>
      <c r="F75" s="25"/>
      <c r="I75" s="7" t="s">
        <v>65</v>
      </c>
      <c r="J75" s="5">
        <v>11.709999999999997</v>
      </c>
      <c r="K75" s="5">
        <v>15</v>
      </c>
      <c r="L75" s="13"/>
    </row>
    <row r="76" spans="1:14" ht="15.6" customHeight="1">
      <c r="B76" s="7" t="s">
        <v>64</v>
      </c>
      <c r="C76" s="5">
        <v>145</v>
      </c>
      <c r="I76" s="7" t="s">
        <v>117</v>
      </c>
      <c r="J76" s="6">
        <v>96.319999999999979</v>
      </c>
      <c r="K76" s="6">
        <v>66</v>
      </c>
      <c r="L76" s="13"/>
    </row>
    <row r="77" spans="1:14" ht="15.6">
      <c r="A77" s="11"/>
      <c r="B77" s="7" t="s">
        <v>65</v>
      </c>
      <c r="C77" s="5">
        <v>273</v>
      </c>
      <c r="I77" s="7"/>
      <c r="J77" s="6"/>
      <c r="K77" s="6"/>
      <c r="L77" s="13"/>
      <c r="M77" s="1"/>
      <c r="N77" s="1"/>
    </row>
    <row r="78" spans="1:14">
      <c r="A78" s="11"/>
      <c r="B78" s="7" t="s">
        <v>117</v>
      </c>
      <c r="C78" s="5">
        <v>150</v>
      </c>
      <c r="I78" s="7"/>
      <c r="J78" s="6"/>
      <c r="K78" s="6"/>
      <c r="L78" s="13"/>
    </row>
    <row r="79" spans="1:14">
      <c r="A79" s="14"/>
      <c r="B79" s="15"/>
      <c r="C79" s="15"/>
      <c r="D79" s="15"/>
      <c r="E79" s="15"/>
      <c r="F79" s="15"/>
      <c r="G79" s="56"/>
      <c r="H79" s="15"/>
      <c r="I79" s="15"/>
      <c r="J79" s="15"/>
      <c r="K79" s="15"/>
      <c r="L79" s="16"/>
    </row>
    <row r="84" spans="1:6">
      <c r="B84" s="9"/>
      <c r="C84" s="10"/>
    </row>
    <row r="85" spans="1:6">
      <c r="A85" s="10"/>
      <c r="B85" s="10"/>
    </row>
    <row r="91" spans="1:6">
      <c r="B91" s="8"/>
      <c r="C91" s="6"/>
      <c r="D91" s="6"/>
      <c r="E91" s="6"/>
      <c r="F91" s="6"/>
    </row>
    <row r="92" spans="1:6">
      <c r="A92" s="10"/>
    </row>
    <row r="98" spans="1:7">
      <c r="B98" s="9"/>
    </row>
    <row r="99" spans="1:7">
      <c r="A99" s="10"/>
    </row>
    <row r="100" spans="1:7">
      <c r="G100" s="59"/>
    </row>
  </sheetData>
  <mergeCells count="21">
    <mergeCell ref="H1:L1"/>
    <mergeCell ref="H2:L2"/>
    <mergeCell ref="H11:L11"/>
    <mergeCell ref="H20:L20"/>
    <mergeCell ref="A1:G1"/>
    <mergeCell ref="A2:G2"/>
    <mergeCell ref="A71:G71"/>
    <mergeCell ref="A49:G49"/>
    <mergeCell ref="A60:G60"/>
    <mergeCell ref="A11:G11"/>
    <mergeCell ref="A20:G20"/>
    <mergeCell ref="A43:L43"/>
    <mergeCell ref="A37:G37"/>
    <mergeCell ref="H37:L37"/>
    <mergeCell ref="A36:L36"/>
    <mergeCell ref="H49:L49"/>
    <mergeCell ref="H50:L50"/>
    <mergeCell ref="H60:L60"/>
    <mergeCell ref="H69:L69"/>
    <mergeCell ref="A65:G65"/>
    <mergeCell ref="A50:G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GenerarJS">
                <anchor moveWithCells="1">
                  <from>
                    <xdr:col>6</xdr:col>
                    <xdr:colOff>426720</xdr:colOff>
                    <xdr:row>12</xdr:row>
                    <xdr:rowOff>38100</xdr:rowOff>
                  </from>
                  <to>
                    <xdr:col>7</xdr:col>
                    <xdr:colOff>502920</xdr:colOff>
                    <xdr:row>15</xdr:row>
                    <xdr:rowOff>106680</xdr:rowOff>
                  </to>
                </anchor>
              </controlPr>
            </control>
          </mc:Choice>
        </mc:AlternateContent>
      </controls>
    </mc:Choice>
  </mc:AlternateContent>
  <tableParts count="16">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71904C161B804FBF8F3DEE02BD737B" ma:contentTypeVersion="27" ma:contentTypeDescription="Create a new document." ma:contentTypeScope="" ma:versionID="5a71d1f1da4af55ed8d14cd23e6ccf2b">
  <xsd:schema xmlns:xsd="http://www.w3.org/2001/XMLSchema" xmlns:xs="http://www.w3.org/2001/XMLSchema" xmlns:p="http://schemas.microsoft.com/office/2006/metadata/properties" xmlns:ns2="db556306-3339-405b-90dc-6b51767e16a4" xmlns:ns3="0dce1bc4-e368-4c98-b2d3-f63401d94447" targetNamespace="http://schemas.microsoft.com/office/2006/metadata/properties" ma:root="true" ma:fieldsID="074eaa6158e405a1011f5b1dc537ad81" ns2:_="" ns3:_="">
    <xsd:import namespace="db556306-3339-405b-90dc-6b51767e16a4"/>
    <xsd:import namespace="0dce1bc4-e368-4c98-b2d3-f63401d9444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DateTaken" minOccurs="0"/>
                <xsd:element ref="ns2:MediaLengthInSeconds" minOccurs="0"/>
                <xsd:element ref="ns2:SentBy" minOccurs="0"/>
                <xsd:element ref="ns2:Category" minOccurs="0"/>
                <xsd:element ref="ns2:CapacidadParentL1" minOccurs="0"/>
                <xsd:element ref="ns2:MediaServiceAutoKeyPoints" minOccurs="0"/>
                <xsd:element ref="ns2:MediaServiceKeyPoints" minOccurs="0"/>
                <xsd:element ref="ns2:Capability_x0020_Owner1" minOccurs="0"/>
                <xsd:element ref="ns2:CapabilityChild" minOccurs="0"/>
                <xsd:element ref="ns2:Comments" minOccurs="0"/>
                <xsd:element ref="ns2:_Flow_SignoffStatu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556306-3339-405b-90dc-6b51767e16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SentBy" ma:index="18" nillable="true" ma:displayName="Sent By" ma:format="Dropdown" ma:list="UserInfo" ma:SharePointGroup="0" ma:internalName="SentBy">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ategory" ma:index="19" nillable="true" ma:displayName="Category" ma:format="Dropdown" ma:internalName="Category">
      <xsd:simpleType>
        <xsd:union memberTypes="dms:Text">
          <xsd:simpleType>
            <xsd:restriction base="dms:Choice">
              <xsd:enumeration value="Journey"/>
              <xsd:enumeration value="Template"/>
              <xsd:enumeration value="PPT"/>
              <xsd:enumeration value="Folders"/>
              <xsd:enumeration value="Manual"/>
              <xsd:enumeration value="Guideline"/>
              <xsd:enumeration value="Acta"/>
              <xsd:enumeration value="Politica"/>
              <xsd:enumeration value="Process"/>
              <xsd:enumeration value="Capability"/>
              <xsd:enumeration value="Job description"/>
              <xsd:enumeration value="Plan"/>
              <xsd:enumeration value="Programa"/>
              <xsd:enumeration value="Diagram"/>
              <xsd:enumeration value="Protocol"/>
              <xsd:enumeration value="Recordings"/>
            </xsd:restriction>
          </xsd:simpleType>
        </xsd:union>
      </xsd:simpleType>
    </xsd:element>
    <xsd:element name="CapacidadParentL1" ma:index="20" nillable="true" ma:displayName="Capability L1 (Parent)" ma:format="Dropdown" ma:indexed="true" ma:internalName="CapacidadParentL1">
      <xsd:simpleType>
        <xsd:restriction base="dms:Choice">
          <xsd:enumeration value="0. C-Level"/>
          <xsd:enumeration value="1. Operations"/>
          <xsd:enumeration value="2. Business Development"/>
          <xsd:enumeration value="3. Office of Experiences"/>
          <xsd:enumeration value="4. Financial"/>
          <xsd:enumeration value="5. People"/>
          <xsd:enumeration value="6. Legal &amp; Privacy"/>
          <xsd:enumeration value="7. Technology"/>
          <xsd:enumeration value="8. Data, WFM &amp; Process"/>
          <xsd:enumeration value="9. Country Management"/>
        </xsd:restriction>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Capability_x0020_Owner1" ma:index="23" nillable="true" ma:displayName="Capability child Owner" ma:format="Dropdown" ma:list="UserInfo" ma:SharePointGroup="0" ma:internalName="Capability_x0020_Owner1"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apabilityChild" ma:index="24" nillable="true" ma:displayName="Capability Child" ma:format="Dropdown" ma:internalName="CapabilityChild">
      <xsd:simpleType>
        <xsd:restriction base="dms:Text">
          <xsd:maxLength value="255"/>
        </xsd:restriction>
      </xsd:simpleType>
    </xsd:element>
    <xsd:element name="Comments" ma:index="25" nillable="true" ma:displayName="Comments" ma:format="Dropdown" ma:internalName="Comments">
      <xsd:simpleType>
        <xsd:restriction base="dms:Note">
          <xsd:maxLength value="255"/>
        </xsd:restrictio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fdc3dee4-acfb-4958-b3e6-b05ed2e9a342" ma:termSetId="09814cd3-568e-fe90-9814-8d621ff8fb84" ma:anchorId="fba54fb3-c3e1-fe81-a776-ca4b69148c4d" ma:open="true" ma:isKeyword="false">
      <xsd:complexType>
        <xsd:sequence>
          <xsd:element ref="pc:Terms" minOccurs="0" maxOccurs="1"/>
        </xsd:sequence>
      </xsd:complexType>
    </xsd:element>
    <xsd:element name="MediaServiceLocation" ma:index="30" nillable="true" ma:displayName="Location" ma:indexed="true" ma:internalName="MediaServiceLocation" ma:readOnly="true">
      <xsd:simpleType>
        <xsd:restriction base="dms:Text"/>
      </xsd:simpleType>
    </xsd:element>
    <xsd:element name="MediaServiceObjectDetectorVersions" ma:index="31" nillable="true" ma:displayName="MediaServiceObjectDetectorVersions" ma:hidden="true" ma:indexed="true" ma:internalName="MediaServiceObjectDetectorVersions" ma:readOnly="true">
      <xsd:simpleType>
        <xsd:restriction base="dms:Text"/>
      </xsd:simpleType>
    </xsd:element>
    <xsd:element name="MediaServiceSearchProperties" ma:index="32" nillable="true" ma:displayName="MediaServiceSearchProperties" ma:hidden="true" ma:internalName="MediaServiceSearchProperties" ma:readOnly="true">
      <xsd:simpleType>
        <xsd:restriction base="dms:Note"/>
      </xsd:simpleType>
    </xsd:element>
    <xsd:element name="MediaServiceBillingMetadata" ma:index="3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dce1bc4-e368-4c98-b2d3-f63401d94447"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9" nillable="true" ma:displayName="Taxonomy Catch All Column" ma:hidden="true" ma:list="{a27e606f-2248-4439-b7c3-a5afafff2699}" ma:internalName="TaxCatchAll" ma:showField="CatchAllData" ma:web="0dce1bc4-e368-4c98-b2d3-f63401d9444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scriptIds xmlns="http://schemas.microsoft.com/office/extensibility/maker/v1.0" id="script-ids-node-id">
  <scriptId id="ms-officescript%3A%2F%2Fonedrive_business_itemlink%2F01UOGNP5DTUQ6MXSY7FJBLWC7WP4U4G7FM:ms-officescript%3A%2F%2Fonedrive_business_sharinglink%2Fu!aHR0cHM6Ly90ZWxlcGVyZm9ybWFuY2UtbXkuc2hhcmVwb2ludC5jb20vOnU6L3AvZ3VlcnJlcm9ib2hvcnF1ZXpfNl9ubHNhL0lRQnpwRHpMeXg4cVFyc0w5bjhwdzN5c0FjbWJSd3pVYmFCaHd5VF9LemUwOHBz"/>
</scriptIds>
</file>

<file path=customXml/item4.xml><?xml version="1.0" encoding="utf-8"?>
<p:properties xmlns:p="http://schemas.microsoft.com/office/2006/metadata/properties" xmlns:xsi="http://www.w3.org/2001/XMLSchema-instance" xmlns:pc="http://schemas.microsoft.com/office/infopath/2007/PartnerControls">
  <documentManagement>
    <CapabilityChild xmlns="db556306-3339-405b-90dc-6b51767e16a4" xsi:nil="true"/>
    <Category xmlns="db556306-3339-405b-90dc-6b51767e16a4" xsi:nil="true"/>
    <Capability_x0020_Owner1 xmlns="db556306-3339-405b-90dc-6b51767e16a4">
      <UserInfo>
        <DisplayName/>
        <AccountId xsi:nil="true"/>
        <AccountType/>
      </UserInfo>
    </Capability_x0020_Owner1>
    <_Flow_SignoffStatus xmlns="db556306-3339-405b-90dc-6b51767e16a4" xsi:nil="true"/>
    <Comments xmlns="db556306-3339-405b-90dc-6b51767e16a4" xsi:nil="true"/>
    <lcf76f155ced4ddcb4097134ff3c332f xmlns="db556306-3339-405b-90dc-6b51767e16a4">
      <Terms xmlns="http://schemas.microsoft.com/office/infopath/2007/PartnerControls"/>
    </lcf76f155ced4ddcb4097134ff3c332f>
    <SentBy xmlns="db556306-3339-405b-90dc-6b51767e16a4">
      <UserInfo>
        <DisplayName/>
        <AccountId xsi:nil="true"/>
        <AccountType/>
      </UserInfo>
    </SentBy>
    <CapacidadParentL1 xmlns="db556306-3339-405b-90dc-6b51767e16a4" xsi:nil="true"/>
    <TaxCatchAll xmlns="0dce1bc4-e368-4c98-b2d3-f63401d94447" xsi:nil="true"/>
  </documentManagement>
</p:properties>
</file>

<file path=customXml/itemProps1.xml><?xml version="1.0" encoding="utf-8"?>
<ds:datastoreItem xmlns:ds="http://schemas.openxmlformats.org/officeDocument/2006/customXml" ds:itemID="{6AAF2863-54CF-47BA-BB5A-3089BD1F8255}">
  <ds:schemaRefs>
    <ds:schemaRef ds:uri="http://schemas.microsoft.com/sharepoint/v3/contenttype/forms"/>
  </ds:schemaRefs>
</ds:datastoreItem>
</file>

<file path=customXml/itemProps2.xml><?xml version="1.0" encoding="utf-8"?>
<ds:datastoreItem xmlns:ds="http://schemas.openxmlformats.org/officeDocument/2006/customXml" ds:itemID="{CD813571-CDEB-4FAA-B831-D74D3FE5FB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556306-3339-405b-90dc-6b51767e16a4"/>
    <ds:schemaRef ds:uri="0dce1bc4-e368-4c98-b2d3-f63401d944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EFF225-3429-4BEB-8667-0CB73C0BD4FA}">
  <ds:schemaRefs>
    <ds:schemaRef ds:uri="http://schemas.microsoft.com/office/extensibility/maker/v1.0"/>
  </ds:schemaRefs>
</ds:datastoreItem>
</file>

<file path=customXml/itemProps4.xml><?xml version="1.0" encoding="utf-8"?>
<ds:datastoreItem xmlns:ds="http://schemas.openxmlformats.org/officeDocument/2006/customXml" ds:itemID="{751266E5-48B4-4613-BD39-BB68F55C1363}">
  <ds:schemaRefs>
    <ds:schemaRef ds:uri="http://schemas.microsoft.com/office/2006/metadata/properties"/>
    <ds:schemaRef ds:uri="http://schemas.microsoft.com/office/infopath/2007/PartnerControls"/>
    <ds:schemaRef ds:uri="db556306-3339-405b-90dc-6b51767e16a4"/>
    <ds:schemaRef ds:uri="0dce1bc4-e368-4c98-b2d3-f63401d9444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Configuracion</vt:lpstr>
      <vt:lpstr>DB_Dashboard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Andres Guerrero Bohorquez</dc:creator>
  <cp:lastModifiedBy>Andres Guerrero Bohorquez</cp:lastModifiedBy>
  <dcterms:created xsi:type="dcterms:W3CDTF">2026-07-03T13:23:47Z</dcterms:created>
  <dcterms:modified xsi:type="dcterms:W3CDTF">2026-07-22T21:01:39Z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0x0101002971904C161B804FBF8F3DEE02BD737B</vt:lpwstr>
  </property>
  <property fmtid="{D5CDD505-2E9C-101B-9397-08002B2CF9AE}" pid="3" name="MediaServiceImageTags">
    <vt:lpwstr/>
  </property>
</Properties>
</file>